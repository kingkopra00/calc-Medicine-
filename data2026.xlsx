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الكلي" sheetId="1" r:id="rId4"/>
    <sheet name="اقراص" sheetId="2" r:id="rId5"/>
    <sheet name="مساحيق" sheetId="3" r:id="rId6"/>
    <sheet name="امبولات" sheetId="4" r:id="rId7"/>
    <sheet name="حياتية" sheetId="5" r:id="rId8"/>
    <sheet name="محاليل" sheetId="6" r:id="rId9"/>
    <sheet name="لقاحات" sheetId="7" r:id="rId10"/>
  </sheets>
</workbook>
</file>

<file path=xl/sharedStrings.xml><?xml version="1.0" encoding="utf-8"?>
<sst xmlns="http://schemas.openxmlformats.org/spreadsheetml/2006/main" uniqueCount="1758">
  <si>
    <t>اسم المادة</t>
  </si>
  <si>
    <t xml:space="preserve">احتياج الكلي 2026      </t>
  </si>
  <si>
    <t>مستشفى الهلال</t>
  </si>
  <si>
    <t>مستشفى الحسين</t>
  </si>
  <si>
    <t xml:space="preserve">مستشفى النسائية </t>
  </si>
  <si>
    <t>مستشفى رميثة</t>
  </si>
  <si>
    <t>مستشفى الخضر</t>
  </si>
  <si>
    <t>مستشفى الوركاء</t>
  </si>
  <si>
    <t>قطاع السماوة الاول</t>
  </si>
  <si>
    <t>قطاع السماوة الثاني</t>
  </si>
  <si>
    <t>قطاع الرميثة</t>
  </si>
  <si>
    <t>قطاع الخضر</t>
  </si>
  <si>
    <t>قطاع الوركاء</t>
  </si>
  <si>
    <t>السكري</t>
  </si>
  <si>
    <t xml:space="preserve"> تاهيل المعوقين</t>
  </si>
  <si>
    <t xml:space="preserve"> الحساسية</t>
  </si>
  <si>
    <t>الصدرية</t>
  </si>
  <si>
    <t xml:space="preserve"> الاسنان</t>
  </si>
  <si>
    <t>CARDIOVASCULAR SYSTEM</t>
  </si>
  <si>
    <t>Positive inotropic drugs</t>
  </si>
  <si>
    <t>Digitalis glycoside</t>
  </si>
  <si>
    <t>Digoxin  250 mcg scored Tablet</t>
  </si>
  <si>
    <t>Digoxin  250 mcg/ml  (2ml) Ampoule</t>
  </si>
  <si>
    <t>DIURETICS</t>
  </si>
  <si>
    <t>Furosemide(Frusemide) 20mg/2ml  Ampoule ,IV ,IM/or slow IV ,IM</t>
  </si>
  <si>
    <t>Furosemide(Frusemide) 40mg Tablet</t>
  </si>
  <si>
    <t>Hydrochlorothiazide 50mg scroed Tablet</t>
  </si>
  <si>
    <t>Spironolactone  25mg Tablet</t>
  </si>
  <si>
    <t>BETA-ADRENOCEPTER BLOCKING DRUGS</t>
  </si>
  <si>
    <t xml:space="preserve">Carvedilol   6.25mg Tablet </t>
  </si>
  <si>
    <t xml:space="preserve">Propranolol hydrochloride 1mg/ml slow IV   (1ml Ampoule ) </t>
  </si>
  <si>
    <t>Propranolol hydrochloride 40mg Tablet or scored Tablet</t>
  </si>
  <si>
    <t xml:space="preserve">Labetalol hydrochloride  5mg/ml (20ml Ampoule) or Vial 
</t>
  </si>
  <si>
    <t xml:space="preserve">Metoprolol  tartrate 1mg/1ml (5ml  Ampoule)  I.V </t>
  </si>
  <si>
    <t>Metoprolol  tartrate 50mg  Tablet</t>
  </si>
  <si>
    <t xml:space="preserve">Carvedilol 25mg Tablet   </t>
  </si>
  <si>
    <t xml:space="preserve">labetalol hydrochloride 100 mg </t>
  </si>
  <si>
    <t>ANTI-ARRHYTHMIC DRUGS</t>
  </si>
  <si>
    <t>Adenosine  3mg/ml (2ml )Vial or Ampoule</t>
  </si>
  <si>
    <t xml:space="preserve">Amiodarone hydrochloride 50mg/ml (3ml) Ampoule  </t>
  </si>
  <si>
    <t>Amiodarone  hydrochloride 200mg Tablet</t>
  </si>
  <si>
    <t>Verapamil  hydrochloride 2.5mg/ml (2ml) Ampoule slow I.V</t>
  </si>
  <si>
    <t xml:space="preserve">Lidocaine hydrochloride 2% 20mg /ml 2ml Ampoule </t>
  </si>
  <si>
    <t xml:space="preserve">ANTI-HYPERTENSIVE DRUGS  </t>
  </si>
  <si>
    <t>Captopril  25mg Tablet</t>
  </si>
  <si>
    <t xml:space="preserve">Hydralazine hydrochloride 20mg/ Ampoule I.V. Infusion or slow I.V </t>
  </si>
  <si>
    <t>Methyldopa  250mgTablet</t>
  </si>
  <si>
    <t xml:space="preserve">Losartan potassium  50mg Tablet </t>
  </si>
  <si>
    <t xml:space="preserve">Bosentan (as monohydrate) 125mg tablet </t>
  </si>
  <si>
    <t>Lisinopril (as base or anhydrous or as dihydrate , the same drug with or without water of hydration) 10mg tablet</t>
  </si>
  <si>
    <t xml:space="preserve">Candesartan cilexetil 16mg  Tablet   </t>
  </si>
  <si>
    <t>VASODILATORS</t>
  </si>
  <si>
    <t>Amlodipine ( as besylate ) 5 mg tablet or capsule</t>
  </si>
  <si>
    <t>Diltiazem hydrochloride  60 mg  tablet or capsule</t>
  </si>
  <si>
    <t>Glyceryl trinitrate  0.5mg sublingual Tablet</t>
  </si>
  <si>
    <t>Isosorbide  mononitrate  10mg Tablet</t>
  </si>
  <si>
    <t>Nimodipine    30mg Tablet</t>
  </si>
  <si>
    <r>
      <rPr>
        <b val="1"/>
        <sz val="12"/>
        <color indexed="8"/>
        <rFont val="Arial"/>
      </rPr>
      <t>Glyceryl trinitrate 5mg/ml  (5ml )Ampoule or vial</t>
    </r>
    <r>
      <rPr>
        <b val="1"/>
        <sz val="12"/>
        <color indexed="13"/>
        <rFont val="Arial"/>
      </rPr>
      <t xml:space="preserve">
</t>
    </r>
    <r>
      <rPr>
        <b val="1"/>
        <sz val="12"/>
        <color indexed="13"/>
        <rFont val="Arial"/>
      </rPr>
      <t xml:space="preserve">احتياج واحد مع المادة 
</t>
    </r>
    <r>
      <rPr>
        <b val="1"/>
        <sz val="12"/>
        <color indexed="13"/>
        <rFont val="Arial"/>
      </rPr>
      <t>(01-F00-069)</t>
    </r>
  </si>
  <si>
    <r>
      <rPr>
        <b val="1"/>
        <sz val="12"/>
        <color indexed="8"/>
        <rFont val="Arial"/>
      </rPr>
      <t>Glyceryl trinitrate  1mg/1ml (10ml)  Ampoule or vial</t>
    </r>
    <r>
      <rPr>
        <b val="1"/>
        <sz val="12"/>
        <color indexed="13"/>
        <rFont val="Arial"/>
      </rPr>
      <t xml:space="preserve">
</t>
    </r>
    <r>
      <rPr>
        <b val="1"/>
        <sz val="12"/>
        <color indexed="13"/>
        <rFont val="Arial"/>
      </rPr>
      <t xml:space="preserve">احتياج واحد مع المادة 
</t>
    </r>
    <r>
      <rPr>
        <b val="1"/>
        <sz val="12"/>
        <color indexed="13"/>
        <rFont val="Arial"/>
      </rPr>
      <t>(01-F00-073)</t>
    </r>
  </si>
  <si>
    <t>Isosorbide  dinitrate  10mg Tablet</t>
  </si>
  <si>
    <t>SYMPATHOMIMETIC DRUGS</t>
  </si>
  <si>
    <t xml:space="preserve">Dobutamine (as hydrochloride) 250 mg/vial or Ampoule (12.5 mg/ml 20 ml) i.v infusion </t>
  </si>
  <si>
    <t>Dopamine hydrochloride 40mg/ml, (5ml) Ampoule or vial</t>
  </si>
  <si>
    <t>Ephedrine  hydrochloride 3% (30 mg / ml)  1ml ampoule slow I.V. injection</t>
  </si>
  <si>
    <r>
      <rPr>
        <b val="1"/>
        <sz val="12"/>
        <color indexed="8"/>
        <rFont val="Arial"/>
      </rPr>
      <t>Noradrenaline Acid Tartrate/Noradrenaline  Tartrate/Norepinephrine Bitartrate 2mg/ml (</t>
    </r>
    <r>
      <rPr>
        <b val="1"/>
        <sz val="12"/>
        <color indexed="8"/>
        <rFont val="Calibri"/>
      </rPr>
      <t>equivalent to</t>
    </r>
    <r>
      <rPr>
        <sz val="12"/>
        <color indexed="8"/>
        <rFont val="Symbol"/>
      </rPr>
      <t xml:space="preserve"> </t>
    </r>
    <r>
      <rPr>
        <b val="1"/>
        <sz val="12"/>
        <color indexed="8"/>
        <rFont val="Times New Roman"/>
      </rPr>
      <t xml:space="preserve">Noradrenaline1mg/ml (2 ml or 4ml ampoule) 
</t>
    </r>
    <r>
      <rPr>
        <b val="1"/>
        <sz val="12"/>
        <color indexed="13"/>
        <rFont val="Times New Roman"/>
      </rPr>
      <t>الافضلية للحجم الاقل</t>
    </r>
  </si>
  <si>
    <t xml:space="preserve">phenylephrine hydrochloride 50 µg / ml solution for   IV injection  (10 ml ampoule)  </t>
  </si>
  <si>
    <t>GASTRO-INTESTINAL SYSTEM</t>
  </si>
  <si>
    <t>ANTACIDS</t>
  </si>
  <si>
    <t>Aluminium hydroxide 225mg +Magnesium hydroxide 200mg + Simethicone 25mg -30 /5ml  Suspension</t>
  </si>
  <si>
    <t>ANTISPASMODICS</t>
  </si>
  <si>
    <t>Hyoscine butylbromide  1mg/ml Syrup</t>
  </si>
  <si>
    <t xml:space="preserve">Hyoscine butylbromide 20mg/ml, (1ml) Ampoule I.M , slow I.V , S.C OR I.M , slow I.V </t>
  </si>
  <si>
    <t>Hyoscine butylbromide 10mg Tablet</t>
  </si>
  <si>
    <t>DRUGS THAT PROMOTE HEALING OF  PEPTIC ULCERS</t>
  </si>
  <si>
    <r>
      <rPr>
        <b val="1"/>
        <sz val="12"/>
        <color indexed="8"/>
        <rFont val="Arial"/>
      </rPr>
      <t>Omeprazole (as sodium salt) 40mg powder for reconstitution with or without  solvent vial for IV injection over 5 minutes or IV infusion over 20 – 30 minutes</t>
    </r>
    <r>
      <rPr>
        <b val="1"/>
        <sz val="12"/>
        <color indexed="13"/>
        <rFont val="Arial"/>
      </rPr>
      <t xml:space="preserve">
</t>
    </r>
    <r>
      <rPr>
        <b val="1"/>
        <sz val="12"/>
        <color indexed="13"/>
        <rFont val="Arial"/>
      </rPr>
      <t xml:space="preserve">حسب قاعدة اقل الاسعار 
</t>
    </r>
    <r>
      <rPr>
        <b val="1"/>
        <sz val="12"/>
        <color indexed="13"/>
        <rFont val="Arial"/>
      </rPr>
      <t xml:space="preserve">02-C00-035
</t>
    </r>
    <r>
      <rPr>
        <b val="1"/>
        <sz val="12"/>
        <color indexed="13"/>
        <rFont val="Arial"/>
      </rPr>
      <t>02-C00-038</t>
    </r>
  </si>
  <si>
    <r>
      <rPr>
        <b val="1"/>
        <sz val="12"/>
        <color indexed="8"/>
        <rFont val="Arial"/>
      </rPr>
      <t xml:space="preserve">Esomeprazole( as sodium)  40mg  powder for solution  vial  IV or IV infusion
</t>
    </r>
    <r>
      <rPr>
        <b val="1"/>
        <sz val="12"/>
        <color indexed="13"/>
        <rFont val="Arial"/>
      </rPr>
      <t xml:space="preserve">حسب قاعدة اقل الاسعار 
</t>
    </r>
    <r>
      <rPr>
        <b val="1"/>
        <sz val="12"/>
        <color indexed="13"/>
        <rFont val="Arial"/>
      </rPr>
      <t xml:space="preserve">02-C00-035
</t>
    </r>
    <r>
      <rPr>
        <b val="1"/>
        <sz val="12"/>
        <color indexed="13"/>
        <rFont val="Arial"/>
      </rPr>
      <t>02-C00-038</t>
    </r>
  </si>
  <si>
    <t>Omeprazole 20mg  Enteric Coated  pellets in capsule  or   Enteric Coated  Tablet</t>
  </si>
  <si>
    <t>ANTIDIARRHOEAL DRUGS</t>
  </si>
  <si>
    <t>Diphenoxylate hydrochloride 2.5mg + Atropine sulphate 25mcg Tablet</t>
  </si>
  <si>
    <t>Glucose anhydrous 13.5g + Sodium Chloride 2.6g+Tri sodium citrate dihydrate 2.9g + Potassium chloride 1.5g  to be dissolved in Sufficient  water to produce 1liter (providing Sodium Chloride 75 mmol + Potassium chloride 20 mmol+chloride  65 mmol +citrate 10 mmol +glucose 75 mmol /Litre) (Oral powder)</t>
  </si>
  <si>
    <t>TREATMENT OF CHRONIC DIARRHEA</t>
  </si>
  <si>
    <t>Mesalazine enema  (suspension  1gm/100ml or foam 1gm/application)</t>
  </si>
  <si>
    <t>Mesalazine 500mg  modified release tablet or   extended release capsule</t>
  </si>
  <si>
    <t>LAXATIVES</t>
  </si>
  <si>
    <t>Bisacodyl 10mg  Suppository (adult)</t>
  </si>
  <si>
    <t xml:space="preserve">Bisacodyl   5mg enteric coated Tablet </t>
  </si>
  <si>
    <t>Lactulose 3.1- 3.7g/5ml, Syrup</t>
  </si>
  <si>
    <t>DRUGS AFFECTING INTESTINAL SECRETIONS</t>
  </si>
  <si>
    <t>Ursodeoxycholic acid  300mg Tablet or Capsule</t>
  </si>
  <si>
    <t>DIRECT ACTING SPASMOLYTIC</t>
  </si>
  <si>
    <t>Mebeverine hydrochloride 135mg Tablet</t>
  </si>
  <si>
    <t xml:space="preserve">MOTILITY STIMULANT (PROKINETIC DRUG) </t>
  </si>
  <si>
    <t>Metoclopramide  hydrochloride  eq. to Metoclopramide   5mg/ml (2ml  Ampoule or vial )IM, IV</t>
  </si>
  <si>
    <t>Metoclopramide hydrochloride 10mg Tablet or Scored Tablet</t>
  </si>
  <si>
    <t>RESPIRATORY SYSTEM</t>
  </si>
  <si>
    <t xml:space="preserve">BRONCHODILATORS      </t>
  </si>
  <si>
    <r>
      <rPr>
        <b val="1"/>
        <sz val="12"/>
        <color indexed="8"/>
        <rFont val="Arial"/>
      </rPr>
      <t>Aminophylline dihydrate  25mg/1ml  (eq.Theophyline  Anhydrous 19.7 mg/1ml)   ( 10 ml  amp. )(plastic or glass ampoule) IV injection</t>
    </r>
    <r>
      <rPr>
        <b val="1"/>
        <sz val="12"/>
        <color indexed="13"/>
        <rFont val="Arial"/>
      </rPr>
      <t xml:space="preserve">
</t>
    </r>
    <r>
      <rPr>
        <b val="1"/>
        <sz val="12"/>
        <color indexed="13"/>
        <rFont val="Arial"/>
      </rPr>
      <t xml:space="preserve">مطالبة الشركة المنتجة بتقديم ما يثبت عدم تفاعل المادة (Aminophyllin) مع العبوة المصنوعة من البلاستك
</t>
    </r>
  </si>
  <si>
    <r>
      <rPr>
        <b val="1"/>
        <sz val="12"/>
        <color indexed="8"/>
        <rFont val="Arial"/>
      </rPr>
      <t xml:space="preserve">Salbutamol  Nebules (Respirator solution)0.5% w/v 20ml or 30ml Note:Home Nebuliser (port Neb home compressor Nebuliser with solution (Salbutamol )
</t>
    </r>
    <r>
      <rPr>
        <b val="1"/>
        <sz val="12"/>
        <color indexed="13"/>
        <rFont val="Arial"/>
      </rPr>
      <t xml:space="preserve">
</t>
    </r>
    <r>
      <rPr>
        <b val="1"/>
        <sz val="12"/>
        <color indexed="13"/>
        <rFont val="Arial"/>
      </rPr>
      <t>لامانع من اعتماد المادة الفعالة بشكل sulphate or base لمستحضرات Salbutamol وبأشكالها الصيدلانية وحسب المقر  دستورياً -أن يكون(as sulphate or as base) بما يعادل 100mcg</t>
    </r>
  </si>
  <si>
    <r>
      <rPr>
        <b val="1"/>
        <sz val="12"/>
        <color indexed="8"/>
        <rFont val="Arial"/>
      </rPr>
      <t xml:space="preserve">Salbutamol  (as sulphate ) 2mg/5ml Syrup
</t>
    </r>
    <r>
      <rPr>
        <b val="1"/>
        <sz val="12"/>
        <color indexed="13"/>
        <rFont val="Arial"/>
      </rPr>
      <t xml:space="preserve">
</t>
    </r>
    <r>
      <rPr>
        <b val="1"/>
        <sz val="12"/>
        <color indexed="13"/>
        <rFont val="Arial"/>
      </rPr>
      <t>لامانع من اعتماد المادة الفعالة بشكل sulphate or base لمستحضرات Salbutamol وبأشكالها الصيدلانية وحسب المقر  دستورياً -أن يكون(as sulphate or as base) بما يعادل 100mcg</t>
    </r>
  </si>
  <si>
    <r>
      <rPr>
        <b val="1"/>
        <sz val="12"/>
        <color indexed="8"/>
        <rFont val="Arial"/>
      </rPr>
      <t xml:space="preserve">Salbutamol aerosol (as a base) 100mcg / metered  
</t>
    </r>
    <r>
      <rPr>
        <b val="1"/>
        <sz val="12"/>
        <color indexed="8"/>
        <rFont val="Arial"/>
      </rPr>
      <t xml:space="preserve">inhalation
</t>
    </r>
    <r>
      <rPr>
        <b val="1"/>
        <sz val="12"/>
        <color indexed="8"/>
        <rFont val="Arial"/>
      </rPr>
      <t xml:space="preserve">
</t>
    </r>
    <r>
      <rPr>
        <b val="1"/>
        <sz val="12"/>
        <color indexed="8"/>
        <rFont val="Arial"/>
      </rPr>
      <t xml:space="preserve"> </t>
    </r>
    <r>
      <rPr>
        <b val="1"/>
        <sz val="12"/>
        <color indexed="13"/>
        <rFont val="Arial"/>
      </rPr>
      <t xml:space="preserve">لامانع من اعتماد المادة الفعالة بشكل sulphate or base لمستحضرات Salbutamol وبأشكالها الصيدلانية وحسب المقر  دستورياً -أن يكون(as sulphate or as base) بما يعادل 100mcg    _ يفصل ال SPACER عن NEBULIZER ويكون SPACER ضمن المستلزمات ويكون استيراد ال  SPACER(بنسبه 20/1) من كمية الاحتياج الكلي للبخاخات  Aerosol                                             </t>
    </r>
  </si>
  <si>
    <t>CORTICOSTEROIDS</t>
  </si>
  <si>
    <t>Beclomethasone dipropionate  250mcg/ each actuation (For adults only) oral inhaler</t>
  </si>
  <si>
    <t xml:space="preserve">Budesonide 500mcg/ml  nebuliser inhalation (2ml)  liquid unit dose </t>
  </si>
  <si>
    <t>ALLERGIC DISORDERS</t>
  </si>
  <si>
    <t>Chlorpheniramine maleate  2 mg/5ml Syrup</t>
  </si>
  <si>
    <t>Chlorpheniramine maleate 4mg Tablet</t>
  </si>
  <si>
    <t>Diphenhydramine hydrochloride 10mg/ml  IM,IV(1ml)Ampoule</t>
  </si>
  <si>
    <t>RESPIRATORY STIMULANTS</t>
  </si>
  <si>
    <t>caffeine citrate 20mg/ml (eq.to caffeine 10mg/ml  )ampoule or vial of 1ml or 2ml or 3ml for I.V. infusion or (iv and oral)</t>
  </si>
  <si>
    <t>Doxapram Hydrochloride 20mg/ml,( 5ml) Ampoule</t>
  </si>
  <si>
    <t>MUCOLYTICS</t>
  </si>
  <si>
    <t>Bromhexine hydrochloride 4mg/5ml Syrup</t>
  </si>
  <si>
    <t xml:space="preserve">ANTITUSSIVES DEMULCENTS EXPECTORANTS    
</t>
  </si>
  <si>
    <t>Glyceryl guaiacolate 50mg+ Chlorpheniramine maleate 1mg+ Phenylephrine hydrochloride 2.5mg/5ml  Syrup</t>
  </si>
  <si>
    <t>OTHERS</t>
  </si>
  <si>
    <r>
      <rPr>
        <b val="1"/>
        <sz val="12"/>
        <color indexed="19"/>
        <rFont val="Arial"/>
      </rPr>
      <t>Phospholipids 25 mg ( derived from bovine lung lipid extract) Beractant + sodium chloride  9mg  in water for inj/1ml  (single dose vial  of 4ml ) intratracheal use only</t>
    </r>
    <r>
      <rPr>
        <b val="1"/>
        <sz val="12"/>
        <color indexed="13"/>
        <rFont val="Arial"/>
      </rPr>
      <t xml:space="preserve">
</t>
    </r>
    <r>
      <rPr>
        <b val="1"/>
        <sz val="12"/>
        <color indexed="13"/>
        <rFont val="Arial"/>
      </rPr>
      <t xml:space="preserve">حسب قاعدة اقل الاسعار 
</t>
    </r>
    <r>
      <rPr>
        <b val="1"/>
        <sz val="12"/>
        <color indexed="13"/>
        <rFont val="Arial"/>
      </rPr>
      <t xml:space="preserve">03-i00-007
</t>
    </r>
    <r>
      <rPr>
        <b val="1"/>
        <sz val="12"/>
        <color indexed="13"/>
        <rFont val="Arial"/>
      </rPr>
      <t>03-i00-006</t>
    </r>
    <r>
      <rPr>
        <b val="1"/>
        <sz val="12"/>
        <color indexed="19"/>
        <rFont val="Arial"/>
      </rPr>
      <t xml:space="preserve">
</t>
    </r>
    <r>
      <rPr>
        <b val="1"/>
        <sz val="12"/>
        <color indexed="19"/>
        <rFont val="Arial"/>
      </rPr>
      <t xml:space="preserve">                      
</t>
    </r>
  </si>
  <si>
    <r>
      <rPr>
        <b val="1"/>
        <sz val="12"/>
        <color indexed="19"/>
        <rFont val="Arial"/>
      </rPr>
      <t>Calfactant 35mg/ml  suspension 3ml vial for intratracheal instillation only intratracheal use only</t>
    </r>
    <r>
      <rPr>
        <b val="1"/>
        <sz val="12"/>
        <color indexed="13"/>
        <rFont val="Arial"/>
      </rPr>
      <t xml:space="preserve">
</t>
    </r>
    <r>
      <rPr>
        <b val="1"/>
        <sz val="12"/>
        <color indexed="13"/>
        <rFont val="Arial"/>
      </rPr>
      <t xml:space="preserve">حسب قاعدة اقل الاسعار 
</t>
    </r>
    <r>
      <rPr>
        <b val="1"/>
        <sz val="12"/>
        <color indexed="13"/>
        <rFont val="Arial"/>
      </rPr>
      <t xml:space="preserve">03-i00-006
</t>
    </r>
    <r>
      <rPr>
        <b val="1"/>
        <sz val="12"/>
        <color indexed="13"/>
        <rFont val="Arial"/>
      </rPr>
      <t>03-i00-007</t>
    </r>
    <r>
      <rPr>
        <b val="1"/>
        <sz val="12"/>
        <color indexed="19"/>
        <rFont val="Arial"/>
      </rPr>
      <t xml:space="preserve">
</t>
    </r>
    <r>
      <rPr>
        <b val="1"/>
        <sz val="12"/>
        <color indexed="19"/>
        <rFont val="Arial"/>
      </rPr>
      <t xml:space="preserve">                   </t>
    </r>
  </si>
  <si>
    <t>Leukotriene Receptor antagonists</t>
  </si>
  <si>
    <t xml:space="preserve">Montelukast (as sodium  ) 4mg cheweble Tablet  </t>
  </si>
  <si>
    <t xml:space="preserve">Montelukast (as sodium  ) 10mg   Tablet        </t>
  </si>
  <si>
    <t>CENTRAL NERVOUS SYSTEM</t>
  </si>
  <si>
    <t>HYPNOTICS AND ANXIOLYTICS</t>
  </si>
  <si>
    <t>Chlordiazepoxide   5mg Tablet</t>
  </si>
  <si>
    <t>Diazepam  5mg/ml, (2ml) Ampoule</t>
  </si>
  <si>
    <t>Diazepam   5mg Tablet</t>
  </si>
  <si>
    <t>Lorazepam  2mg scored  Tablet</t>
  </si>
  <si>
    <t>Chloralhydrate 500 mg / 5 ml  10%  oral  solution bottele of (200 ml)</t>
  </si>
  <si>
    <t>ANTIPSYCHOTICS</t>
  </si>
  <si>
    <t>Chlorpromazine  hydrochloride 100mg  Tablet</t>
  </si>
  <si>
    <t xml:space="preserve">Chlorpromazine hydrochloride  25mg/ml, (2ml) Ampoule I.V ,I.M </t>
  </si>
  <si>
    <t>Fluphenazine  decanoate  depot injection 25mg/ml, (1ml) Ampoule</t>
  </si>
  <si>
    <t>Haloperidol     5mg Tablet</t>
  </si>
  <si>
    <t>Haloperidol    5mg/ml    (1ml ampoule)</t>
  </si>
  <si>
    <t>Olanzapine  5mg Tablet</t>
  </si>
  <si>
    <t>Risperidone 2mg Tablet</t>
  </si>
  <si>
    <t>Risperidone liquid oral solution 1mg/ml.</t>
  </si>
  <si>
    <t>Lithium carbonate  400mg controlled release Tablet</t>
  </si>
  <si>
    <t>Olanzapine 10mg Tablet</t>
  </si>
  <si>
    <t>ANTIDEPRESSANT DRUGS</t>
  </si>
  <si>
    <t>TRICYCLIC AND RELATED ANTIDEPRESSANT DRUGS</t>
  </si>
  <si>
    <t>Amitriptyline hydrochloride  25mg Tablet</t>
  </si>
  <si>
    <t>Clomipramine hydrochloride  25mg Tablet</t>
  </si>
  <si>
    <t>Selective serotonin re-up take inhibitors</t>
  </si>
  <si>
    <t>Fluoxetine (as hydrochloride)  20mg film coated  Tablet or capsule</t>
  </si>
  <si>
    <t xml:space="preserve">Escitalopram (as oxalate) tablet 10mg                                                           </t>
  </si>
  <si>
    <t xml:space="preserve">Selective serotonin nor adrenaline re-up take inhibitors </t>
  </si>
  <si>
    <t>Mirtazapine 30mg Tablet</t>
  </si>
  <si>
    <t>DRUGS USED IN NAUSEA AND VERTIGO</t>
  </si>
  <si>
    <t xml:space="preserve">Prochlorperazine maleate  5mg Tablet </t>
  </si>
  <si>
    <t xml:space="preserve">Cinnarizine  25mg Tablet  </t>
  </si>
  <si>
    <t xml:space="preserve">Ondansetron  (as hydrochloride)  or ( as hydrochloride dihydrate) 2mg/ml (4ml) Ampoule  or vial I.M , slow I.V ,I.V infusion </t>
  </si>
  <si>
    <t>Ondansetron 8mg  orodispersible or  lyophylisates or  Ondansetron (as Hydrochloride) or( as Hydrochloride dihydrate)  8mg  Tablet</t>
  </si>
  <si>
    <t>ANALGESICS USED FOR MILD, MODERATE PAIN</t>
  </si>
  <si>
    <t xml:space="preserve">Paracetamol   125mg  Suppository </t>
  </si>
  <si>
    <t xml:space="preserve">Paracetamol   10 mg /ml . I.V.  Infusion  (100 ml container)
  </t>
  </si>
  <si>
    <t>Paracetamol   10 mg /ml . I.V.  Infusion  (50 ml vail )</t>
  </si>
  <si>
    <t>Paracetamol  120mg/5ml or 125mg/5ml suspension  or syrup 100ml</t>
  </si>
  <si>
    <t>Acetylsalicylic acid  100mg  (enteric coated)Tablet</t>
  </si>
  <si>
    <t xml:space="preserve">Paracetamol   250mg  Suppository </t>
  </si>
  <si>
    <t>Paracetamol  500mg Tablet</t>
  </si>
  <si>
    <t>Nefopam hydrochloride 20 mg / 2ml ampoule IM,IV injection</t>
  </si>
  <si>
    <t>ANALGESICS USED FOR SEVERE PAIN  (opioid analgesics)</t>
  </si>
  <si>
    <t xml:space="preserve">Morphine sulphate 10mg/ml (1ml Ampoule) I.V , I.M ,S.C </t>
  </si>
  <si>
    <t>Pethidine hydrochloride  50mg/ml, (2ml) Ampoule</t>
  </si>
  <si>
    <t>Tramadol hydrochloride    50mg /  1ml  (2 ml)    Ampoule or vial  I.M.;S .C .,slow iv.iv. Infusion</t>
  </si>
  <si>
    <t>Morphine  sulphate  10mg/5ml syrup</t>
  </si>
  <si>
    <t>ANTIEPILEPTICS</t>
  </si>
  <si>
    <t>Carbamazepine  200mg Tablet</t>
  </si>
  <si>
    <t xml:space="preserve">Levetiracetam 500mg </t>
  </si>
  <si>
    <t xml:space="preserve">Levetiracetam 1000mg </t>
  </si>
  <si>
    <t>Clonazepam   0.5mg Tablet</t>
  </si>
  <si>
    <t>Gabapentin 300mg Capsule  or Tablet</t>
  </si>
  <si>
    <t xml:space="preserve">Phenobarbitone sodium  200mg/ml (1ml) Ampoule    I.M  , I.V. or  (SC. IM  or IV)  </t>
  </si>
  <si>
    <t>Phenobarbitone  15mg Tablet</t>
  </si>
  <si>
    <t>Phenytoin sodium 50mg/ml  (5ml) Ampoule</t>
  </si>
  <si>
    <t>Sodium  valproate 200 mg  Tablet or (enteric coated )</t>
  </si>
  <si>
    <t xml:space="preserve">Sodium  valproate (Powder) 400mg Vial with 4ml ampoule water for injection  </t>
  </si>
  <si>
    <t>Sodium valproate solution  200mg/ml Drop</t>
  </si>
  <si>
    <t>Carbamazepine   100mg/5ml  liquid</t>
  </si>
  <si>
    <t>Topiramate 50mg tablet</t>
  </si>
  <si>
    <r>
      <rPr>
        <b val="1"/>
        <sz val="12"/>
        <color indexed="8"/>
        <rFont val="Arial"/>
      </rPr>
      <t xml:space="preserve">Lacosamide 100 mg tablet
</t>
    </r>
    <r>
      <rPr>
        <b val="1"/>
        <sz val="12"/>
        <color indexed="13"/>
        <rFont val="Arial"/>
      </rPr>
      <t>على ان تدخل المادة ابتداء من احتياج سنة 2026</t>
    </r>
  </si>
  <si>
    <t>DRUG USED IN PARKINSONISM</t>
  </si>
  <si>
    <t>Levodopa 250mg + Carbidopa (as monohydrat)or (anhydrous) 25mg Tablet</t>
  </si>
  <si>
    <t xml:space="preserve">Procyclidine hydrochloride 5mg Tablet                                                                                                                                                                                                                                  </t>
  </si>
  <si>
    <t xml:space="preserve">skeletal Muscle relaxants( drugs used in trigeminal neuralgia ) </t>
  </si>
  <si>
    <t>Baclofen  10mg Tablet</t>
  </si>
  <si>
    <t>Baclofen  500mcg/ml (20ml) or Baclofen  2mg/ml (5ml) ampoule for use with implantable pump  intrathecal  injection</t>
  </si>
  <si>
    <t>Drugs used in Substance Dependence</t>
  </si>
  <si>
    <r>
      <rPr>
        <b val="1"/>
        <sz val="12"/>
        <color indexed="8"/>
        <rFont val="Arial"/>
      </rPr>
      <t>Drugs used in</t>
    </r>
    <r>
      <rPr>
        <b val="1"/>
        <sz val="12"/>
        <color indexed="8"/>
        <rFont val="Times New Roman"/>
      </rPr>
      <t xml:space="preserve"> alcohol dependence </t>
    </r>
  </si>
  <si>
    <t>Acamprosate calcium 333mg tablet</t>
  </si>
  <si>
    <t>Opioid dependence</t>
  </si>
  <si>
    <t>Naltrexone hydrochloride 50mg tablet</t>
  </si>
  <si>
    <t>Others</t>
  </si>
  <si>
    <t>DRUG FOR DEMENTIA</t>
  </si>
  <si>
    <t xml:space="preserve">Memantine hydrochloride 10mg Tablet </t>
  </si>
  <si>
    <t>Immunomodulater</t>
  </si>
  <si>
    <t xml:space="preserve">Fingolimod (as hydrochloride) 0.5 mg capsule 
</t>
  </si>
  <si>
    <t>DRUGS USED IN TREATMENT OF INFECTIONS</t>
  </si>
  <si>
    <r>
      <rPr>
        <b val="1"/>
        <sz val="12"/>
        <color indexed="8"/>
        <rFont val="Arial"/>
      </rPr>
      <t xml:space="preserve">ANTIBACTERIAL DRUGS 
</t>
    </r>
    <r>
      <rPr>
        <b val="1"/>
        <sz val="12"/>
        <color indexed="8"/>
        <rFont val="Arial"/>
      </rPr>
      <t>((</t>
    </r>
    <r>
      <rPr>
        <b val="1"/>
        <sz val="12"/>
        <color indexed="13"/>
        <rFont val="Arial"/>
      </rPr>
      <t>For Antibiotic {as syrup} ,it will be /powder for suspension/ if it is as apowder)) تعتبر عبارة as anhydrous هي نفسها as base</t>
    </r>
  </si>
  <si>
    <t>Penicillins</t>
  </si>
  <si>
    <t>Amoxycillin  (as trihydrate)   500mg Capsule or tablet</t>
  </si>
  <si>
    <t>Amoxycillin  (as trihydrate)    250mg/5ml Powder for oral suspension100 ml</t>
  </si>
  <si>
    <t xml:space="preserve">Amoxycillin  (as sodium)  500mg   Vial. (I.V,I.M) </t>
  </si>
  <si>
    <t>Amoxycillin (as trihydrate) 500mg+ Clavulanic acid (as potassium salt)  125mg Tablet  (co amoxiclav 500 /125)</t>
  </si>
  <si>
    <t>Amoxycillin (as trihydrate)  250mg+ Clavulanic acid (as potassium salt) 62.5mg/5ml Powder for oral suspension (co amoxiclav 250 /62.5)</t>
  </si>
  <si>
    <t>Tazobactam (as sodium salt) 500mg + piperacillin (as sodium salt) 4gm   I.V infusion (with or without EDTA)</t>
  </si>
  <si>
    <t>Flucloxacillin (as sodium)  500mg Vial,I.M , I.V with or without other route</t>
  </si>
  <si>
    <t xml:space="preserve">Cephalosporins                                                                                         
</t>
  </si>
  <si>
    <t>Cephalexin  ( as monohydrate ) eq. to  500 mg anhydrous ( Cephalexin  500 mg ) capsule</t>
  </si>
  <si>
    <t>Cephalexin (as monohydrate) 250mg/5ml,Powder for oral suspension 100ml</t>
  </si>
  <si>
    <t>Ceftazidime (as pentahydrate)  1g I.V. Injection +solvent water for injection (Carbonate or Arginine formula)</t>
  </si>
  <si>
    <r>
      <rPr>
        <b val="1"/>
        <sz val="12"/>
        <color indexed="8"/>
        <rFont val="Arial"/>
      </rPr>
      <t xml:space="preserve">Ceftriaxone  (as Sodium)  or (as disodium salt ) or(Disodium sesquarterhydrate )  1g I.V. Injection +(10 ml )solvent water for injection  </t>
    </r>
    <r>
      <rPr>
        <b val="1"/>
        <sz val="12"/>
        <color indexed="13"/>
        <rFont val="Arial"/>
      </rPr>
      <t xml:space="preserve">                                                                                                              </t>
    </r>
  </si>
  <si>
    <t xml:space="preserve">Cefotaxime (as sodium salt ) 500mg   + solvent (10ml) water for injection vial injection IV&amp; IM   </t>
  </si>
  <si>
    <t>Aminoglycosides</t>
  </si>
  <si>
    <t xml:space="preserve">Amikacin (as sulphate)   250mg/ml, (2ml)  Vial  or Ampoule for  I.M , slow I.V or I.V infusion </t>
  </si>
  <si>
    <t>Gentamicin (as sulphate) 40mg/ml, (2ml)  Vial  or Ampoule I.V.,I.M.</t>
  </si>
  <si>
    <t>Gentamicin (as sulphate)  10mg/ml, (2ml Vial  or Ampoule) I.M , I.V</t>
  </si>
  <si>
    <t>Tetracyclines</t>
  </si>
  <si>
    <t>Doxycycline ( as hyclate )100 mg tablet or capsule</t>
  </si>
  <si>
    <t>Tigecycline  50 mg  vial I.V. infusion</t>
  </si>
  <si>
    <t>Sulphonamide and trimethoprim</t>
  </si>
  <si>
    <t>Co-trimoxazole  480mg Tablet</t>
  </si>
  <si>
    <t>Co-trimoxazole  240mg/5ml, Suspension</t>
  </si>
  <si>
    <t>Ciprofloxacin as hydrochloride  or Ciprofloxacin as hydrochloride  monohydrate  500mg Tablet</t>
  </si>
  <si>
    <t>Azithromycin (as dihydrate  ) or ( as  monohydrate) or base(anhydrous)  200mg/5ml   ( 22.5ml )   powder for oral suspention</t>
  </si>
  <si>
    <t xml:space="preserve">Meropenem (as trihydrate) 1gm Vial I.V , I.V infusion </t>
  </si>
  <si>
    <t xml:space="preserve">Meropenem (as trihydrate or  anhydrous)  500mg I.V.,I.V  Infusion Vial </t>
  </si>
  <si>
    <t>Azithromycin (as dihydrate)or (as monohydrate)eq. To anhydrous Azithromycin 500mg  base  capsule  or tablet</t>
  </si>
  <si>
    <t>Vancomycin (as hydrochloride) 1gm  Vial.</t>
  </si>
  <si>
    <t xml:space="preserve">Clindamycin (as phosphate) 150mg/ml,   (2ml) Ampoule or vial I.V.,I.M </t>
  </si>
  <si>
    <t xml:space="preserve">Ciprofloxacin (as lactate or as hydrochloride) 2mg/ml in sodium cloride  0.9%100ml(200mg  ) I.V. infusion  (Electrolyte Na+ 15.4 mmol/100ml )  </t>
  </si>
  <si>
    <r>
      <rPr>
        <b val="1"/>
        <sz val="12"/>
        <color indexed="8"/>
        <rFont val="Arial"/>
      </rPr>
      <t xml:space="preserve">Colistimethate sodium 1000000 IU powder for solution for </t>
    </r>
    <r>
      <rPr>
        <b val="1"/>
        <sz val="12"/>
        <color indexed="13"/>
        <rFont val="Arial"/>
      </rPr>
      <t>(IV,IM ) or ( IV,IM , inhalation)</t>
    </r>
  </si>
  <si>
    <t xml:space="preserve">Antitubercular drugs                                                       يستعمل Rifampicin في :-
- (Brucellosis, Endocarditis, Legionnaires disease in combination with other drugs, Leprosy, Prophylaxis of meningococcal meningitis &amp; H. influenza Type (b) infection)  
</t>
  </si>
  <si>
    <t>Rifampicin 150 mg + Isoniazid 75mg +Ethambutol 275mg+pyrzinamid 400mg (RHEZ)=KIT</t>
  </si>
  <si>
    <t xml:space="preserve">Rifampicin 150 mg + Isoniazid 75mg (RH)=KIT </t>
  </si>
  <si>
    <t>Ethambutol hydrochloride  400mg Tablet</t>
  </si>
  <si>
    <t>Pyrazinamide  400mg Tablet</t>
  </si>
  <si>
    <t>Isoniazid  100mg Tablet</t>
  </si>
  <si>
    <t>Cycloserine  250mg Tablet or capsule</t>
  </si>
  <si>
    <t>Levofloxacin   500mg Scored Tablet</t>
  </si>
  <si>
    <t>Rifampicin 60mg + Isoniazid 30mg + Pyrazinamide150  mg or Rifampicin 75 mg + Isoniazid 50 mg  Pyrazinamide 150 mg disperable tablet  or  tablet</t>
  </si>
  <si>
    <t>Rifampicin60mg + Isoniazid 30mg   or Rifampicin 75 mg + Isoniazid 50 mg  disperable tablet  or  tablet</t>
  </si>
  <si>
    <t xml:space="preserve">Para-aminosalicylic acid (PAS) 4gm/ sachet oral
 </t>
  </si>
  <si>
    <t>Ethambutol hydrochloride 100mg  film coated Tablet</t>
  </si>
  <si>
    <t>Prothionamide 250mg tablet</t>
  </si>
  <si>
    <t>Clofazimine 100mg Capsule</t>
  </si>
  <si>
    <t>Bedaquiline 100mg tablet</t>
  </si>
  <si>
    <t>Linezolid  600 mg tablet</t>
  </si>
  <si>
    <t>Delamanid 50mg tablet</t>
  </si>
  <si>
    <r>
      <rPr>
        <b val="1"/>
        <sz val="12"/>
        <color indexed="8"/>
        <rFont val="Arial"/>
      </rPr>
      <t xml:space="preserve">Pretomanid 200mg tablet </t>
    </r>
    <r>
      <rPr>
        <b val="1"/>
        <sz val="12"/>
        <color indexed="13"/>
        <rFont val="Arial"/>
      </rPr>
      <t xml:space="preserve">
</t>
    </r>
    <r>
      <rPr>
        <b val="1"/>
        <sz val="12"/>
        <color indexed="13"/>
        <rFont val="Arial"/>
      </rPr>
      <t>توفر مجانا من قبل المنظمات الاممية والدولية ذات العلاقة والمعتمدة من قبل وزارة الصحة</t>
    </r>
  </si>
  <si>
    <r>
      <rPr>
        <b val="1"/>
        <sz val="12"/>
        <color indexed="8"/>
        <rFont val="Arial"/>
      </rPr>
      <t xml:space="preserve">Rifapentine 150 mg tablet  
</t>
    </r>
    <r>
      <rPr>
        <b val="1"/>
        <sz val="12"/>
        <color indexed="13"/>
        <rFont val="Arial"/>
      </rPr>
      <t>توفر مجانا من قبل المنظمات الاممية والدولية ذات العلاقة والمعتمدة من قبل وزارة الصحة</t>
    </r>
  </si>
  <si>
    <r>
      <rPr>
        <b val="1"/>
        <sz val="12"/>
        <color indexed="8"/>
        <rFont val="Arial"/>
      </rPr>
      <t xml:space="preserve">Bedaquiline 20 mg dispersable tablet 
</t>
    </r>
    <r>
      <rPr>
        <b val="1"/>
        <sz val="12"/>
        <color indexed="8"/>
        <rFont val="Arial"/>
      </rPr>
      <t xml:space="preserve"> </t>
    </r>
    <r>
      <rPr>
        <b val="1"/>
        <sz val="12"/>
        <color indexed="13"/>
        <rFont val="Arial"/>
      </rPr>
      <t>توفر بشكل مجاني من الجهات المانحة</t>
    </r>
  </si>
  <si>
    <r>
      <rPr>
        <b val="1"/>
        <sz val="12"/>
        <color indexed="8"/>
        <rFont val="Arial"/>
      </rPr>
      <t xml:space="preserve">Linezolid 150mg dispersable tablet
</t>
    </r>
    <r>
      <rPr>
        <b val="1"/>
        <sz val="12"/>
        <color indexed="13"/>
        <rFont val="Arial"/>
      </rPr>
      <t>توفر بشكل مجاني من الجهات المانحة</t>
    </r>
  </si>
  <si>
    <t>Drugs for UTI</t>
  </si>
  <si>
    <t>Nitrofurantoin   100mg Tablet or capsule</t>
  </si>
  <si>
    <t>ANTIVIRAL DRUGS</t>
  </si>
  <si>
    <t>Acyclovir (as sodium salt)   250mg  Vial I.V. Infusion</t>
  </si>
  <si>
    <t>Acyclovir 200mg/5ml Suspension</t>
  </si>
  <si>
    <t>Ganciclovir 500mg  Vial  I.V. Infusion</t>
  </si>
  <si>
    <t>Oseltamivir as phosphate 75mg capsule</t>
  </si>
  <si>
    <r>
      <rPr>
        <b val="1"/>
        <sz val="12"/>
        <color indexed="8"/>
        <rFont val="Arial"/>
      </rPr>
      <t xml:space="preserve">Ribavirin 200mg/5ml (100 ml) oral solution                         </t>
    </r>
  </si>
  <si>
    <t>Ribavirin 200mg tablet or capsule</t>
  </si>
  <si>
    <t>Entecavir  (as monohydrate)  0.5  mg tablet</t>
  </si>
  <si>
    <r>
      <rPr>
        <b val="1"/>
        <sz val="12"/>
        <color indexed="8"/>
        <rFont val="Arial"/>
      </rPr>
      <t xml:space="preserve">Tenofovir alafenamide (as Tenofovir alafenamide fumarate) 25 mg tablet
</t>
    </r>
    <r>
      <rPr>
        <b val="1"/>
        <sz val="12"/>
        <color indexed="13"/>
        <rFont val="Arial"/>
      </rPr>
      <t xml:space="preserve">بنسبة 20% من احتياج المادة بالرمز الوطني 
</t>
    </r>
    <r>
      <rPr>
        <b val="1"/>
        <sz val="12"/>
        <color indexed="13"/>
        <rFont val="Arial"/>
      </rPr>
      <t xml:space="preserve">(05-B00-055) </t>
    </r>
  </si>
  <si>
    <t xml:space="preserve">Entecavir (as monohydrate) 50μg / ml oral solution </t>
  </si>
  <si>
    <t>Sofosbuvir 400mg/Velpatasvir 100mg film coated tablet</t>
  </si>
  <si>
    <t>Acyclovir  200mg Tablet</t>
  </si>
  <si>
    <t>Zidovudine + lamivudine 60mg/30mg dispersible tablet</t>
  </si>
  <si>
    <t>Lopinavir + Ritonavir 80/20mg/ml syrup</t>
  </si>
  <si>
    <t>Tenofovir disoproxil fumarate + Lamivudine +Dolutegravir 300mg/300mg/50mg tablet</t>
  </si>
  <si>
    <t>ANTIFUNGAL DRUGS</t>
  </si>
  <si>
    <t>Fluconazole  150mg Tablet  or capsule</t>
  </si>
  <si>
    <t>Nystatin  100000 U/ml Suspension (30 ml)</t>
  </si>
  <si>
    <t>ANTIPROTOZAL DRUGS</t>
  </si>
  <si>
    <t>Hydroxychloroquine  sulphate 200mg Tablet</t>
  </si>
  <si>
    <t>Metronidazole 500 mg coated  tablet</t>
  </si>
  <si>
    <r>
      <rPr>
        <b val="1"/>
        <sz val="12"/>
        <color indexed="8"/>
        <rFont val="Arial"/>
      </rPr>
      <t xml:space="preserve">Metronidazole  5mg/ml, (100ml) I.V. Infusion Vial </t>
    </r>
    <r>
      <rPr>
        <b val="1"/>
        <sz val="12"/>
        <color indexed="13"/>
        <rFont val="Arial"/>
      </rPr>
      <t xml:space="preserve">
</t>
    </r>
    <r>
      <rPr>
        <b val="1"/>
        <sz val="12"/>
        <color indexed="13"/>
        <rFont val="Arial"/>
      </rPr>
      <t xml:space="preserve">لا مانع من أقرار( العبوة البلاستيكية) اضافة الى المقر    وعدم تأثيرها على المادة الفعالة
</t>
    </r>
  </si>
  <si>
    <t>Metronidazole  (as benzoate)  200mg/5ml,Suspension</t>
  </si>
  <si>
    <t>Sodium stibogluconate inj equivalent to pentavalant.antimony 100mg/ml  (100ml)  Vial or sodium antimony gluconate 100mg/ml</t>
  </si>
  <si>
    <t>paromomycin 15%+ methylbenzethonium chloride 12%  ointment</t>
  </si>
  <si>
    <t xml:space="preserve">Artemether 20 mg +Lumefantrine 120 mg tablet    </t>
  </si>
  <si>
    <t>ANTIHELMINTHIC DRUGS</t>
  </si>
  <si>
    <t>Albendazole  100mg/5ml Suspension</t>
  </si>
  <si>
    <t>Mebendazole  100mg tablet or chewable  Tablet</t>
  </si>
  <si>
    <t>Mebendazole  500mg  Tablet</t>
  </si>
  <si>
    <t>Triclabendazole 250mg tablet</t>
  </si>
  <si>
    <t>DRUGS FOR ENDOCRINE AND METABOLIC DISORDERS</t>
  </si>
  <si>
    <t>DRUGS USED IN DIABETES</t>
  </si>
  <si>
    <t>Insulins (human)( Each insulin vial = 3.3 pen</t>
  </si>
  <si>
    <t>insulin Human  (rDNA) ( isophane ,NPH) suspention  100IU\ml(  (eq. 3.5mg) 10ml  vial SC</t>
  </si>
  <si>
    <t xml:space="preserve">insulin Human  (soluble,regular) (rDNA) 100 IU\ml  (eq. 3.5mg) 10mlvial SC. injection, IV infusion, IM injection.   </t>
  </si>
  <si>
    <t xml:space="preserve">insulin Human suspention (rDNA) as( 30% soluble+70% isophane ) 100IU\ml   (3.5mg)     10ml vial SC </t>
  </si>
  <si>
    <r>
      <rPr>
        <b val="1"/>
        <sz val="12"/>
        <color indexed="8"/>
        <rFont val="Arial"/>
      </rPr>
      <t xml:space="preserve">Each 1ml solution contains:- 100U   (3.64mg ) of Insluin glargine  (r-DNA)  3ml pre- Filled pen   S.C   use or its approved biosimilar
</t>
    </r>
    <r>
      <rPr>
        <b val="1"/>
        <sz val="12"/>
        <color indexed="8"/>
        <rFont val="Arial"/>
      </rPr>
      <t xml:space="preserve"> قاعدة اقل الاسعار مع المادة بالرمز الوطني
</t>
    </r>
    <r>
      <rPr>
        <b val="1"/>
        <sz val="12"/>
        <color indexed="8"/>
        <rFont val="Arial"/>
      </rPr>
      <t xml:space="preserve">(06-AA0-017)
</t>
    </r>
    <r>
      <rPr>
        <b val="1"/>
        <sz val="12"/>
        <color indexed="8"/>
        <rFont val="Arial"/>
      </rPr>
      <t xml:space="preserve">(06-AA0-028)
</t>
    </r>
  </si>
  <si>
    <t xml:space="preserve"> hypoglycemic agents</t>
  </si>
  <si>
    <t>Glibenclamide  5mg Tablet</t>
  </si>
  <si>
    <t>Metformin hydrochloride  500mg Tablet</t>
  </si>
  <si>
    <t xml:space="preserve">Metformin hydrochloride  1000mg ordinary Tablet </t>
  </si>
  <si>
    <t xml:space="preserve">Glimepiride 2mg  Tablet        </t>
  </si>
  <si>
    <t>Sitagliptin (as phosphate monohydrate or hydrochloride monohydrate )100mg  film coated tablet</t>
  </si>
  <si>
    <t>Empagliflozin 10 mg tablet</t>
  </si>
  <si>
    <t>Dapagliflozin ( as propanediol monohydrate) 5 mg tablet</t>
  </si>
  <si>
    <t>Dapagliflozin ( as propanediol monohydrate) 10 mg tablet</t>
  </si>
  <si>
    <t>TREATMENT OF HYPOGLYCAEMIA</t>
  </si>
  <si>
    <t>Glucagon 1mg ≡  1  I.U (as hydrochloride) Biosynthetic /ml with solvent S.C, I.M , I.V (inj- vial )</t>
  </si>
  <si>
    <t xml:space="preserve">HYPOTHALAMIC AND PITUITARY HORMONES
</t>
  </si>
  <si>
    <t>Desmopressin acetate  150 mcg/dose  metered nasal spray  delivering 25 doses</t>
  </si>
  <si>
    <t>Somatropin (Recombinant Human Growth Hormone,rhGH)  vial or pen   Each 1.33mg= 4 unit
or  it‘s approved Biosimilar</t>
  </si>
  <si>
    <r>
      <rPr>
        <b val="1"/>
        <sz val="12"/>
        <color indexed="19"/>
        <rFont val="Times New Roman"/>
      </rPr>
      <t xml:space="preserve">Urofollitropin (highly purified human postmenopausal urinary  follicle stimulating hormone,HP-uFSH) 75 IU
</t>
    </r>
    <r>
      <rPr>
        <b val="1"/>
        <sz val="12"/>
        <color indexed="19"/>
        <rFont val="Times New Roman"/>
      </rPr>
      <t xml:space="preserve">vial or ampoule im or sc injection  </t>
    </r>
    <r>
      <rPr>
        <b val="1"/>
        <sz val="12"/>
        <color indexed="13"/>
        <rFont val="Times New Roman"/>
      </rPr>
      <t xml:space="preserve">
</t>
    </r>
    <r>
      <rPr>
        <b val="1"/>
        <sz val="12"/>
        <color indexed="13"/>
        <rFont val="Times New Roman"/>
      </rPr>
      <t xml:space="preserve">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t>
    </r>
    <r>
      <rPr>
        <b val="1"/>
        <sz val="12"/>
        <color indexed="13"/>
        <rFont val="Times New Roman"/>
      </rPr>
      <t xml:space="preserve">الكفاءة على ان تقاس بطريقة 
</t>
    </r>
    <r>
      <rPr>
        <b val="1"/>
        <sz val="12"/>
        <color indexed="13"/>
        <rFont val="Times New Roman"/>
      </rPr>
      <t xml:space="preserve">  priuns filled by mass
</t>
    </r>
    <r>
      <rPr>
        <b val="1"/>
        <sz val="12"/>
        <color indexed="13"/>
        <rFont val="Times New Roman"/>
      </rPr>
      <t xml:space="preserve">
</t>
    </r>
    <r>
      <rPr>
        <b val="1"/>
        <sz val="12"/>
        <color indexed="13"/>
        <rFont val="Times New Roman"/>
      </rPr>
      <t xml:space="preserve">قاعدة اقل الاسعار  
</t>
    </r>
    <r>
      <rPr>
        <b val="1"/>
        <sz val="12"/>
        <color indexed="13"/>
        <rFont val="Times New Roman"/>
      </rPr>
      <t xml:space="preserve">(06-C00-044) 
</t>
    </r>
    <r>
      <rPr>
        <b val="1"/>
        <sz val="12"/>
        <color indexed="13"/>
        <rFont val="Times New Roman"/>
      </rPr>
      <t xml:space="preserve">(06-C00-011)  
</t>
    </r>
    <r>
      <rPr>
        <b val="1"/>
        <sz val="12"/>
        <color indexed="13"/>
        <rFont val="Times New Roman"/>
      </rPr>
      <t xml:space="preserve"> 
</t>
    </r>
    <r>
      <rPr>
        <b val="1"/>
        <sz val="12"/>
        <color indexed="13"/>
        <rFont val="Times New Roman"/>
      </rPr>
      <t xml:space="preserve">
</t>
    </r>
  </si>
  <si>
    <r>
      <rPr>
        <b val="1"/>
        <sz val="12"/>
        <color indexed="19"/>
        <rFont val="Arial"/>
      </rPr>
      <t>Follitropin alfa (recombinant human follicle stimulating hormone ,r-hFSH) 75 IU vial S.C , I.M  injection  or its approved biosimilar</t>
    </r>
    <r>
      <rPr>
        <b val="1"/>
        <sz val="12"/>
        <color indexed="13"/>
        <rFont val="Arial"/>
      </rPr>
      <t xml:space="preserve">
</t>
    </r>
    <r>
      <rPr>
        <b val="1"/>
        <sz val="12"/>
        <color indexed="13"/>
        <rFont val="Arial"/>
      </rPr>
      <t xml:space="preserve">قاعدة اقل الاسعار  
</t>
    </r>
    <r>
      <rPr>
        <b val="1"/>
        <sz val="12"/>
        <color indexed="13"/>
        <rFont val="Arial"/>
      </rPr>
      <t xml:space="preserve">(06-C00-044) 
</t>
    </r>
    <r>
      <rPr>
        <b val="1"/>
        <sz val="12"/>
        <color indexed="13"/>
        <rFont val="Arial"/>
      </rPr>
      <t xml:space="preserve">(06-C00-011)
</t>
    </r>
  </si>
  <si>
    <r>
      <rPr>
        <b val="1"/>
        <sz val="12"/>
        <color indexed="19"/>
        <rFont val="Times New Roman"/>
      </rPr>
      <t xml:space="preserve">menotrophin 75 (human menopausal gonadotrophin, HMG) corresponding to highly purified human postmenopausal urinary  follicle stimulating hormone,FSH 75 IU +highly purified human postmenopausal urinary  luteinising hormone,LH 75 IU  powder+solvent ampoule or vial  I.M ,S.C   
</t>
    </r>
    <r>
      <rPr>
        <b val="1"/>
        <sz val="12"/>
        <color indexed="13"/>
        <rFont val="Times New Roman"/>
      </rPr>
      <t xml:space="preserve">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t>
    </r>
    <r>
      <rPr>
        <b val="1"/>
        <sz val="12"/>
        <color indexed="13"/>
        <rFont val="Times New Roman"/>
      </rPr>
      <t xml:space="preserve">الكفاءة على ان تقاس بطريقة 
</t>
    </r>
    <r>
      <rPr>
        <b val="1"/>
        <sz val="12"/>
        <color indexed="13"/>
        <rFont val="Times New Roman"/>
      </rPr>
      <t xml:space="preserve">  priuns filled by mass</t>
    </r>
  </si>
  <si>
    <r>
      <rPr>
        <b val="1"/>
        <sz val="12"/>
        <color indexed="19"/>
        <rFont val="Times New Roman"/>
      </rPr>
      <t xml:space="preserve">higly purified  Urinary human chorionic gonadotrophin (HCG) 5000 IU powder  + solvent   vial or ampoule  ,I.M, S.C injection
</t>
    </r>
    <r>
      <rPr>
        <b val="1"/>
        <sz val="12"/>
        <color indexed="13"/>
        <rFont val="Times New Roman"/>
      </rPr>
      <t xml:space="preserve">
</t>
    </r>
    <r>
      <rPr>
        <b val="1"/>
        <sz val="12"/>
        <color indexed="13"/>
        <rFont val="Times New Roman"/>
      </rPr>
      <t xml:space="preserve">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t>
    </r>
    <r>
      <rPr>
        <b val="1"/>
        <sz val="12"/>
        <color indexed="13"/>
        <rFont val="Times New Roman"/>
      </rPr>
      <t xml:space="preserve">الكفاءة على ان تقاس بطريقة 
</t>
    </r>
    <r>
      <rPr>
        <b val="1"/>
        <sz val="12"/>
        <color indexed="13"/>
        <rFont val="Times New Roman"/>
      </rPr>
      <t xml:space="preserve">  priuns filled by mass
</t>
    </r>
    <r>
      <rPr>
        <b val="1"/>
        <sz val="12"/>
        <color indexed="13"/>
        <rFont val="Times New Roman"/>
      </rPr>
      <t xml:space="preserve">
</t>
    </r>
    <r>
      <rPr>
        <b val="1"/>
        <sz val="12"/>
        <color indexed="13"/>
        <rFont val="Times New Roman"/>
      </rPr>
      <t xml:space="preserve"> قاعدة اقل الاسعار 
</t>
    </r>
    <r>
      <rPr>
        <b val="1"/>
        <sz val="12"/>
        <color indexed="13"/>
        <rFont val="Times New Roman"/>
      </rPr>
      <t xml:space="preserve">(06-C00-021)
</t>
    </r>
    <r>
      <rPr>
        <b val="1"/>
        <sz val="12"/>
        <color indexed="13"/>
        <rFont val="Times New Roman"/>
      </rPr>
      <t xml:space="preserve">(06-C00-046) </t>
    </r>
  </si>
  <si>
    <r>
      <rPr>
        <b val="1"/>
        <sz val="12"/>
        <color indexed="19"/>
        <rFont val="Arial"/>
      </rPr>
      <t xml:space="preserve">Choriogonadotropin alfa( Recombinant  human choriogonadotropin alfa,r-hCG ) 250mcg (6500 IU )     pre-filled syring S.C injection     
</t>
    </r>
    <r>
      <rPr>
        <b val="1"/>
        <sz val="12"/>
        <color indexed="13"/>
        <rFont val="Arial"/>
      </rPr>
      <t xml:space="preserve">
</t>
    </r>
    <r>
      <rPr>
        <b val="1"/>
        <sz val="12"/>
        <color indexed="13"/>
        <rFont val="Arial"/>
      </rPr>
      <t xml:space="preserve"> قاعدة اقل الاسعار 
</t>
    </r>
    <r>
      <rPr>
        <b val="1"/>
        <sz val="12"/>
        <color indexed="13"/>
        <rFont val="Arial"/>
      </rPr>
      <t xml:space="preserve">(06-C00-021)
</t>
    </r>
    <r>
      <rPr>
        <b val="1"/>
        <sz val="12"/>
        <color indexed="13"/>
        <rFont val="Arial"/>
      </rPr>
      <t>(06-C00-046)</t>
    </r>
    <r>
      <rPr>
        <b val="1"/>
        <sz val="12"/>
        <color indexed="19"/>
        <rFont val="Arial"/>
      </rPr>
      <t xml:space="preserve"> </t>
    </r>
    <r>
      <rPr>
        <b val="1"/>
        <sz val="12"/>
        <color indexed="13"/>
        <rFont val="Arial"/>
      </rPr>
      <t xml:space="preserve"> 
</t>
    </r>
    <r>
      <rPr>
        <b val="1"/>
        <sz val="12"/>
        <color indexed="13"/>
        <rFont val="Arial"/>
      </rPr>
      <t xml:space="preserve">                           
</t>
    </r>
  </si>
  <si>
    <t>thyrotropin alfa (Recombinant human thyroid stimulating hormone; rhTSH ) 0.9 mg vial IM injection</t>
  </si>
  <si>
    <t>THYROID HORMONES AND ANTITHYROID DRUGS</t>
  </si>
  <si>
    <t>Carbimazole  5mg Tablet</t>
  </si>
  <si>
    <t xml:space="preserve">Thyroxine sodium or anhydrous  Levothyroxin Sodium 50mcg tablet </t>
  </si>
  <si>
    <t>Thyroxine sodium or anhydrous  Levothyroxin Sodium 100mcg Tablet</t>
  </si>
  <si>
    <t>Potassium iodide  60mg tablet
يتم انتاجه من قبل المصانع الوطنية</t>
  </si>
  <si>
    <t xml:space="preserve">CORTICOSTEROIDS  </t>
  </si>
  <si>
    <r>
      <rPr>
        <b val="1"/>
        <sz val="12"/>
        <color indexed="8"/>
        <rFont val="Arial"/>
      </rPr>
      <t xml:space="preserve">Dexamethasone phosphate (as disodium salt or as sodium salt )  8mg/2ml (2ml Ampoule or Vial) I.V . I.M or I.V infusion
</t>
    </r>
    <r>
      <rPr>
        <b val="1"/>
        <sz val="12"/>
        <color indexed="8"/>
        <rFont val="Arial"/>
      </rPr>
      <t xml:space="preserve">
</t>
    </r>
    <r>
      <rPr>
        <b val="1"/>
        <sz val="12"/>
        <color indexed="8"/>
        <rFont val="Arial"/>
      </rPr>
      <t xml:space="preserve"> </t>
    </r>
    <r>
      <rPr>
        <b val="1"/>
        <sz val="12"/>
        <color indexed="13"/>
        <rFont val="Arial"/>
      </rPr>
      <t xml:space="preserve">يثبت التحذير الاتي على العبوة الخارجية والنشرة الداخلية  للمستحظرات الحاوية على مادة ( Sodium Metabisulfite)
</t>
    </r>
    <r>
      <rPr>
        <b val="1"/>
        <sz val="12"/>
        <color indexed="13"/>
        <rFont val="Arial"/>
      </rPr>
      <t xml:space="preserve">Caution To be written if the products contain metabisulphite as  following (Caution: this product contain metabisulphite  may cause broncho spasm in atopic &amp; Asthmatic subjects).
</t>
    </r>
    <r>
      <rPr>
        <b val="1"/>
        <sz val="12"/>
        <color indexed="13"/>
        <rFont val="Arial"/>
      </rPr>
      <t xml:space="preserve">ولا يعتبر وجود مادة
</t>
    </r>
    <r>
      <rPr>
        <b val="1"/>
        <sz val="12"/>
        <color indexed="13"/>
        <rFont val="Arial"/>
      </rPr>
      <t xml:space="preserve"> ( Sodium Metabisulfite) 
</t>
    </r>
    <r>
      <rPr>
        <b val="1"/>
        <sz val="12"/>
        <color indexed="13"/>
        <rFont val="Arial"/>
      </rPr>
      <t xml:space="preserve">في المستحضرات شرطا مانعا لتسجيلها
</t>
    </r>
    <r>
      <rPr>
        <b val="1"/>
        <sz val="12"/>
        <color indexed="13"/>
        <rFont val="Arial"/>
      </rPr>
      <t xml:space="preserve">
</t>
    </r>
  </si>
  <si>
    <t>Hydrocortisone (as sodium succinate or  Hydrogen succinate)  eq. to  100mg  hydrocortisone Vial with 2 ml ampoule of  solvent for solution for injection  or Act-o-vial system , I.M. , , slow I.V, I.V. Infusion</t>
  </si>
  <si>
    <t>Prednisolone  5mg Tablet  or  Enteric Coated Tablet</t>
  </si>
  <si>
    <r>
      <rPr>
        <b val="1"/>
        <sz val="12"/>
        <color indexed="8"/>
        <rFont val="Arial"/>
      </rPr>
      <t xml:space="preserve">Methylprednisolone acetate  80mg/2ml  I.M, intra-articular, injection (2ml) Vial or Ampoule
</t>
    </r>
    <r>
      <rPr>
        <b val="1"/>
        <sz val="12"/>
        <color indexed="8"/>
        <rFont val="Arial"/>
      </rPr>
      <t xml:space="preserve">   </t>
    </r>
    <r>
      <rPr>
        <b val="1"/>
        <sz val="12"/>
        <color indexed="13"/>
        <rFont val="Arial"/>
      </rPr>
      <t>Note: It is preferable to mark by red colour  (Not for I.V use) on the:   - Outer pack - Package insert  Vial or amp { If it's aqueous suspention , Route of administration will be I.M, intra-articular,.&amp;into soft tissue (i-e intra lesional)}</t>
    </r>
  </si>
  <si>
    <t>FEMALE SEX HORMONES</t>
  </si>
  <si>
    <t xml:space="preserve">Norethisterone  5mg Tablet  </t>
  </si>
  <si>
    <t>Medroxyprogesterone acetate  150mg/ml deep I.M inj, (1ml) Vial</t>
  </si>
  <si>
    <t>Progesterone 400mg  vaginal Suppository or  Pessaries</t>
  </si>
  <si>
    <t xml:space="preserve">MALE SEX HORMONES AND ANTI-ANDROGENS                                                      </t>
  </si>
  <si>
    <t>Finasteride 5mg Tablet</t>
  </si>
  <si>
    <t>DRUGS AFFECTING  BONE METABOLISM</t>
  </si>
  <si>
    <t>Calcitonin</t>
  </si>
  <si>
    <r>
      <rPr>
        <b val="1"/>
        <sz val="12"/>
        <color indexed="8"/>
        <rFont val="Arial"/>
      </rPr>
      <t xml:space="preserve">Cinacalcet as hydrochloride ) 30 mg tablet   
</t>
    </r>
    <r>
      <rPr>
        <b val="1"/>
        <sz val="12"/>
        <color indexed="13"/>
        <rFont val="Arial"/>
      </rPr>
      <t xml:space="preserve">
</t>
    </r>
    <r>
      <rPr>
        <b val="1"/>
        <sz val="12"/>
        <color indexed="13"/>
        <rFont val="Arial"/>
      </rPr>
      <t xml:space="preserve"> تقوم الشركة المجهزة بتوفير
</t>
    </r>
    <r>
      <rPr>
        <b val="1"/>
        <sz val="12"/>
        <color indexed="13"/>
        <rFont val="Arial"/>
      </rPr>
      <t xml:space="preserve">( kit ) المستخدم لتحليل نسبة
</t>
    </r>
    <r>
      <rPr>
        <b val="1"/>
        <sz val="12"/>
        <color indexed="13"/>
        <rFont val="Arial"/>
      </rPr>
      <t xml:space="preserve"> ( parathyroid hormones ) 
</t>
    </r>
    <r>
      <rPr>
        <b val="1"/>
        <sz val="12"/>
        <color indexed="13"/>
        <rFont val="Arial"/>
      </rPr>
      <t xml:space="preserve"> مجانا"</t>
    </r>
  </si>
  <si>
    <r>
      <rPr>
        <b val="1"/>
        <sz val="12"/>
        <color indexed="8"/>
        <rFont val="Arial"/>
      </rPr>
      <t xml:space="preserve">Cinacalcet as hydrochloride  60 mg tablet   </t>
    </r>
    <r>
      <rPr>
        <b val="1"/>
        <sz val="12"/>
        <color indexed="13"/>
        <rFont val="Arial"/>
      </rPr>
      <t xml:space="preserve">
</t>
    </r>
    <r>
      <rPr>
        <b val="1"/>
        <sz val="12"/>
        <color indexed="13"/>
        <rFont val="Arial"/>
      </rPr>
      <t xml:space="preserve"> تقوم الشركة المجهزة بتوفير
</t>
    </r>
    <r>
      <rPr>
        <b val="1"/>
        <sz val="12"/>
        <color indexed="13"/>
        <rFont val="Arial"/>
      </rPr>
      <t xml:space="preserve">( kit ) المستخدم لتحليل نسبة
</t>
    </r>
    <r>
      <rPr>
        <b val="1"/>
        <sz val="12"/>
        <color indexed="13"/>
        <rFont val="Arial"/>
      </rPr>
      <t xml:space="preserve"> ( parathyroid hormones ) 
</t>
    </r>
    <r>
      <rPr>
        <b val="1"/>
        <sz val="12"/>
        <color indexed="13"/>
        <rFont val="Arial"/>
      </rPr>
      <t xml:space="preserve"> مجانا"</t>
    </r>
  </si>
  <si>
    <t>Bisphosphonates and other drug affecting bone metabolism</t>
  </si>
  <si>
    <t>Zoledronic acid 4mg/ 5ml concentrate for I.V infution</t>
  </si>
  <si>
    <t>Ibandronic acid (as mono sodium salt monohydrate) 150mg</t>
  </si>
  <si>
    <t>Denosumab  60 mg /1 ml pfs</t>
  </si>
  <si>
    <t>OTHER ENDOCRINE DRUGS</t>
  </si>
  <si>
    <t>cabergoline 0.5mg tablet</t>
  </si>
  <si>
    <t>Clomiphene citrate 50mg Tablet</t>
  </si>
  <si>
    <t xml:space="preserve">DRUGS USED IN HYPERLIPIDAEMIA                        </t>
  </si>
  <si>
    <t>Atorvastatin calcium trihydrate or Atorvastatin calcium  eq. Atorvastatin40mg coatedTablet</t>
  </si>
  <si>
    <t>Atorvastatin calcium trihydrate or Atorvastatin calcium eq. Atorvastatin 20mg coatedTablet</t>
  </si>
  <si>
    <t>Rosuvastatin (as calcium salt)  10mg coated Tablet</t>
  </si>
  <si>
    <t>GENITO-URINARY DISORDERS</t>
  </si>
  <si>
    <t>\</t>
  </si>
  <si>
    <t>UTERINE STIMULANTS</t>
  </si>
  <si>
    <t>Methylergometrine (Methylergonovine) maleate injection 200mcg/ml  (1ml) Ampoule</t>
  </si>
  <si>
    <t>Oxytocin 10units/ml I.V.,I.M.&amp;slow I.V. infusion injection (1ml)  Ampoule</t>
  </si>
  <si>
    <t>Misoprostol 200 mcg (synthetic prostaglandin analogue) Scored or plain Tablet</t>
  </si>
  <si>
    <t>UTERINE RELAXANTS</t>
  </si>
  <si>
    <t>Atosiban (as acetate)7.5mg /ml (5ml Vial)</t>
  </si>
  <si>
    <t>TREATMENT OF VULVAL AND VAGINAL DISEASES</t>
  </si>
  <si>
    <t>Clotrimazole 1% topical  cream  (15ml )</t>
  </si>
  <si>
    <t>Miconazole nitrate 400mg Vaginal Suppository  or  ovules</t>
  </si>
  <si>
    <t>Nystatin 100000 units/g Topical Ointment</t>
  </si>
  <si>
    <t>CONTRACEPTIVES</t>
  </si>
  <si>
    <t>Combined contraceptives</t>
  </si>
  <si>
    <t xml:space="preserve">Ethinyloestradiol 30mcg+ levonorgestrel 150 mcg  Tablet   </t>
  </si>
  <si>
    <t>Progesterone only - Contraceptive</t>
  </si>
  <si>
    <t>Desogestrel 75mcg Tablet</t>
  </si>
  <si>
    <t>DRUGS USED IN URINARY TRACT DISORDERS</t>
  </si>
  <si>
    <t>Tamsulosin Hydrochloride 0.4mg equivalent 0.367mg Tamsulosin modified release Capsule or tablet</t>
  </si>
  <si>
    <t>BLOOD FORMATION AND COAGULATION</t>
  </si>
  <si>
    <t xml:space="preserve">ANAEMIA&amp; SOME OTHER BLOOD Disorders </t>
  </si>
  <si>
    <t>DRUG THERAPY FOR IRON DEFICIENCY ANAEMIAS</t>
  </si>
  <si>
    <t>Ferrous gluconate 400mg/15ml Syrup</t>
  </si>
  <si>
    <t>Ferrous sulphate  200mg Tablet</t>
  </si>
  <si>
    <t xml:space="preserve">Iron (as Iron dextran) 50mg/ml  (2ml Ampoule) by deep I.M or slow I.V or by Slow I.V infusion    </t>
  </si>
  <si>
    <t>Iron (as Iron sucrose) 20 mg/ 1ml   (5ml) Ampoule or vial SLOW INTRAVENOUS INJECTION, OR BY INTRAVENOUS
INFUSION</t>
  </si>
  <si>
    <t xml:space="preserve">DRUG THERAPY OF MEGALOBLASTIC ANAEMIA </t>
  </si>
  <si>
    <t>Folic acid 5mg Tablet</t>
  </si>
  <si>
    <t>Hydroxocobalamin or Hydroxocobalamin chloride or Hydroxocobalamin acetate or Hydroxocobalamin sulphate  equivalent to  Hydroxocobalamin  1000mcg/ml  (1ml) Ampoule I.M injection or (IM ,IV)</t>
  </si>
  <si>
    <t>Folic acid 400 mcg tablet</t>
  </si>
  <si>
    <r>
      <rPr>
        <b val="1"/>
        <sz val="12"/>
        <color indexed="8"/>
        <rFont val="Arial"/>
      </rPr>
      <t xml:space="preserve">DRUG THERAPY OF OTHER TYPES OF ANAEMIAS  
</t>
    </r>
    <r>
      <rPr>
        <b val="1"/>
        <sz val="12"/>
        <color indexed="8"/>
        <rFont val="Arial"/>
      </rPr>
      <t xml:space="preserve">  Note:- Pharmaceutical dosage form for (alfa rh Epo) will be as following (Vial and / or prefilled syring) </t>
    </r>
  </si>
  <si>
    <r>
      <rPr>
        <b val="1"/>
        <sz val="12"/>
        <color indexed="8"/>
        <rFont val="Times New Roman"/>
      </rPr>
      <t xml:space="preserve">Recombinant human erythropoietin (alfa rh Epo) 2000 I.U per vial or PFS  solution for injection 
</t>
    </r>
    <r>
      <rPr>
        <b val="1"/>
        <sz val="12"/>
        <color indexed="8"/>
        <rFont val="Times New Roman"/>
      </rPr>
      <t xml:space="preserve">or its approved biosimilar (alfa orZeta)
</t>
    </r>
    <r>
      <rPr>
        <b val="1"/>
        <sz val="12"/>
        <color indexed="8"/>
        <rFont val="Times New Roman"/>
      </rPr>
      <t xml:space="preserve">قاعدة اقل الاسعار
</t>
    </r>
    <r>
      <rPr>
        <b val="1"/>
        <sz val="12"/>
        <color indexed="8"/>
        <rFont val="Times New Roman"/>
      </rPr>
      <t xml:space="preserve">08-C00-001
</t>
    </r>
    <r>
      <rPr>
        <b val="1"/>
        <sz val="12"/>
        <color indexed="8"/>
        <rFont val="Times New Roman"/>
      </rPr>
      <t>08-C00-015</t>
    </r>
  </si>
  <si>
    <r>
      <rPr>
        <b val="1"/>
        <sz val="12"/>
        <color indexed="8"/>
        <rFont val="Times New Roman"/>
      </rPr>
      <t xml:space="preserve">Darbepoetin alfa 20 mcg prefilled syrige or  device injection SC,IV
</t>
    </r>
    <r>
      <rPr>
        <b val="1"/>
        <sz val="12"/>
        <color indexed="8"/>
        <rFont val="Times New Roman"/>
      </rPr>
      <t xml:space="preserve">على ان لايتجاوز الكلفة الشهرية للعلاج كلفة مادة  erythropoietinفي اخر عقد
</t>
    </r>
    <r>
      <rPr>
        <b val="1"/>
        <sz val="12"/>
        <color indexed="8"/>
        <rFont val="Times New Roman"/>
      </rPr>
      <t xml:space="preserve">قاعدة اقل الاسعار
</t>
    </r>
    <r>
      <rPr>
        <b val="1"/>
        <sz val="12"/>
        <color indexed="8"/>
        <rFont val="Times New Roman"/>
      </rPr>
      <t xml:space="preserve">08-C00-001
</t>
    </r>
    <r>
      <rPr>
        <b val="1"/>
        <sz val="12"/>
        <color indexed="8"/>
        <rFont val="Times New Roman"/>
      </rPr>
      <t>08-C00-015</t>
    </r>
  </si>
  <si>
    <r>
      <rPr>
        <b val="1"/>
        <sz val="12"/>
        <color indexed="8"/>
        <rFont val="Arial"/>
      </rPr>
      <t xml:space="preserve">Recombinant human erythropoietin(alfa rh Epo) 4000 IU per PFS or vial solution for injection or its approved biosimilar (alfa orZeta)
</t>
    </r>
    <r>
      <rPr>
        <b val="1"/>
        <sz val="12"/>
        <color indexed="8"/>
        <rFont val="Arial"/>
      </rPr>
      <t xml:space="preserve">قاعدة اقل الاسعار
</t>
    </r>
    <r>
      <rPr>
        <b val="1"/>
        <sz val="12"/>
        <color indexed="8"/>
        <rFont val="Arial"/>
      </rPr>
      <t xml:space="preserve">08-C00-004
</t>
    </r>
    <r>
      <rPr>
        <b val="1"/>
        <sz val="12"/>
        <color indexed="8"/>
        <rFont val="Arial"/>
      </rPr>
      <t>08-C00-016</t>
    </r>
  </si>
  <si>
    <r>
      <rPr>
        <b val="1"/>
        <sz val="12"/>
        <color indexed="8"/>
        <rFont val="Times New Roman"/>
      </rPr>
      <t xml:space="preserve">Darbepoetin alfa 40 mcg prefilled syrige or  device injection SC,IV
</t>
    </r>
    <r>
      <rPr>
        <b val="1"/>
        <sz val="12"/>
        <color indexed="8"/>
        <rFont val="Times New Roman"/>
      </rPr>
      <t xml:space="preserve">على ان لايتجاوز الكلفة الشهرية للعلاج كلفة مادة  erythropoietinفي اخر عقد
</t>
    </r>
    <r>
      <rPr>
        <b val="1"/>
        <sz val="12"/>
        <color indexed="8"/>
        <rFont val="Times New Roman"/>
      </rPr>
      <t xml:space="preserve">قاعدة اقل الاسعار
</t>
    </r>
    <r>
      <rPr>
        <b val="1"/>
        <sz val="12"/>
        <color indexed="8"/>
        <rFont val="Times New Roman"/>
      </rPr>
      <t xml:space="preserve">08-C00-004
</t>
    </r>
    <r>
      <rPr>
        <b val="1"/>
        <sz val="12"/>
        <color indexed="8"/>
        <rFont val="Times New Roman"/>
      </rPr>
      <t>08-C00-016</t>
    </r>
  </si>
  <si>
    <t>ANTICOAGULANTS AND PROTAMINE</t>
  </si>
  <si>
    <t xml:space="preserve">Heparin sodium  5000 IU/ml  SC.,I.V.( 5ml) Vial  </t>
  </si>
  <si>
    <t xml:space="preserve">Protamine sulphate 10mg/ml (with minimum of  90 anti-heparin IU/mg) (5ml) Ampoule or Vial  slow I.V. over 10 minutes  IVor  I.V. and S.C  </t>
  </si>
  <si>
    <t>Warfarin sodium   1mg Tablet</t>
  </si>
  <si>
    <t>Warfarin sodium  3mg Tablet</t>
  </si>
  <si>
    <t>Warfarin sodium  5mg Tablet</t>
  </si>
  <si>
    <t>Enoxaparin sodium 60mg  (6000 IU anti Xa(anti thrombotic effect)) /0.6ml prefilled syringe S.C  Or its approved biosimilar</t>
  </si>
  <si>
    <t>ANTIPLATELET DRUGS</t>
  </si>
  <si>
    <r>
      <rPr>
        <b val="1"/>
        <sz val="12"/>
        <color indexed="8"/>
        <rFont val="Arial"/>
      </rPr>
      <t>Ticagrelor 90 mg film coated tablet</t>
    </r>
    <r>
      <rPr>
        <b val="1"/>
        <i val="1"/>
        <sz val="12"/>
        <color indexed="8"/>
        <rFont val="Arial"/>
      </rPr>
      <t xml:space="preserve"> </t>
    </r>
    <r>
      <rPr>
        <b val="1"/>
        <sz val="12"/>
        <color indexed="13"/>
        <rFont val="Arial"/>
      </rPr>
      <t xml:space="preserve">
</t>
    </r>
    <r>
      <rPr>
        <b val="1"/>
        <sz val="12"/>
        <color indexed="13"/>
        <rFont val="Arial"/>
      </rPr>
      <t xml:space="preserve">
</t>
    </r>
    <r>
      <rPr>
        <b val="1"/>
        <sz val="12"/>
        <color indexed="13"/>
        <rFont val="Arial"/>
      </rPr>
      <t xml:space="preserve">تكون نسبة احتياجها 
</t>
    </r>
    <r>
      <rPr>
        <b val="1"/>
        <sz val="12"/>
        <color indexed="13"/>
        <rFont val="Arial"/>
      </rPr>
      <t xml:space="preserve"> 20%
</t>
    </r>
    <r>
      <rPr>
        <b val="1"/>
        <sz val="12"/>
        <color indexed="13"/>
        <rFont val="Arial"/>
      </rPr>
      <t xml:space="preserve">من الاحتياج الكلي لمادة
</t>
    </r>
    <r>
      <rPr>
        <b val="1"/>
        <sz val="12"/>
        <color indexed="13"/>
        <rFont val="Arial"/>
      </rPr>
      <t xml:space="preserve"> (08-E00-005)  Clopidogrel 75 mg</t>
    </r>
  </si>
  <si>
    <r>
      <rPr>
        <b val="1"/>
        <sz val="12"/>
        <color indexed="8"/>
        <rFont val="Arial"/>
      </rPr>
      <t xml:space="preserve">Clopidogrel 75 mg  as Bisulphate tablet( Clopidogrel  as Bisulphate  = Clopidogrel as Hydrogen sulphate or Clopidogrel as Besilate or Clopidogrel as Hydrochloride  )
</t>
    </r>
    <r>
      <rPr>
        <b val="1"/>
        <sz val="12"/>
        <color indexed="8"/>
        <rFont val="Arial"/>
      </rPr>
      <t xml:space="preserve">(Dose :- 75mg  Clopidogrl as a base tablet)
</t>
    </r>
    <r>
      <rPr>
        <b val="1"/>
        <sz val="12"/>
        <color indexed="13"/>
        <rFont val="Arial"/>
      </rPr>
      <t xml:space="preserve">تكون نسبة الاحتياج للمادة
</t>
    </r>
    <r>
      <rPr>
        <b val="1"/>
        <sz val="12"/>
        <color indexed="13"/>
        <rFont val="Arial"/>
      </rPr>
      <t xml:space="preserve">08-E00-020 
</t>
    </r>
    <r>
      <rPr>
        <b val="1"/>
        <sz val="12"/>
        <color indexed="13"/>
        <rFont val="Arial"/>
      </rPr>
      <t xml:space="preserve"> 20%
</t>
    </r>
    <r>
      <rPr>
        <b val="1"/>
        <sz val="12"/>
        <color indexed="13"/>
        <rFont val="Arial"/>
      </rPr>
      <t xml:space="preserve">من الاحتياج الكلي لمادة
</t>
    </r>
    <r>
      <rPr>
        <b val="1"/>
        <sz val="12"/>
        <color indexed="13"/>
        <rFont val="Arial"/>
      </rPr>
      <t>(08-E00-005)  Clopidogrel 75 mg</t>
    </r>
  </si>
  <si>
    <t xml:space="preserve">FIBRINOLYTICS   </t>
  </si>
  <si>
    <r>
      <rPr>
        <b val="1"/>
        <sz val="12"/>
        <color indexed="19"/>
        <rFont val="Arial"/>
      </rPr>
      <t>Recombinant human tissue type plasminogen  activator  50mg/ Vial (Alteplase) set=2vial</t>
    </r>
  </si>
  <si>
    <t>ANTIFIBRINOLYTIC AGENTS</t>
  </si>
  <si>
    <t>Tranexamic acid  100mg/ml  (5ml)  Ampoule or vial</t>
  </si>
  <si>
    <t>Tranexamic acid  500mg Tablet</t>
  </si>
  <si>
    <t>PLASMA FRACTION FOR SPECIFIC USES</t>
  </si>
  <si>
    <r>
      <rPr>
        <b val="1"/>
        <sz val="12"/>
        <color indexed="19"/>
        <rFont val="Arial"/>
      </rPr>
      <t xml:space="preserve">Recombinant Factor VIII, 500 IU (HSA Free)
</t>
    </r>
    <r>
      <rPr>
        <b val="1"/>
        <sz val="12"/>
        <color indexed="19"/>
        <rFont val="Arial"/>
      </rPr>
      <t xml:space="preserve">
</t>
    </r>
    <r>
      <rPr>
        <b val="1"/>
        <sz val="12"/>
        <color indexed="13"/>
        <rFont val="Arial"/>
      </rPr>
      <t xml:space="preserve">تلتزم الشركة المجهزة للعلاج  بتوفير المادة ادناه كبضاعة مجانية
</t>
    </r>
    <r>
      <rPr>
        <b val="1"/>
        <sz val="12"/>
        <color indexed="13"/>
        <rFont val="Arial"/>
      </rPr>
      <t xml:space="preserve">recombinant Foctor vIII 250 IU
</t>
    </r>
    <r>
      <rPr>
        <b val="1"/>
        <sz val="12"/>
        <color indexed="13"/>
        <rFont val="Arial"/>
      </rPr>
      <t xml:space="preserve"> كونها تعتبر جرع تكميلية  بنسبة 10% من احتياج الكلي  
</t>
    </r>
    <r>
      <rPr>
        <b val="1"/>
        <sz val="12"/>
        <color indexed="13"/>
        <rFont val="Arial"/>
      </rPr>
      <t xml:space="preserve">من المادة (recombinant Foctor vIII 500 IU) </t>
    </r>
  </si>
  <si>
    <r>
      <rPr>
        <b val="1"/>
        <sz val="12"/>
        <color indexed="19"/>
        <rFont val="Arial"/>
      </rPr>
      <t xml:space="preserve">VonWillebrand Factor / Coagulation Factor VIII Complex (Human)  powder and solvent for solution for injection or infusion in percent as follow:- Vwf\Factor VIII 1:1 to 2:1 
</t>
    </r>
    <r>
      <rPr>
        <b val="1"/>
        <sz val="12"/>
        <color indexed="13"/>
        <rFont val="Arial"/>
      </rPr>
      <t xml:space="preserve">
</t>
    </r>
    <r>
      <rPr>
        <b val="1"/>
        <sz val="12"/>
        <color indexed="13"/>
        <rFont val="Arial"/>
      </rPr>
      <t xml:space="preserve">- ضرورة توفر الفحوصات المختبرية المرفقة بكتاب دائرة مدينة الطب 29454 في 11/9/2012 وحسب الجلسة 828) 
</t>
    </r>
  </si>
  <si>
    <r>
      <rPr>
        <b val="1"/>
        <sz val="12"/>
        <color indexed="19"/>
        <rFont val="Arial"/>
      </rPr>
      <t xml:space="preserve">Recombinant   Factor VII a  (Eptacog alfa )(Activated)      I.V. inj,  1mg  vial   inject slowly over 2 to 5 minutes  or its approved biosimilar 
</t>
    </r>
    <r>
      <rPr>
        <b val="1"/>
        <sz val="12"/>
        <color indexed="13"/>
        <rFont val="Arial"/>
      </rPr>
      <t xml:space="preserve">  لامانع من اعتماد الشكل الجديد (سرنجة تحتوي على المذيب ) لضمان سرعة حقن العقار عند حالات النزف الشديدة                                         </t>
    </r>
  </si>
  <si>
    <t xml:space="preserve">Plasma protein fraction (human) 5% i.v. infusion  i-e   1ml contains: Human serum protein 50mg of which: Albumin approx 31mg    Human Immunoglobumin approx 10mg   (Ig G  , Ig A,   Ig M) vial                                                                                                                    </t>
  </si>
  <si>
    <r>
      <rPr>
        <b val="1"/>
        <sz val="12"/>
        <color indexed="19"/>
        <rFont val="Arial"/>
      </rPr>
      <t>Factor IX 500 IU  ( Recombinant coagulation factor IX ,SHL)</t>
    </r>
    <r>
      <rPr>
        <b val="1"/>
        <sz val="12"/>
        <color indexed="13"/>
        <rFont val="Arial"/>
      </rPr>
      <t xml:space="preserve">
</t>
    </r>
    <r>
      <rPr>
        <b val="1"/>
        <sz val="12"/>
        <color indexed="13"/>
        <rFont val="Arial"/>
      </rPr>
      <t xml:space="preserve">جميع المواد المقرة كعامل تاسع قصير الامد تدخل ضمن   تنافس سعري
</t>
    </r>
    <r>
      <rPr>
        <b val="1"/>
        <sz val="12"/>
        <color indexed="13"/>
        <rFont val="Arial"/>
      </rPr>
      <t>فيما بينها</t>
    </r>
    <r>
      <rPr>
        <b val="1"/>
        <sz val="12"/>
        <color indexed="19"/>
        <rFont val="Arial"/>
      </rPr>
      <t xml:space="preserve">
</t>
    </r>
    <r>
      <rPr>
        <b val="1"/>
        <sz val="12"/>
        <color indexed="19"/>
        <rFont val="Arial"/>
      </rPr>
      <t xml:space="preserve"> 
</t>
    </r>
  </si>
  <si>
    <t xml:space="preserve">Factor IX  500 IU  ( Recombinant coagulation factor IX ,EHL)
</t>
  </si>
  <si>
    <t xml:space="preserve">Anti-Inhibitor Coagulant Compelx Nanofilterd &amp;Vapor Heated:-   500 Units per Vial    
(  Factor VIII inhibitor Bypassing Activity powder and solvent for solution for intravenous injection )                                                </t>
  </si>
  <si>
    <t xml:space="preserve">Factor XIII concentrate ( Human) Lyophilized concentrate  for reconstitution:-1000- 1600 units for reconstitution in 20 ml . 
</t>
  </si>
  <si>
    <r>
      <rPr>
        <b val="1"/>
        <sz val="12"/>
        <color indexed="19"/>
        <rFont val="Arial"/>
      </rPr>
      <t>Fibrinogen concentrate(Human):-  Lyophilized powder for reconstitution 900 mg to 1300 mg for reconstitution with 50 ml of sterile water for injection</t>
    </r>
    <r>
      <rPr>
        <b val="1"/>
        <sz val="12"/>
        <color indexed="13"/>
        <rFont val="Arial"/>
      </rPr>
      <t xml:space="preserve">
</t>
    </r>
    <r>
      <rPr>
        <b val="1"/>
        <sz val="12"/>
        <color indexed="13"/>
        <rFont val="Arial"/>
      </rPr>
      <t xml:space="preserve">ضرورة توفر الفحوصات المختبرية المرفقة بكتاب دائرة مدينة الطب 29454 في 11/9/2012 وحسب الجلسة 828) 
</t>
    </r>
  </si>
  <si>
    <r>
      <rPr>
        <b val="1"/>
        <sz val="12"/>
        <color indexed="19"/>
        <rFont val="Arial"/>
      </rPr>
      <t xml:space="preserve">Human Prothrombin complex  powder and solvent for soluion for infusion 
</t>
    </r>
    <r>
      <rPr>
        <b val="1"/>
        <sz val="12"/>
        <color indexed="19"/>
        <rFont val="Arial"/>
      </rPr>
      <t xml:space="preserve">  Human coagulation factor IX       500IU
</t>
    </r>
    <r>
      <rPr>
        <b val="1"/>
        <sz val="12"/>
        <color indexed="19"/>
        <rFont val="Arial"/>
      </rPr>
      <t xml:space="preserve">   Human coagulation factor II       280-760IU
</t>
    </r>
    <r>
      <rPr>
        <b val="1"/>
        <sz val="12"/>
        <color indexed="19"/>
        <rFont val="Arial"/>
      </rPr>
      <t xml:space="preserve"> Human coagulation factor VII       180-480IU
</t>
    </r>
    <r>
      <rPr>
        <b val="1"/>
        <sz val="12"/>
        <color indexed="19"/>
        <rFont val="Arial"/>
      </rPr>
      <t xml:space="preserve">  Human coagulation factor X       360-600IU
</t>
    </r>
    <r>
      <rPr>
        <b val="1"/>
        <sz val="12"/>
        <color indexed="19"/>
        <rFont val="Arial"/>
      </rPr>
      <t xml:space="preserve">   Human protein C                         260-620IU
</t>
    </r>
    <r>
      <rPr>
        <b val="1"/>
        <sz val="12"/>
        <color indexed="19"/>
        <rFont val="Arial"/>
      </rPr>
      <t xml:space="preserve">  Human protein S                         240-640IU
</t>
    </r>
    <r>
      <rPr>
        <b val="1"/>
        <sz val="12"/>
        <color indexed="13"/>
        <rFont val="Arial"/>
      </rPr>
      <t xml:space="preserve"> قاعدة اقل الاسعار
</t>
    </r>
    <r>
      <rPr>
        <b val="1"/>
        <sz val="12"/>
        <color indexed="13"/>
        <rFont val="Arial"/>
      </rPr>
      <t xml:space="preserve">08-H00-020
</t>
    </r>
    <r>
      <rPr>
        <b val="1"/>
        <sz val="12"/>
        <color indexed="13"/>
        <rFont val="Arial"/>
      </rPr>
      <t>08-H00-022</t>
    </r>
  </si>
  <si>
    <r>
      <rPr>
        <b val="1"/>
        <sz val="12"/>
        <color indexed="19"/>
        <rFont val="Arial"/>
      </rPr>
      <t xml:space="preserve">Coagulation Factor X ( Human ) 250 I.U ,I.V 
</t>
    </r>
    <r>
      <rPr>
        <b val="1"/>
        <sz val="12"/>
        <color indexed="13"/>
        <rFont val="Arial"/>
      </rPr>
      <t xml:space="preserve">قاعدة اقل الاسعار
</t>
    </r>
    <r>
      <rPr>
        <b val="1"/>
        <sz val="12"/>
        <color indexed="13"/>
        <rFont val="Arial"/>
      </rPr>
      <t xml:space="preserve">08-H00-020
</t>
    </r>
    <r>
      <rPr>
        <b val="1"/>
        <sz val="12"/>
        <color indexed="13"/>
        <rFont val="Arial"/>
      </rPr>
      <t xml:space="preserve">08-H00-022
</t>
    </r>
    <r>
      <rPr>
        <b val="1"/>
        <sz val="12"/>
        <color indexed="13"/>
        <rFont val="Arial"/>
      </rPr>
      <t xml:space="preserve">مع التأكد من كل المعايير العالمية التي تؤيد خلو المادة من الامراض الانتقالية يتم تقدير احتياجه من قبل مراكز وشعب الامراض النزفية ويراجع من قبل لجنة الامراض النزفية وقسم تقدير الحاجة اعتمادا على اعداد المرضى المسجلين لنقص العامل العاشر (on demand) ويطلب من
</t>
    </r>
    <r>
      <rPr>
        <b val="1"/>
        <sz val="12"/>
        <color indexed="13"/>
        <rFont val="Arial"/>
      </rPr>
      <t xml:space="preserve"> الشركة المجهزة بتوفير الكشف عن العامل العاشر مجانا" </t>
    </r>
  </si>
  <si>
    <r>
      <rPr>
        <b val="1"/>
        <sz val="12"/>
        <color indexed="19"/>
        <rFont val="Arial"/>
      </rPr>
      <t xml:space="preserve">Emicizumab 30mg vial solution for injection
</t>
    </r>
    <r>
      <rPr>
        <b val="1"/>
        <sz val="12"/>
        <color indexed="13"/>
        <rFont val="Arial"/>
      </rPr>
      <t xml:space="preserve">
</t>
    </r>
    <r>
      <rPr>
        <b val="1"/>
        <sz val="12"/>
        <color indexed="13"/>
        <rFont val="Arial"/>
      </rPr>
      <t xml:space="preserve">تلزم الشركة بتوفير الفحص الاتي مجانا اعتمادا على اعداد المرضى chromogenic assay for factor VIII
</t>
    </r>
  </si>
  <si>
    <r>
      <rPr>
        <b val="1"/>
        <sz val="12"/>
        <color indexed="19"/>
        <rFont val="Arial"/>
      </rPr>
      <t>Emicizumab 150mg vial solution for injection</t>
    </r>
    <r>
      <rPr>
        <b val="1"/>
        <sz val="12"/>
        <color indexed="13"/>
        <rFont val="Arial"/>
      </rPr>
      <t xml:space="preserve">
</t>
    </r>
    <r>
      <rPr>
        <b val="1"/>
        <sz val="12"/>
        <color indexed="13"/>
        <rFont val="Arial"/>
      </rPr>
      <t xml:space="preserve">تلزم الشركة بتوفير الفحص الاتي مجانا اعتمادا على اعداد المرضى chromogenic assay for factor VIII
</t>
    </r>
  </si>
  <si>
    <t>Sodium chloride 0.8766g (15mmol/l)+Potassium chloride 0.6710g(9mmol/l)+Potassium hydrogen 2-Ketoglutarate0.1842g (1mmol/l)+Magnesium  chloride 6H2O 0.8132g (4mmol/l)+Histidine Hcl .H2O 3.7733g(18mmol/l)+Histidine 27.9289g(180mmol/l)+Tryptophan 0.4085g(2mmol/l)+Mannitol 5.4651g(30mmol/l)+Calcium chloride .2H2O 0.0022g(0.015mmol/l)for inj in1000ml  Water  Osmolality 310mosmol/Kg ,An ion CL- 50mEq ,2000ml</t>
  </si>
  <si>
    <t>Cardioplegia infusion 20 ml ampoule: containing in 20 ml : : magnesium chloride  hexahydrate 3.253 g , potassium chloride BP 1.193 g , procaine hydrochloride BP 272.8 mg , also present :disodium  edentate BP. sodium hydroxide BP and water for injection</t>
  </si>
  <si>
    <t xml:space="preserve">NUTRITION    </t>
  </si>
  <si>
    <t>VITAMINS</t>
  </si>
  <si>
    <t>Vitamin A Retinol</t>
  </si>
  <si>
    <t>Vitamin  A 100000 I.U Capsule</t>
  </si>
  <si>
    <t>Vitamin  A 200000 I.U  Capsule</t>
  </si>
  <si>
    <t>Vitamin B group</t>
  </si>
  <si>
    <t>Vitamin  B1 (Thiamine Hydrochloride)  50mg/ml, (2ml) Ampoule</t>
  </si>
  <si>
    <t>Vitamin  B6 (Pyridoxine Hydrochloride) 50mg/ml, (2ml) Ampoule</t>
  </si>
  <si>
    <t>Vitamin D</t>
  </si>
  <si>
    <t>Alphacalcidol 0.25mcg (1alphahydroxy cholecalciferol) soft gelatin  Capsule or tablet</t>
  </si>
  <si>
    <t>Alphacalcidol 1mcg (1alphahydroxy cholecalciferol) soft gelatin  Capsule or tablet</t>
  </si>
  <si>
    <t xml:space="preserve">Vit D3 (cholecalciferol) 2.5mg   oral drop (10.000 IU/ml) </t>
  </si>
  <si>
    <t>Vitamin K</t>
  </si>
  <si>
    <t xml:space="preserve">Vitamin K1- (Phytomenadione) mixed micelles (Vitamin K1-MM) inj 2mg/0.2ml oral and I.M.&amp;I.V.(0.2ml) Ampoule </t>
  </si>
  <si>
    <t xml:space="preserve">Vitamin K1-(Phytomenadione) mixed micelles (Vitamin K1-MM) 10mg/ml (1ml) Ampoule (I.V.or slow I.V. injection (withen 30 sec) or (oral or I.V.) </t>
  </si>
  <si>
    <t>Multivitamin preparations</t>
  </si>
  <si>
    <t xml:space="preserve">element iron ( 45 – 50 ) mg + folic 0,5 mg or element iron ( 60 – 65 ) mg + folic 0.25   mg tablet or capsule </t>
  </si>
  <si>
    <t xml:space="preserve">PARENTERAL NUTRITION </t>
  </si>
  <si>
    <t xml:space="preserve">500 ml container ( 20%)  contain Energy as following :-
-ُElectrolyte                            --------------
- Energy                                8000   ±  500          Kj/L
-Nitrogen                               ---------------
Other components may contain soya oil, glycerol , purified egg phospholipids, phosphate, omega-3 acid triglycerides, fish oil, palm oil , or coconut oil.
في التركيبة الواحدة يمكن أن تحتوي التركيبة على كلها أو جزء منهاother components ملاحظة :- المواد التي أدرجت تحت تسمية 
</t>
  </si>
  <si>
    <r>
      <rPr>
        <b val="1"/>
        <sz val="12"/>
        <color indexed="8"/>
        <rFont val="Arial"/>
      </rPr>
      <t xml:space="preserve">500 ml container contain Nitrogen, Electrolyte as following :-
</t>
    </r>
    <r>
      <rPr>
        <b val="1"/>
        <sz val="12"/>
        <color indexed="8"/>
        <rFont val="Arial"/>
      </rPr>
      <t xml:space="preserve">
</t>
    </r>
    <r>
      <rPr>
        <b val="1"/>
        <sz val="12"/>
        <color indexed="8"/>
        <rFont val="Arial"/>
      </rPr>
      <t xml:space="preserve">- Energy*                                     ---------
</t>
    </r>
    <r>
      <rPr>
        <b val="1"/>
        <sz val="12"/>
        <color indexed="8"/>
        <rFont val="Arial"/>
      </rPr>
      <t xml:space="preserve">- Nitrogen                                  7.5-16.5        g/L
</t>
    </r>
    <r>
      <rPr>
        <b val="1"/>
        <sz val="12"/>
        <color indexed="8"/>
        <rFont val="Arial"/>
      </rPr>
      <t xml:space="preserve">- K+                                           25-60          mmol/L
</t>
    </r>
    <r>
      <rPr>
        <b val="1"/>
        <sz val="12"/>
        <color indexed="8"/>
        <rFont val="Arial"/>
      </rPr>
      <t xml:space="preserve">- Mg+2                                       2.5-8           mmol/L
</t>
    </r>
    <r>
      <rPr>
        <b val="1"/>
        <sz val="12"/>
        <color indexed="8"/>
        <rFont val="Arial"/>
      </rPr>
      <t xml:space="preserve">- Na+                                         43-100        mmol/L
</t>
    </r>
    <r>
      <rPr>
        <b val="1"/>
        <sz val="12"/>
        <color indexed="8"/>
        <rFont val="Arial"/>
      </rPr>
      <t xml:space="preserve">- Acet-                                       35-150        mmol/L
</t>
    </r>
    <r>
      <rPr>
        <b val="1"/>
        <sz val="12"/>
        <color indexed="8"/>
        <rFont val="Arial"/>
      </rPr>
      <t xml:space="preserve">- Cl-                                           0-100        mmol/L
</t>
    </r>
    <r>
      <rPr>
        <b val="1"/>
        <sz val="12"/>
        <color indexed="8"/>
        <rFont val="Arial"/>
      </rPr>
      <t>Other components as following :-</t>
    </r>
    <r>
      <rPr>
        <b val="1"/>
        <sz val="12"/>
        <color indexed="8"/>
        <rFont val="Calibri"/>
      </rPr>
      <t xml:space="preserve">
</t>
    </r>
    <r>
      <rPr>
        <b val="1"/>
        <sz val="12"/>
        <color indexed="8"/>
        <rFont val="Calibri"/>
      </rPr>
      <t xml:space="preserve">- Ca+2                                          0-5               mmol/L 
</t>
    </r>
    <r>
      <rPr>
        <b val="1"/>
        <sz val="12"/>
        <color indexed="8"/>
        <rFont val="Calibri"/>
      </rPr>
      <t xml:space="preserve">- Malic acid or dihydro phosphate or acid phosphate.
</t>
    </r>
    <r>
      <rPr>
        <b val="1"/>
        <sz val="12"/>
        <color indexed="8"/>
        <rFont val="Calibri"/>
      </rPr>
      <t xml:space="preserve">ي التركيبة الواحدة يمكن أن تحتوي التركيبة على كلها أو جزء منهاother components ملاحظة :- المواد التي أدرجت تحت تسمية .
</t>
    </r>
    <r>
      <rPr>
        <b val="1"/>
        <sz val="12"/>
        <color indexed="8"/>
        <rFont val="Calibri"/>
      </rPr>
      <t>* = Exclude protein or amino acids derived energy</t>
    </r>
  </si>
  <si>
    <t xml:space="preserve">1000-2500 ml Triple compartment bag contain the following :-
-Amino acids and electrolyte    300-1000             ml
-Glucose                         500- 1300            ml
-Lipid emulsion              200-500               ml
Or 20% according to BNF
- Nitrogen                   2.5-25.7                   g/L
- Energy                     1300-12600           Kj/L
- K+                              5-60               mmol/L
- Mg+2                         1.8-8                   mmol/L
- Na+                           20-140                mmol/L
- Acet-                     19.5-150            mmol/L 
- Cl-                             19-100                mmol/L
Other components as following :-
- Ca+2                             1.4-5                  mmol/L 
- Phosphate                 5- 30                mmol/L
- Anhydrous glucose   50-240               g/L
- Soya oil           16-300                               g/L
- Triglycerides      0-100                            g/L
- Zn+2                    0-32                         µmol/L   
ملاحظة :- المواد التي أدرجت تحت تسمية 
other components     
يعني بالتركيبة الواحدة يمكن ان تحتوي على كل المكونات المدرجة في الجدول او جزء منها او قد تحتوي على مواد اضافية اخرى حسب حاجة المريض
</t>
  </si>
  <si>
    <t>500 ml container contain Nitrogen as following :-
-Electrolyte                                   
-Energy *                                      -------
- Nitrogen                                     9-18                g/L
- Acet-                                         0-110           mmol/L
- Cl-                                             0-40             mmol/L
في التركيبة الواحدة يمكن أن تحتوي التركيبة على كلها أو جزء منهاother components ملاحظة :- المواد التي أدرجت تحت تسمية 
* = Exclude protein or amino acids derived energy</t>
  </si>
  <si>
    <r>
      <rPr>
        <b val="1"/>
        <sz val="12"/>
        <color indexed="8"/>
        <rFont val="Arial"/>
      </rPr>
      <t xml:space="preserve">100 ml container contain Nitrogen , (used only for  neonate and children) </t>
    </r>
    <r>
      <rPr>
        <b val="1"/>
        <sz val="12"/>
        <color indexed="8"/>
        <rFont val="Calibri"/>
      </rPr>
      <t xml:space="preserve">as following :-
</t>
    </r>
    <r>
      <rPr>
        <b val="1"/>
        <sz val="12"/>
        <color indexed="8"/>
        <rFont val="Calibri"/>
      </rPr>
      <t xml:space="preserve">-Energy                                   --------
</t>
    </r>
    <r>
      <rPr>
        <b val="1"/>
        <sz val="12"/>
        <color indexed="8"/>
        <rFont val="Calibri"/>
      </rPr>
      <t xml:space="preserve">-Nitrogen                                  9- 15                    g/L
</t>
    </r>
    <r>
      <rPr>
        <b val="1"/>
        <sz val="12"/>
        <color indexed="8"/>
        <rFont val="Calibri"/>
      </rPr>
      <t xml:space="preserve">-Electrolyte                              --------
</t>
    </r>
    <r>
      <rPr>
        <b val="1"/>
        <sz val="12"/>
        <color indexed="8"/>
        <rFont val="Calibri"/>
      </rPr>
      <t xml:space="preserve">- Cl-                                          0-20                  mmol/L 
</t>
    </r>
    <r>
      <rPr>
        <b val="1"/>
        <sz val="12"/>
        <color indexed="8"/>
        <rFont val="Calibri"/>
      </rPr>
      <t xml:space="preserve">  في التركيبة الواحدة يمكن أن تحتوي التركيبة على كلها أو جزء منهاother components ملاحظة :- المواد التي أدرجت تحت تسمية   .
</t>
    </r>
  </si>
  <si>
    <t>ELECTROLYTES and Water for  Injection</t>
  </si>
  <si>
    <t>drugs used in hypokalaemia</t>
  </si>
  <si>
    <r>
      <rPr>
        <b val="1"/>
        <sz val="12"/>
        <color indexed="8"/>
        <rFont val="Arial"/>
      </rPr>
      <t>potassium chloride 15% w/v (approximately 2 mmol/ml) or 14.9% w/v =2mmol/ml (10 ml ) Vial or ampoule</t>
    </r>
  </si>
  <si>
    <t>drugs used in hyperkalaemia</t>
  </si>
  <si>
    <t>Calcium gluconate injection 10%  w/v ( 10 ml )  ampoule or vial each ml contain anhydrous Calcium gluconate ( usp ) ( approximately 0,233 mmol ═ 0.465 meq. of Calcium ) or Calcium gluconate monohydrate  ( Bp ) (approximately 0,225 mmol ═ 0.450 meq. of Calcium ) ( I.V infusion ) or ( slow I.V injection , deep I.M ) or ( slow I.V inj. ) ( I.M use not for children &amp; adolesecent</t>
  </si>
  <si>
    <t>drugs used in hypocalcemia</t>
  </si>
  <si>
    <t xml:space="preserve">Calcium carbonate  500mg Tablet  </t>
  </si>
  <si>
    <t>Calcium chloride 10%  (10 ml )   ampoule or  prefilled syring</t>
  </si>
  <si>
    <t xml:space="preserve">MAGNESIUM  </t>
  </si>
  <si>
    <r>
      <rPr>
        <b val="1"/>
        <sz val="12"/>
        <color indexed="8"/>
        <rFont val="Arial"/>
      </rPr>
      <t>50% Magnesium Sulphate 7 H</t>
    </r>
    <r>
      <rPr>
        <b val="1"/>
        <vertAlign val="subscript"/>
        <sz val="12"/>
        <color indexed="8"/>
        <rFont val="Times New Roman"/>
      </rPr>
      <t>2</t>
    </r>
    <r>
      <rPr>
        <b val="1"/>
        <sz val="12"/>
        <color indexed="8"/>
        <rFont val="Times New Roman"/>
      </rPr>
      <t xml:space="preserve">O </t>
    </r>
    <r>
      <rPr>
        <sz val="12"/>
        <color indexed="8"/>
        <rFont val="Symbol"/>
      </rPr>
      <t>≡</t>
    </r>
    <r>
      <rPr>
        <b val="1"/>
        <sz val="12"/>
        <color indexed="8"/>
        <rFont val="Times New Roman"/>
      </rPr>
      <t xml:space="preserve"> 2 mmole Mg</t>
    </r>
    <r>
      <rPr>
        <b val="1"/>
        <vertAlign val="superscript"/>
        <sz val="12"/>
        <color indexed="8"/>
        <rFont val="Times New Roman"/>
      </rPr>
      <t>+2</t>
    </r>
    <r>
      <rPr>
        <b val="1"/>
        <sz val="12"/>
        <color indexed="8"/>
        <rFont val="Times New Roman"/>
      </rPr>
      <t xml:space="preserve">/ ml   (5ml Ampoule) </t>
    </r>
  </si>
  <si>
    <t>Magnesium sulphate 20%  (10 or 20ml) Ampoule</t>
  </si>
  <si>
    <t>Water   for  injection</t>
  </si>
  <si>
    <t>Distilled Water For injection (5 ml) ampoule</t>
  </si>
  <si>
    <t xml:space="preserve">INTRAVENOUS FLUIDS          
Note:يؤخذ بنظر الاعتبار قائمة ادوية التخدير
  </t>
  </si>
  <si>
    <t>Mannitol 20% I.V. infusion 500ml container</t>
  </si>
  <si>
    <t>Sodium chloride  0.9%, 100ml  I.V. Infusion</t>
  </si>
  <si>
    <t>Glucose (dextrose) hydrous or anhydrous 5 % 100 ml  I.V. Infusion</t>
  </si>
  <si>
    <t xml:space="preserve">Glucose (dextrose) hydrous or anhydrous    5%, 500ml I.V. Infusion   </t>
  </si>
  <si>
    <t>Glucose (dextrose) hydrous or anhydrous   50% , (20ml) Ampoule</t>
  </si>
  <si>
    <t xml:space="preserve">Hartmann's solution I.V. infusion, (Ringer lactate or lactated Ringer or compoumd sodium lactate solution ) :Sodium chloride 0.6% ,  sodium lactate 0.32%or SodiumLactate 0.25% Calculated as lactic acid , potassium chloride 0.04%,calcium chloride 0.027%.containing the following ions in mmol/ L: Na+131, K+5, Ca+2 2, HC03-  (as lactate) 29, CL-111.  (500ml)
Label Not to be use for lactic acidosis
</t>
  </si>
  <si>
    <r>
      <rPr>
        <b val="1"/>
        <sz val="12"/>
        <color indexed="8"/>
        <rFont val="Arial"/>
      </rPr>
      <t xml:space="preserve">Human albumin  200mg/ml, 100ml </t>
    </r>
    <r>
      <rPr>
        <b val="1"/>
        <sz val="12"/>
        <color indexed="13"/>
        <rFont val="Arial"/>
      </rPr>
      <t>low salt aids free (125-160 mmol/ L Na) I.V.Infusion</t>
    </r>
  </si>
  <si>
    <t>Ringer solution for injection U.S.P  sodium chloride 8.6g + potassium chloride 0.3 g + calcium chloride 0.33g water for injection  Q.S 1000ml containing the following ions conc. In  meq / L  :- Ca ++ 4.5 , Cl – 156, K+ 4 ,Na + 147.5 . (500 ml)</t>
  </si>
  <si>
    <t>Sodium bicarbonate 8.4% 100ml Vial  slow I.V. ,  I.V. infusion</t>
  </si>
  <si>
    <t>Sodium chloride  0.9%, 500ml  I.V. Infusion</t>
  </si>
  <si>
    <t>Sodium chloride 0.45%+glucose (dextrose) hydrous or anhydrous  2.5% ( 500ml) I.V. Infusion</t>
  </si>
  <si>
    <t xml:space="preserve">Sodium chloride 0.18%+ glucose (dextrose) hydrous or anhydrous   4%   I.V. infusion (general use as glucose saline solution ) 500ml </t>
  </si>
  <si>
    <t xml:space="preserve">glucose (dextrose) hydrous or anhydrous  5% +sodium chloride 0.9%  500ml  I .V Infusion    </t>
  </si>
  <si>
    <r>
      <rPr>
        <b val="1"/>
        <sz val="12"/>
        <color indexed="8"/>
        <rFont val="Arial"/>
      </rPr>
      <t xml:space="preserve">Sodium chloride 3% hypretonic saline 200ml  or 250ml bottle or bag
</t>
    </r>
    <r>
      <rPr>
        <b val="1"/>
        <sz val="12"/>
        <color indexed="13"/>
        <rFont val="Arial"/>
      </rPr>
      <t xml:space="preserve">
</t>
    </r>
    <r>
      <rPr>
        <b val="1"/>
        <sz val="12"/>
        <color indexed="13"/>
        <rFont val="Arial"/>
      </rPr>
      <t>يثبت على العلبة Hypertonic   توضع علامات تحذيرية على العلبة لتفريقها عن باقي المغذيات (يثبت على العلبة 3% solution)</t>
    </r>
  </si>
  <si>
    <t xml:space="preserve"> Oral nutrition
       </t>
  </si>
  <si>
    <t>Therapeutic milk formula (75kcal/100ml) for sever acute malnutrition age˃6months</t>
  </si>
  <si>
    <t>Therapeutic milk formula (100kcal/100ml) for sever acute malnutrition age˃6months</t>
  </si>
  <si>
    <t>c.m.v therapeutic milk powder
mean nutritional value per 1 level scoop:
energy 0 kcal
proteines 0 g
carbohydrates 0 g
lipids  0 g
moisture  &lt;5%
potassium    2340mg
magnesium    146mg
zinc    40mg
copper 5.7mg
iron 0mg
iodine 154 μg
selenium  94μg
vitamin A 3000μg
vitamin d 60μg
vitamin e 44mg
vitamin c 200mg
vitamin b1 1.4mg
vitamin b2  4mg
vitamin b6  1.4mg
vitamin b12   2μg
vitamin k 80μg
biotin 0.2mg
folic acid 700μg
pantothenic acid   6mg
niacin    20mg</t>
  </si>
  <si>
    <t>Phosphate- binding agents</t>
  </si>
  <si>
    <t xml:space="preserve">Sevelamer  carbonate 800mg Tablet  </t>
  </si>
  <si>
    <t>OTHER MINERALS</t>
  </si>
  <si>
    <t xml:space="preserve">Zinc Sulfate monohydrate 54.9mg eq. 20mg elemental zinc dispersable tablet 
</t>
  </si>
  <si>
    <t>MUSCULOSKELETAL DISORDERS</t>
  </si>
  <si>
    <t>DRUGS USED IN CHRONIC RHEUMATIC DISEASES</t>
  </si>
  <si>
    <r>
      <rPr>
        <b val="1"/>
        <sz val="12"/>
        <color indexed="8"/>
        <rFont val="Arial"/>
      </rPr>
      <t xml:space="preserve">NSAID
</t>
    </r>
    <r>
      <rPr>
        <b val="1"/>
        <sz val="12"/>
        <color indexed="8"/>
        <rFont val="Arial"/>
      </rPr>
      <t xml:space="preserve">تعتمد عبارة تحذيرات بخصوص الNSAID (للمستحضرات الصيدلانية التي تحتوي عليها 
</t>
    </r>
    <r>
      <rPr>
        <b val="1"/>
        <sz val="12"/>
        <color indexed="8"/>
        <rFont val="Arial"/>
      </rPr>
      <t xml:space="preserve"> Recommendations : 1- prescribers and patients should continue to use NSAIDs at the lowest effective dose for the shortest possible duration to control symptoms 2- prescribers should continue to select  NSAIDs on the basis of the overall safety profile of the product , as set out in the product information , and the patient's individual risk factors . 3- prescribers  should not swich between  NSAIDs without consideration of the overall safety profile of the product  and the  patient's individual risk factors as well as patient's preferences</t>
    </r>
  </si>
  <si>
    <t>Diclofenac  sodium enteric coated 25mg Tablet</t>
  </si>
  <si>
    <t>Diclofenac sodium 25mg/ml  (3ml)  Ampoule I.M. Injection only</t>
  </si>
  <si>
    <t>Ibuprofen  200mg Tablet</t>
  </si>
  <si>
    <t>Ibuprofen  100mg/5ml Oral liquid dosage form</t>
  </si>
  <si>
    <t>Indomethacin 100mg Suppository</t>
  </si>
  <si>
    <t>Meloxicam  7.5mg Tablet</t>
  </si>
  <si>
    <t xml:space="preserve">Disease modifying drugs   </t>
  </si>
  <si>
    <t>Infliximab 100mg  Vial  and it‘s approved Biosimilar   
I.V injection</t>
  </si>
  <si>
    <t xml:space="preserve">Adalimumab 40 mg/(0.8 ml or 0,4ml)  prefilled syringe S.C injection  or its approved biosimilars  </t>
  </si>
  <si>
    <t>Risankizumab 150 mg/1ml solution for injection in PFP for SC use
تدخل المادة في احتياج عام 2026</t>
  </si>
  <si>
    <t>Guselkumab 100 mg/1ml  solution for injection in PFP for SC use
تدخل المادة في احتياج عام 2026</t>
  </si>
  <si>
    <t>Etanercept 50 mg pfs OR prefilled pen OR Vial or it,s approved biosimilars</t>
  </si>
  <si>
    <t xml:space="preserve">Etanercept 25mg  or its approved biosimilars   S.C  vial or PFS                                    </t>
  </si>
  <si>
    <r>
      <rPr>
        <b val="1"/>
        <sz val="12"/>
        <color indexed="19"/>
        <rFont val="Arial"/>
      </rPr>
      <t>Ixekizumab  80mg / ml  PFS  for SC use only</t>
    </r>
    <r>
      <rPr>
        <b val="1"/>
        <sz val="12"/>
        <color indexed="13"/>
        <rFont val="Arial"/>
      </rPr>
      <t xml:space="preserve">
</t>
    </r>
    <r>
      <rPr>
        <b val="1"/>
        <sz val="12"/>
        <color indexed="13"/>
        <rFont val="Arial"/>
      </rPr>
      <t xml:space="preserve">تلزم الشركة المجهزة للعلاج بتوفير فحص 
</t>
    </r>
    <r>
      <rPr>
        <b val="1"/>
        <sz val="12"/>
        <color indexed="13"/>
        <rFont val="Arial"/>
      </rPr>
      <t xml:space="preserve">IGRA 
</t>
    </r>
    <r>
      <rPr>
        <b val="1"/>
        <sz val="12"/>
        <color indexed="13"/>
        <rFont val="Arial"/>
      </rPr>
      <t>مجاناً وحسب اعداد المرضى</t>
    </r>
  </si>
  <si>
    <r>
      <rPr>
        <b val="1"/>
        <sz val="12"/>
        <color indexed="19"/>
        <rFont val="Arial"/>
      </rPr>
      <t>ustekinumab 90 mg pfs ,SC.</t>
    </r>
    <r>
      <rPr>
        <b val="1"/>
        <sz val="12"/>
        <color indexed="13"/>
        <rFont val="Arial"/>
      </rPr>
      <t xml:space="preserve">
</t>
    </r>
    <r>
      <rPr>
        <b val="1"/>
        <sz val="12"/>
        <color indexed="13"/>
        <rFont val="Arial"/>
      </rPr>
      <t xml:space="preserve"> تلتزم الشركة المجهزة للعلاج  بتوفير المادة ادناه كبضاعة مجانية
</t>
    </r>
    <r>
      <rPr>
        <b val="1"/>
        <sz val="12"/>
        <color indexed="13"/>
        <rFont val="Arial"/>
      </rPr>
      <t xml:space="preserve">ustekinumab 45 mg pfs SC
</t>
    </r>
    <r>
      <rPr>
        <b val="1"/>
        <sz val="12"/>
        <color indexed="13"/>
        <rFont val="Arial"/>
      </rPr>
      <t xml:space="preserve">بنسسبة %10  
</t>
    </r>
    <r>
      <rPr>
        <b val="1"/>
        <sz val="12"/>
        <color indexed="13"/>
        <rFont val="Arial"/>
      </rPr>
      <t xml:space="preserve">من احتياج الماده بتركيز
</t>
    </r>
    <r>
      <rPr>
        <b val="1"/>
        <sz val="12"/>
        <color indexed="13"/>
        <rFont val="Arial"/>
      </rPr>
      <t xml:space="preserve"> 90mg
</t>
    </r>
    <r>
      <rPr>
        <b val="1"/>
        <sz val="12"/>
        <color indexed="13"/>
        <rFont val="Arial"/>
      </rPr>
      <t xml:space="preserve"> ولنفس الاستطبابات</t>
    </r>
    <r>
      <rPr>
        <b val="1"/>
        <sz val="12"/>
        <color indexed="8"/>
        <rFont val="Arial"/>
      </rPr>
      <t xml:space="preserve">
</t>
    </r>
  </si>
  <si>
    <t>ustekinumab 130 mg concentrate for solution for infusion vial</t>
  </si>
  <si>
    <r>
      <rPr>
        <b val="1"/>
        <sz val="12"/>
        <color indexed="19"/>
        <rFont val="Arial"/>
      </rPr>
      <t xml:space="preserve">Golimumab 50 mg/0.5ml solution for injection  pre-filled pen S.C </t>
    </r>
    <r>
      <rPr>
        <b val="1"/>
        <sz val="12"/>
        <color indexed="8"/>
        <rFont val="Arial"/>
      </rPr>
      <t xml:space="preserve">
</t>
    </r>
    <r>
      <rPr>
        <b val="1"/>
        <sz val="12"/>
        <color indexed="13"/>
        <rFont val="Arial"/>
      </rPr>
      <t xml:space="preserve">-استمرار الشركة المصنعة بتزويد المرضى  المشاركين بالدراسة 
</t>
    </r>
    <r>
      <rPr>
        <b val="1"/>
        <sz val="12"/>
        <color indexed="13"/>
        <rFont val="Arial"/>
      </rPr>
      <t xml:space="preserve">مريض بالعلاج لحين توفيره من قبل الشركة العامة لتسويق الادوية (23) 
</t>
    </r>
    <r>
      <rPr>
        <b val="1"/>
        <sz val="12"/>
        <color indexed="13"/>
        <rFont val="Arial"/>
      </rPr>
      <t xml:space="preserve">- تلتزم الشركة بتوفير IGRA test screening for TB وحسب اعداد المرضى  المحددين من قبل اللجنة الاستشارية وبواقع فحصين لكل مريض سنوياً 
</t>
    </r>
    <r>
      <rPr>
        <b val="1"/>
        <sz val="12"/>
        <color indexed="13"/>
        <rFont val="Arial"/>
      </rPr>
      <t xml:space="preserve"> يعاد النظر في القرار بعد سنة</t>
    </r>
  </si>
  <si>
    <t>Drugs used in the treatment of gout &amp;cytotoxic- induced hyperuricaemia</t>
  </si>
  <si>
    <t>Allopurinol  100mg Tablet</t>
  </si>
  <si>
    <t>Colchicine  500mcg Tablet</t>
  </si>
  <si>
    <t xml:space="preserve">DRUGS USED IN neuromuscular disorder </t>
  </si>
  <si>
    <t xml:space="preserve">DRUGS that nhance neuromuscular transmission </t>
  </si>
  <si>
    <t xml:space="preserve">Anticholinesterase </t>
  </si>
  <si>
    <t xml:space="preserve">Neostigmine metisulphate ( methylsulphate )    2.5mg/ml, (1ml) Ampoule    I.V,I.M,S.C                   </t>
  </si>
  <si>
    <t>Sugammadex (as sodium) 100mg/ml(2ml vial)  IV</t>
  </si>
  <si>
    <t>Pyridostigmine Bromide  60mg Tablet</t>
  </si>
  <si>
    <t>DRUGS ACTING ON THE EYE</t>
  </si>
  <si>
    <t>ANTI-INFECTIVE PREPARATIONS</t>
  </si>
  <si>
    <t>Acyclovir  3% Eye Ointment</t>
  </si>
  <si>
    <t>Chloramphenicol 1% Eye Ointment</t>
  </si>
  <si>
    <r>
      <rPr>
        <b val="1"/>
        <sz val="12"/>
        <color indexed="8"/>
        <rFont val="Arial"/>
      </rPr>
      <t xml:space="preserve">Ciprofloxacin (as Hydrochloride)  0.3% Eye Drop
</t>
    </r>
    <r>
      <rPr>
        <b val="1"/>
        <sz val="12"/>
        <color indexed="13"/>
        <rFont val="Arial"/>
      </rPr>
      <t xml:space="preserve">يبقى اقرار المادة Ciprofloxacin as Hcl   فقط  </t>
    </r>
  </si>
  <si>
    <t xml:space="preserve">fusidic acid 10 mg/g (1%)suspension viscous eye drop </t>
  </si>
  <si>
    <t>Gentamycin as sulphate 0.3% Eye/Ear Drop</t>
  </si>
  <si>
    <t>Tetracycline Hydrochloride 1% Eye Ointment</t>
  </si>
  <si>
    <t>ANTI-INFLAMMATORY PREPARATION  INCLUDING CORTICOSTERIODS:</t>
  </si>
  <si>
    <t xml:space="preserve">Corticosteroids preparations </t>
  </si>
  <si>
    <t xml:space="preserve">Dexamethasone sodium Phosphate 1mg\1ml (0.1% ) or dexamethasone disodium phosphate eq. to dexamethasone phosphate  1mg\1ml  solution  or 
Dexamethasone ( Base ) 1mg\1ml(0.1% )  suspention (ophthalmic use )
</t>
  </si>
  <si>
    <t>Other anti-inflammatory preparations</t>
  </si>
  <si>
    <t>ketorolac tromethamine 0.5 % Eye Drop</t>
  </si>
  <si>
    <t>Sodium Cromoglycate 2% Eye Drop</t>
  </si>
  <si>
    <t>MYDRIATICS AND CYCLOPLEGICS</t>
  </si>
  <si>
    <t>Atropine sulphate 0.5%  (with or without HydroxyPropylMethyl cellulose(HPM)) Eye Drop</t>
  </si>
  <si>
    <t>Tropicamide 1% Eye Drop</t>
  </si>
  <si>
    <t>TREATMENT OF GLAUCOMA</t>
  </si>
  <si>
    <t>Acetazolamide(as sodium salt) 500 mg powder for reconstitution injection Vial</t>
  </si>
  <si>
    <t xml:space="preserve">Timolol (as maleate) 0.5%   Eye Drop </t>
  </si>
  <si>
    <t xml:space="preserve">Dorzolamide (as hydrochloride) 2%  Drop  </t>
  </si>
  <si>
    <t>Latanoprost (prostaglandin analogues) Eye drop 50mcg/ml (0.005%)</t>
  </si>
  <si>
    <t>OTHER OPHTHALMIC PREPARATION</t>
  </si>
  <si>
    <t>Amethocaine (tetracaine) hydrochloride Ph.Eur. with purified water and hydrochloric acid 1.0% w/v eye drop</t>
  </si>
  <si>
    <t>Hydroxypropyl methyl cellulose(HPM) (Hypermellose)  1% Eye Drop</t>
  </si>
  <si>
    <t xml:space="preserve">Anti-VEGF Anti-Vascular Endothelial Growth                                                              </t>
  </si>
  <si>
    <r>
      <rPr>
        <b val="1"/>
        <sz val="12"/>
        <color indexed="8"/>
        <rFont val="Arial"/>
      </rPr>
      <t xml:space="preserve">Aflibercept 40mg/ml vial 
</t>
    </r>
    <r>
      <rPr>
        <b val="1"/>
        <sz val="12"/>
        <color indexed="13"/>
        <rFont val="Arial"/>
      </rPr>
      <t xml:space="preserve">
</t>
    </r>
    <r>
      <rPr>
        <b val="1"/>
        <sz val="12"/>
        <color indexed="13"/>
        <rFont val="Arial"/>
      </rPr>
      <t xml:space="preserve">60% تكون نسبة 
</t>
    </r>
    <r>
      <rPr>
        <b val="1"/>
        <sz val="12"/>
        <color indexed="13"/>
        <rFont val="Arial"/>
      </rPr>
      <t xml:space="preserve"> Bevacizumab 100 mg )   لمادة
</t>
    </r>
    <r>
      <rPr>
        <b val="1"/>
        <sz val="12"/>
        <color indexed="13"/>
        <rFont val="Arial"/>
      </rPr>
      <t xml:space="preserve"> من الاحتياج
</t>
    </r>
    <r>
      <rPr>
        <b val="1"/>
        <sz val="12"/>
        <color indexed="13"/>
        <rFont val="Arial"/>
      </rPr>
      <t xml:space="preserve"> ونسبة (40% ) للمواد
</t>
    </r>
    <r>
      <rPr>
        <b val="1"/>
        <sz val="12"/>
        <color indexed="13"/>
        <rFont val="Arial"/>
      </rPr>
      <t xml:space="preserve">وحسب قاعدة اقل الاسعار ( Ranibizumab &amp; Aflibercept &amp; Faricimab) 
</t>
    </r>
    <r>
      <rPr>
        <b val="1"/>
        <sz val="12"/>
        <color indexed="13"/>
        <rFont val="Arial"/>
      </rPr>
      <t xml:space="preserve">على  ان تكون (30% ) للاقل سعرا" 
</t>
    </r>
    <r>
      <rPr>
        <b val="1"/>
        <sz val="12"/>
        <color indexed="13"/>
        <rFont val="Arial"/>
      </rPr>
      <t xml:space="preserve"> و%10
</t>
    </r>
    <r>
      <rPr>
        <b val="1"/>
        <sz val="12"/>
        <color indexed="13"/>
        <rFont val="Arial"/>
      </rPr>
      <t xml:space="preserve"> للمادة الثاني الاقل سعرا من الاثنين المتبقية
</t>
    </r>
    <r>
      <rPr>
        <b val="1"/>
        <sz val="12"/>
        <color indexed="13"/>
        <rFont val="Arial"/>
      </rPr>
      <t xml:space="preserve">
</t>
    </r>
    <r>
      <rPr>
        <b val="1"/>
        <sz val="12"/>
        <color indexed="13"/>
        <rFont val="Arial"/>
      </rPr>
      <t xml:space="preserve">
</t>
    </r>
    <r>
      <rPr>
        <b val="1"/>
        <sz val="12"/>
        <color indexed="13"/>
        <rFont val="Arial"/>
      </rPr>
      <t xml:space="preserve">
</t>
    </r>
  </si>
  <si>
    <r>
      <rPr>
        <b val="1"/>
        <sz val="12"/>
        <color indexed="8"/>
        <rFont val="Arial"/>
      </rPr>
      <t xml:space="preserve">Ranibizumab 10mg/ml( 2.3 mg/ 0,23 ml )for intravitreal injection only)  vial or prefilled syringe 
</t>
    </r>
    <r>
      <rPr>
        <b val="1"/>
        <sz val="12"/>
        <color indexed="8"/>
        <rFont val="Arial"/>
      </rPr>
      <t xml:space="preserve">or its approved biosimilar
</t>
    </r>
    <r>
      <rPr>
        <b val="1"/>
        <sz val="12"/>
        <color indexed="8"/>
        <rFont val="Arial"/>
      </rPr>
      <t xml:space="preserve">
</t>
    </r>
    <r>
      <rPr>
        <b val="1"/>
        <sz val="12"/>
        <color indexed="13"/>
        <rFont val="Arial"/>
      </rPr>
      <t xml:space="preserve">60% تكون نسبة 
</t>
    </r>
    <r>
      <rPr>
        <b val="1"/>
        <sz val="12"/>
        <color indexed="13"/>
        <rFont val="Arial"/>
      </rPr>
      <t xml:space="preserve"> Bevacizumab 100 mg )   لمادة
</t>
    </r>
    <r>
      <rPr>
        <b val="1"/>
        <sz val="12"/>
        <color indexed="13"/>
        <rFont val="Arial"/>
      </rPr>
      <t xml:space="preserve"> من الاحتياج
</t>
    </r>
    <r>
      <rPr>
        <b val="1"/>
        <sz val="12"/>
        <color indexed="13"/>
        <rFont val="Arial"/>
      </rPr>
      <t xml:space="preserve"> ونسبة (40% ) للمواد
</t>
    </r>
    <r>
      <rPr>
        <b val="1"/>
        <sz val="12"/>
        <color indexed="13"/>
        <rFont val="Arial"/>
      </rPr>
      <t xml:space="preserve">وحسب قاعدة اقل الاسعار ( Ranibizumab &amp; Aflibercept &amp; Faricimab) 
</t>
    </r>
    <r>
      <rPr>
        <b val="1"/>
        <sz val="12"/>
        <color indexed="13"/>
        <rFont val="Arial"/>
      </rPr>
      <t xml:space="preserve">على  ان تكون (30% ) للاقل سعرا" 
</t>
    </r>
    <r>
      <rPr>
        <b val="1"/>
        <sz val="12"/>
        <color indexed="13"/>
        <rFont val="Arial"/>
      </rPr>
      <t xml:space="preserve"> و%10
</t>
    </r>
    <r>
      <rPr>
        <b val="1"/>
        <sz val="12"/>
        <color indexed="13"/>
        <rFont val="Arial"/>
      </rPr>
      <t xml:space="preserve"> للمادة الثاني الاقل سعرا من الاثنين المتبقية</t>
    </r>
  </si>
  <si>
    <t xml:space="preserve">Bevacizumab 100 mg ;concentrate for intravenous
 infusion 25mg/ml, 4 ml vial </t>
  </si>
  <si>
    <r>
      <rPr>
        <b val="1"/>
        <sz val="12"/>
        <color indexed="13"/>
        <rFont val="Arial"/>
      </rPr>
      <t xml:space="preserve">Faricimab 6mg / 0.05 ml vial  solution for intravitreal injection
</t>
    </r>
    <r>
      <rPr>
        <b val="1"/>
        <sz val="12"/>
        <color indexed="13"/>
        <rFont val="Arial"/>
      </rPr>
      <t xml:space="preserve">
</t>
    </r>
    <r>
      <rPr>
        <b val="1"/>
        <sz val="12"/>
        <color indexed="13"/>
        <rFont val="Arial"/>
      </rPr>
      <t xml:space="preserve">60% تكون نسبة 
</t>
    </r>
    <r>
      <rPr>
        <b val="1"/>
        <sz val="12"/>
        <color indexed="13"/>
        <rFont val="Arial"/>
      </rPr>
      <t xml:space="preserve"> Bevacizumab 100 mg )   لمادة
</t>
    </r>
    <r>
      <rPr>
        <b val="1"/>
        <sz val="12"/>
        <color indexed="13"/>
        <rFont val="Arial"/>
      </rPr>
      <t xml:space="preserve"> من الاحتياج
</t>
    </r>
    <r>
      <rPr>
        <b val="1"/>
        <sz val="12"/>
        <color indexed="13"/>
        <rFont val="Arial"/>
      </rPr>
      <t xml:space="preserve"> ونسبة (40% ) للمواد
</t>
    </r>
    <r>
      <rPr>
        <b val="1"/>
        <sz val="12"/>
        <color indexed="13"/>
        <rFont val="Arial"/>
      </rPr>
      <t xml:space="preserve">وحسب قاعدة اقل الاسعار ( Ranibizumab &amp; Aflibercept &amp; Faricimab) 
</t>
    </r>
    <r>
      <rPr>
        <b val="1"/>
        <sz val="12"/>
        <color indexed="13"/>
        <rFont val="Arial"/>
      </rPr>
      <t xml:space="preserve">على  ان تكون (30% ) للاقل سعرا" 
</t>
    </r>
    <r>
      <rPr>
        <b val="1"/>
        <sz val="12"/>
        <color indexed="13"/>
        <rFont val="Arial"/>
      </rPr>
      <t xml:space="preserve"> و%10
</t>
    </r>
    <r>
      <rPr>
        <b val="1"/>
        <sz val="12"/>
        <color indexed="13"/>
        <rFont val="Arial"/>
      </rPr>
      <t xml:space="preserve"> للمادة الثاني الاقل سعرا من الاثنين المتبقية
</t>
    </r>
  </si>
  <si>
    <t>EAR, NOSE AND OROPHARYNX</t>
  </si>
  <si>
    <t>DRUGS ACTING ON THE NOSE</t>
  </si>
  <si>
    <t>Beclomethasone dipropionate 50mcg/ metered inhalation (Aerosol Inhalation) Nasal Spray</t>
  </si>
  <si>
    <t>Xylometazoline Hydrochloride 0.1% Nasal spray</t>
  </si>
  <si>
    <r>
      <rPr>
        <b val="1"/>
        <sz val="12"/>
        <color indexed="8"/>
        <rFont val="Arial"/>
      </rPr>
      <t xml:space="preserve">SKIN   
</t>
    </r>
    <r>
      <rPr>
        <b val="1"/>
        <sz val="12"/>
        <color indexed="8"/>
        <rFont val="Arial"/>
      </rPr>
      <t xml:space="preserve"> Note:  Therapeutically there is   no prevention to topical skin preparations to be (solution or lotion) where ever those are avialble in the lists.</t>
    </r>
  </si>
  <si>
    <t>EMOLLIENTS AND BARRIER PREPARATIONS</t>
  </si>
  <si>
    <t>Zinc oxide 15% oint in simple Ointment</t>
  </si>
  <si>
    <t>ANTIPRURITIC AND LOCAL ANAESTHETIC PREPARATIONS</t>
  </si>
  <si>
    <t>Lidocaine as base 5% ointment</t>
  </si>
  <si>
    <t>Calamine 8% or 10% +Glycerin 10%+Camphor 0.1% Lotion  or solution</t>
  </si>
  <si>
    <t>TOPICAL CORTICOSTEROIDS</t>
  </si>
  <si>
    <t>Hydrocortisone   acetate  1%  Cream or Hydrocortisone  1%  Cream</t>
  </si>
  <si>
    <t xml:space="preserve">Clobetasol propionate 0.05%  Ointment </t>
  </si>
  <si>
    <t>Triamcinolone acetonide 0.1% + Gramicidin 0.025%+  Neomycin as sulphate 0.25%Ξ 3.8mg + Nystatin 100000 units/1g Ointment</t>
  </si>
  <si>
    <t>PREPARATIONS FOR ECZEMA AND PSORIASIS</t>
  </si>
  <si>
    <t xml:space="preserve">Tacrolimus  (as anhydrous or monohydrate) 0.1% ointment </t>
  </si>
  <si>
    <t>PREPARATIONS FOR ACNE</t>
  </si>
  <si>
    <t>Isotretinoin 10mg Capsule  or soft gelatin capsule</t>
  </si>
  <si>
    <t>Tretinoin (Retinoic Acid)  0.025% Cream</t>
  </si>
  <si>
    <t>ANTIBACTERIAL SKIN PREPARATIONS</t>
  </si>
  <si>
    <t>Clindamycin as phosphate 1% topical Solution.</t>
  </si>
  <si>
    <t>Sodium fusidate 2% Ointment</t>
  </si>
  <si>
    <t>Silver sulphadiazine 1% Cream</t>
  </si>
  <si>
    <t xml:space="preserve">DESINFECTANTS, ANTISEPTICS AND   CLEANSING AGENTS
</t>
  </si>
  <si>
    <t xml:space="preserve">each 100ml  contain : Glutaraldehyde 2g in 5L plastic can and for activator : potassium carbonate + potassium phosphate + sodium bicarbonate    </t>
  </si>
  <si>
    <t xml:space="preserve">each 100ml  contain : Glutaraldehyde 2g in 5L plastic can and for activator : potassium carbonate 10gm + potassium phosphate 10gm + sodium bicarbonate 5gm/25gm powder   </t>
  </si>
  <si>
    <t>Povidone iodine 10%(contains1%of free iodine)</t>
  </si>
  <si>
    <t>Povidone Iodine 7.5g /100ml Surgical scrub</t>
  </si>
  <si>
    <t>chlohexidine gluconate 4% liquid surgical soap</t>
  </si>
  <si>
    <t xml:space="preserve">ethyl alcohol 70%  </t>
  </si>
  <si>
    <t xml:space="preserve">each 100ml contain ethanol 70ml </t>
  </si>
  <si>
    <t>o-phthaldialdehyde 0.55%</t>
  </si>
  <si>
    <t>each 100ml  contain : didecyldimethyl ammonium chloride 10g + Benzalkonium chloride 2g concentrated solution</t>
  </si>
  <si>
    <t xml:space="preserve">each 100ml contain : Didecyldimethyl ammonium chloride 0.2g + ethanol 12.5g + propan-2-ol 65g  </t>
  </si>
  <si>
    <t xml:space="preserve">each 100ml contain : Didecyldimethyl ammonium chloride 0.4g + benzalkonium chloride 0.25g  </t>
  </si>
  <si>
    <t xml:space="preserve">each 100ml contain : didecyl dimethyl ammonium chloride 0.25g , benzalkonium chloride 0.5g  cleaner for medical devices , surface application </t>
  </si>
  <si>
    <t>enzyme (protease ,lipase ,amylase) 7% quaternary ammonium propionate , 1% polymethylenbiguanide hydrochloride</t>
  </si>
  <si>
    <t>ANTIVIRAL SKIN PREPARATIONS</t>
  </si>
  <si>
    <t>Acyclovir 5% Cream</t>
  </si>
  <si>
    <t>ANTIPARASITIC SKIN PREPARATIONS</t>
  </si>
  <si>
    <t>Permethrin  dermal 5% cream</t>
  </si>
  <si>
    <r>
      <rPr>
        <b val="1"/>
        <sz val="12"/>
        <color indexed="8"/>
        <rFont val="Arial"/>
      </rPr>
      <t xml:space="preserve">permethrin1% shampoo or rinse solution or lotion </t>
    </r>
    <r>
      <rPr>
        <b val="1"/>
        <sz val="12"/>
        <color indexed="13"/>
        <rFont val="Arial"/>
      </rPr>
      <t xml:space="preserve"> ويفضل ان يكون بشكل
</t>
    </r>
    <r>
      <rPr>
        <b val="1"/>
        <sz val="12"/>
        <color indexed="13"/>
        <rFont val="Arial"/>
      </rPr>
      <t>( lotion)</t>
    </r>
  </si>
  <si>
    <t xml:space="preserve">DRUGS USED IN ANAESTHESI+ ICU + PAIN MANGEMENT    </t>
  </si>
  <si>
    <t>General anaesthesia</t>
  </si>
  <si>
    <t xml:space="preserve">Intarveenous anaesthesia </t>
  </si>
  <si>
    <t>Ketamine (as Hydrochloride)  50mg/ml,  (10ml) Vial or ampoule I.V ,I.M</t>
  </si>
  <si>
    <r>
      <rPr>
        <b val="1"/>
        <sz val="12"/>
        <color indexed="8"/>
        <rFont val="Arial"/>
      </rPr>
      <t xml:space="preserve">Propofol 1% Propofol 10 mg/1 ml (20ml) ampoule or vial for slow IV injection or infusion
</t>
    </r>
    <r>
      <rPr>
        <b val="1"/>
        <sz val="12"/>
        <color indexed="13"/>
        <rFont val="Arial"/>
      </rPr>
      <t>الافضلية للمستحضر الذي يحتوي على مادة حافظة</t>
    </r>
  </si>
  <si>
    <t>Inhalational anaesthetics drugs</t>
  </si>
  <si>
    <r>
      <rPr>
        <b val="1"/>
        <sz val="12"/>
        <color indexed="8"/>
        <rFont val="Arial"/>
      </rPr>
      <t>Isoflurane 1 ml per 1 ml volatile liquid for inhalation vapour 100 ml bottle</t>
    </r>
    <r>
      <rPr>
        <b val="1"/>
        <sz val="12"/>
        <color indexed="13"/>
        <rFont val="Arial"/>
      </rPr>
      <t xml:space="preserve">
</t>
    </r>
    <r>
      <rPr>
        <b val="1"/>
        <sz val="12"/>
        <color indexed="13"/>
        <rFont val="Arial"/>
      </rPr>
      <t xml:space="preserve">احتياج واحد يقسم الى
</t>
    </r>
    <r>
      <rPr>
        <b val="1"/>
        <sz val="12"/>
        <color indexed="13"/>
        <rFont val="Arial"/>
      </rPr>
      <t xml:space="preserve"> 80% Isoflurane و
</t>
    </r>
    <r>
      <rPr>
        <b val="1"/>
        <sz val="12"/>
        <color indexed="13"/>
        <rFont val="Arial"/>
      </rPr>
      <t xml:space="preserve"> 20%Sevoflurane
</t>
    </r>
    <r>
      <rPr>
        <b val="1"/>
        <sz val="12"/>
        <color indexed="13"/>
        <rFont val="Arial"/>
      </rPr>
      <t xml:space="preserve"> على ان تجهز في وقت واحد</t>
    </r>
  </si>
  <si>
    <r>
      <rPr>
        <b val="1"/>
        <sz val="12"/>
        <color indexed="8"/>
        <rFont val="Arial"/>
      </rPr>
      <t>sevoflurane 1 ml per 1 ml volatile liquid for inhalation vapour  bottle</t>
    </r>
    <r>
      <rPr>
        <b val="1"/>
        <sz val="12"/>
        <color indexed="13"/>
        <rFont val="Arial"/>
      </rPr>
      <t xml:space="preserve">
</t>
    </r>
    <r>
      <rPr>
        <b val="1"/>
        <sz val="12"/>
        <color indexed="13"/>
        <rFont val="Arial"/>
      </rPr>
      <t xml:space="preserve">احتياج واحد يقسم الى
</t>
    </r>
    <r>
      <rPr>
        <b val="1"/>
        <sz val="12"/>
        <color indexed="13"/>
        <rFont val="Arial"/>
      </rPr>
      <t xml:space="preserve"> 80% Isoflurane و
</t>
    </r>
    <r>
      <rPr>
        <b val="1"/>
        <sz val="12"/>
        <color indexed="13"/>
        <rFont val="Arial"/>
      </rPr>
      <t xml:space="preserve"> 20%Sevoflurane
</t>
    </r>
    <r>
      <rPr>
        <b val="1"/>
        <sz val="12"/>
        <color indexed="13"/>
        <rFont val="Arial"/>
      </rPr>
      <t xml:space="preserve">على ان تجهز في وقت واحد
</t>
    </r>
    <r>
      <rPr>
        <b val="1"/>
        <sz val="12"/>
        <color indexed="13"/>
        <rFont val="Arial"/>
      </rPr>
      <t>تطلب مادة ل ( Adaptor ) بنفس كمية مادة  ( Sevoflurane ) وتجهز بصورة مجانية من قبل الشركة المجهزة للمادة انفا" وبشكل سنوي ويكون نوع ( Adaptor ) حسب نوع ( Vaporizer )   وحسب رأي اللجنة الاستشارية للتخدير وتثبت الملاحظة بالقائمة الاساسية</t>
    </r>
    <r>
      <rPr>
        <b val="1"/>
        <sz val="12"/>
        <color indexed="8"/>
        <rFont val="Arial"/>
      </rPr>
      <t xml:space="preserve"> .
</t>
    </r>
    <r>
      <rPr>
        <b val="1"/>
        <sz val="12"/>
        <color indexed="13"/>
        <rFont val="Arial"/>
      </rPr>
      <t>ج\ 1068</t>
    </r>
  </si>
  <si>
    <t>Nitrous oxide 1 ml per 1 ml Nitrous oxide  Inhalation gas cylinder BY INHALATION
▶ Adult: 50–66 %, to be administered using suitable
anaesthetic apparatus in oxygen</t>
  </si>
  <si>
    <t xml:space="preserve"> Muscle relaxants and it's  antagonists</t>
  </si>
  <si>
    <r>
      <rPr>
        <b val="1"/>
        <sz val="12"/>
        <color indexed="8"/>
        <rFont val="Arial"/>
      </rPr>
      <t>Atracurium( besilate or Besylate )10mg/ml (5ml) Ampoule or vial IV</t>
    </r>
    <r>
      <rPr>
        <b val="1"/>
        <sz val="12"/>
        <color indexed="13"/>
        <rFont val="Arial"/>
      </rPr>
      <t xml:space="preserve">
</t>
    </r>
    <r>
      <rPr>
        <b val="1"/>
        <sz val="12"/>
        <color indexed="13"/>
        <rFont val="Arial"/>
      </rPr>
      <t xml:space="preserve">احتياج واحد يقسم الى 
</t>
    </r>
    <r>
      <rPr>
        <b val="1"/>
        <sz val="12"/>
        <color indexed="13"/>
        <rFont val="Arial"/>
      </rPr>
      <t xml:space="preserve">50%Atracurium
</t>
    </r>
    <r>
      <rPr>
        <b val="1"/>
        <sz val="12"/>
        <color indexed="13"/>
        <rFont val="Arial"/>
      </rPr>
      <t xml:space="preserve">و50%Rocuronium 
</t>
    </r>
    <r>
      <rPr>
        <b val="1"/>
        <sz val="12"/>
        <color indexed="13"/>
        <rFont val="Arial"/>
      </rPr>
      <t>على ان تجهز في وقت واحد</t>
    </r>
  </si>
  <si>
    <r>
      <rPr>
        <b val="1"/>
        <sz val="12"/>
        <color indexed="8"/>
        <rFont val="Arial"/>
      </rPr>
      <t>Rocuronium bromide  10mg/ml (5ml) Vial or ampoule IV</t>
    </r>
    <r>
      <rPr>
        <b val="1"/>
        <sz val="12"/>
        <color indexed="13"/>
        <rFont val="Arial"/>
      </rPr>
      <t xml:space="preserve">
</t>
    </r>
    <r>
      <rPr>
        <b val="1"/>
        <sz val="12"/>
        <color indexed="13"/>
        <rFont val="Arial"/>
      </rPr>
      <t xml:space="preserve">احتياج واحد يقسم الى 
</t>
    </r>
    <r>
      <rPr>
        <b val="1"/>
        <sz val="12"/>
        <color indexed="13"/>
        <rFont val="Arial"/>
      </rPr>
      <t xml:space="preserve">50%Atracurium
</t>
    </r>
    <r>
      <rPr>
        <b val="1"/>
        <sz val="12"/>
        <color indexed="13"/>
        <rFont val="Arial"/>
      </rPr>
      <t xml:space="preserve">و50%Rocuronium 
</t>
    </r>
    <r>
      <rPr>
        <b val="1"/>
        <sz val="12"/>
        <color indexed="13"/>
        <rFont val="Arial"/>
      </rPr>
      <t>على ان تجهز في وقت واحد</t>
    </r>
  </si>
  <si>
    <t>Suxamethonium chloride 100mg/2ml or 100mg/5ml  Ampoule IV</t>
  </si>
  <si>
    <t>Analgesic and it's antagonists</t>
  </si>
  <si>
    <t>Fentanyl (as citrate)50mcg/ml ( 2ml) Ampoule IV, IV infusion,  IM</t>
  </si>
  <si>
    <t>ketorolac tormetamol 30mg/ml (1ml ampoule) I.V infusion I.M IM, slow  I.V  injection</t>
  </si>
  <si>
    <t xml:space="preserve">Remifentanil (as Hydrochloride )2mg/ vial IV.injection </t>
  </si>
  <si>
    <t>LOCAL ANAESTHESIA</t>
  </si>
  <si>
    <t>Anhydrous  Lidocaine Hydrochloride (20mg/ml) IV or (I.V , I.M  )  (50 ml vial)</t>
  </si>
  <si>
    <t>Lidocaine Hydrochloride 2% gel</t>
  </si>
  <si>
    <t>Anhydrous Bupivacain Hydrochloride 5mg + glucose( monohydrate or anhydrous)  80mg/ml (4ml ) Vial or Ampoule for spinal anesthesia
ملاحظة:تستعمل المادة للزرق داخل القناة الشوكية وتحت مستوى الحبل الشوكي نهايته  Spinal anesthesia  وليس عن طريق spinal cord   (690) { according to the pharmacopeia that limited it's specifications)</t>
  </si>
  <si>
    <r>
      <rPr>
        <b val="1"/>
        <sz val="12"/>
        <color indexed="8"/>
        <rFont val="Arial"/>
      </rPr>
      <t>Lidocaine Hydrochloride 20mg/ml (2%) IV or</t>
    </r>
    <r>
      <rPr>
        <b val="1"/>
        <sz val="12"/>
        <color indexed="13"/>
        <rFont val="Arial"/>
      </rPr>
      <t xml:space="preserve"> (I.V , I.M  ) or (S.C , I.M)</t>
    </r>
    <r>
      <rPr>
        <b val="1"/>
        <sz val="12"/>
        <color indexed="8"/>
        <rFont val="Arial"/>
      </rPr>
      <t xml:space="preserve"> (5ml Ampoule)          </t>
    </r>
  </si>
  <si>
    <r>
      <rPr>
        <b val="1"/>
        <sz val="12"/>
        <color indexed="8"/>
        <rFont val="Arial"/>
      </rPr>
      <t>Lidocaine Hydrochloride 2% (20mg/ml) + Epinephrine as Bitartrate 1:80,000 (0.0125mg/ml)</t>
    </r>
    <r>
      <rPr>
        <b val="1"/>
        <sz val="12"/>
        <color indexed="8"/>
        <rFont val="Times New Roman"/>
      </rPr>
      <t xml:space="preserve"> cartridges  (1.7- 2.2 ) ml</t>
    </r>
  </si>
  <si>
    <t xml:space="preserve">Lidocaine Hydrochloride 2% ( 1.8 ml )  carpule
</t>
  </si>
  <si>
    <t>Anhydrous lidocaine Hydrochloride 20 mg /ml  ( 20 ml vial )  IV or (I.V , I.M  )</t>
  </si>
  <si>
    <t xml:space="preserve">Drugs  used in ICU (in addition to that used in anasethesisa) </t>
  </si>
  <si>
    <t>Dexmedetomidine (as Hydrochloride)  100μg /ml(2ml vial or ampoule)I.V injection</t>
  </si>
  <si>
    <t>Glycopyrronium Bromide (Glycopyrrolate) 200mcg/ml (3ml Ampoule)</t>
  </si>
  <si>
    <r>
      <rPr>
        <b val="1"/>
        <sz val="12"/>
        <color indexed="8"/>
        <rFont val="Arial"/>
      </rPr>
      <t xml:space="preserve">Adrenaline( as acid tartrate)or(as Hydrochloride)1mg/ml(1/1000), (1ml.Ampoule) s.c,i.m </t>
    </r>
    <r>
      <rPr>
        <b val="1"/>
        <sz val="12"/>
        <color indexed="13"/>
        <rFont val="Arial"/>
      </rPr>
      <t xml:space="preserve">أن مادة الـ Adrenaline for  I.V use   after dilution المستخدمة في مستحضرات الزرق حسب دساتير الأدوية الأمريكية والبريطانية أما تكون بشكل:
</t>
    </r>
    <r>
      <rPr>
        <b val="1"/>
        <sz val="12"/>
        <color indexed="13"/>
        <rFont val="Arial"/>
      </rPr>
      <t xml:space="preserve">Adrenaline base  أو Adrenaline (as Hcl) أو Adrenaline (as Acid tartarate) وتكون النسبة المطلوبة على ما يكافئها من الـ Adrenaline base . 
</t>
    </r>
    <r>
      <rPr>
        <b val="1"/>
        <sz val="12"/>
        <color indexed="13"/>
        <rFont val="Arial"/>
      </rPr>
      <t xml:space="preserve"> أما مادة الـ Adrenaline borate694 فلا تستخدم دستورياً في (709مستحضرات الزرق   </t>
    </r>
  </si>
  <si>
    <t>Atropine sulphate 1mg/ml (1ml ampoule) I.M,I.V,S.C Injection</t>
  </si>
  <si>
    <t xml:space="preserve">Drugs adjunct to anaesthesis, ICU and pain management </t>
  </si>
  <si>
    <t>Benzodiazepens</t>
  </si>
  <si>
    <t>Midazolam  5mg /ml  (1 ml ampoule) I.V., I.M. injection or rectal adminstration</t>
  </si>
  <si>
    <t xml:space="preserve">Drugs acting on cardiovascular system </t>
  </si>
  <si>
    <t xml:space="preserve"> Drugs that alter immune responses (Drugs affecting the immune responses)  </t>
  </si>
  <si>
    <r>
      <rPr>
        <sz val="12"/>
        <color indexed="8"/>
        <rFont val="Helvetica"/>
      </rPr>
      <t xml:space="preserve">Interferon Beta 1a   6 million I.U(30mcg) vial (I.M)   or pre-filled syring  solution for  I.M </t>
    </r>
    <r>
      <rPr>
        <sz val="12"/>
        <color indexed="13"/>
        <rFont val="Helvetica"/>
      </rPr>
      <t xml:space="preserve">or its approved biosimilars </t>
    </r>
    <r>
      <rPr>
        <sz val="12"/>
        <color indexed="8"/>
        <rFont val="Helvetica"/>
      </rPr>
      <t xml:space="preserve">
</t>
    </r>
    <r>
      <rPr>
        <sz val="12"/>
        <color indexed="8"/>
        <rFont val="Helvetica"/>
      </rPr>
      <t xml:space="preserve">على ان يتم توفير الارخص سعرا
</t>
    </r>
    <r>
      <rPr>
        <sz val="12"/>
        <color indexed="8"/>
        <rFont val="Helvetica"/>
      </rPr>
      <t xml:space="preserve">
</t>
    </r>
  </si>
  <si>
    <t>Recombinant Interferon Beta 1b  0.3mg(9.6 million IU) S.C Inj. Vial.
  (Better to be free from Human blood additives)</t>
  </si>
  <si>
    <t xml:space="preserve">Interferon Beta 1a (Recombimant) 12millon IU (44mcg) pfs or its approved biosimilars   
 Interferon b -1a (Rebif ) يعطى  (Remitting Relapsing)في حالة النوبات المتكررة الهادئة والنتكسة   
او  (Evidece study )US FDA حسب قرار (Avonex )لانه اكثر فعالية من 
(INCOMIN STUDY)Interferon beta 1a (Betaferon,Extavia)
                              </t>
  </si>
  <si>
    <t xml:space="preserve">Natalizumab concentrate for I.V. infusion 20mg/ml, 15 ml vial 
تقر المادة كخط ثاني على ان تقوم الشركة باجراء الفحوصات  المتعلقة بفايروس  JC وحسب الضوابط المعمول بها عالميا   
  اقرت اللجنة الاستشارية لطب الاعصاب البروتوكول العلاجي للمادة وكمايلي: يستعمل العلاج اعلاه في حالة فشل ادوية الخط الاول الانترفيرون بكل انواعه ويعرف الفشل على انه حدوث انتكاسة واحدة او اكثر  او ظهور نقاط بيضاء اضافية في فحص الرنين المغناطيسي للمريض خلال مدة لاتقل عن ستة اشهر من استعمال الانترفيرون.    يستعمل العلاج اعلاه كعلاج خط اول في حالة المرض الشديد والمعرف بأنه حدوث  اعاقة مهمة ومبكرة مع حدوث اكثر من نوبة شديدة واحدة او ظهور اكثر من أفة دماغية في  فحص الرنين عند تشخيص المرض                    
         </t>
  </si>
  <si>
    <t xml:space="preserve">Ocrelizumab 300 mg/10ml vial  </t>
  </si>
  <si>
    <t>Teriflunomide 14 mg  tablet</t>
  </si>
  <si>
    <t>IMMUNOLOGICAL PRODUCTS</t>
  </si>
  <si>
    <t>vaccines &amp; Antisera(ضرورة ان تكون اللقاحات من مناشئ رصينة)</t>
  </si>
  <si>
    <r>
      <rPr>
        <b val="1"/>
        <sz val="11"/>
        <color indexed="8"/>
        <rFont val="Arial"/>
      </rPr>
      <t xml:space="preserve">MMR VIAL-10 doses </t>
    </r>
    <r>
      <rPr>
        <b val="1"/>
        <sz val="11"/>
        <color indexed="13"/>
        <rFont val="Arial"/>
      </rPr>
      <t xml:space="preserve">
</t>
    </r>
    <r>
      <rPr>
        <b val="1"/>
        <sz val="11"/>
        <color indexed="13"/>
        <rFont val="Arial"/>
      </rPr>
      <t xml:space="preserve">يكون 75% من الاحتياج الكلي السنوي من اللقاح بجرعة بجرعة 
</t>
    </r>
    <r>
      <rPr>
        <b val="1"/>
        <sz val="11"/>
        <color indexed="13"/>
        <rFont val="Arial"/>
      </rPr>
      <t>(10 doses)</t>
    </r>
    <r>
      <rPr>
        <b val="1"/>
        <sz val="11"/>
        <color indexed="8"/>
        <rFont val="Arial"/>
      </rPr>
      <t xml:space="preserve">
</t>
    </r>
  </si>
  <si>
    <r>
      <rPr>
        <b val="1"/>
        <sz val="11"/>
        <color indexed="8"/>
        <rFont val="Arial"/>
      </rPr>
      <t>MMR VIAL one dose</t>
    </r>
    <r>
      <rPr>
        <b val="1"/>
        <sz val="11"/>
        <color indexed="13"/>
        <rFont val="Arial"/>
      </rPr>
      <t xml:space="preserve">
</t>
    </r>
    <r>
      <rPr>
        <b val="1"/>
        <sz val="11"/>
        <color indexed="13"/>
        <rFont val="Arial"/>
      </rPr>
      <t xml:space="preserve">يكون 25% من الاحتياج الكلي السنوي من اللقاح بجرعة 
</t>
    </r>
    <r>
      <rPr>
        <b val="1"/>
        <sz val="11"/>
        <color indexed="13"/>
        <rFont val="Arial"/>
      </rPr>
      <t xml:space="preserve"> (single dose ) 
</t>
    </r>
  </si>
  <si>
    <r>
      <rPr>
        <b val="1"/>
        <sz val="11"/>
        <color indexed="8"/>
        <rFont val="Arial"/>
      </rPr>
      <t>DT/child vial-10 doses</t>
    </r>
    <r>
      <rPr>
        <b val="1"/>
        <sz val="11"/>
        <color indexed="13"/>
        <rFont val="Arial"/>
      </rPr>
      <t xml:space="preserve">
</t>
    </r>
    <r>
      <rPr>
        <b val="1"/>
        <sz val="11"/>
        <color indexed="13"/>
        <rFont val="Arial"/>
      </rPr>
      <t xml:space="preserve">توفر مجانا
</t>
    </r>
    <r>
      <rPr>
        <b val="1"/>
        <sz val="11"/>
        <color indexed="13"/>
        <rFont val="Arial"/>
      </rPr>
      <t>(16-A00-043) مع اللقاح بالرمز الوطني</t>
    </r>
  </si>
  <si>
    <t>Diphtheria &amp; Tetanus (adult) or  Td/Adult vial -10 doses</t>
  </si>
  <si>
    <t xml:space="preserve">Hepatitis B vaccine (adult) 20 mcg / 1 ml </t>
  </si>
  <si>
    <t>Rabies vaccine powder(Freeze dried or Lyophilised) in vial + solvent in syringe or ampoule</t>
  </si>
  <si>
    <r>
      <rPr>
        <b val="1"/>
        <sz val="11"/>
        <color indexed="8"/>
        <rFont val="Arial"/>
      </rPr>
      <t xml:space="preserve">Human Rabies Immunoglobulin   syringe-single dose
</t>
    </r>
    <r>
      <rPr>
        <b val="1"/>
        <sz val="11"/>
        <color indexed="13"/>
        <rFont val="Arial"/>
      </rPr>
      <t xml:space="preserve"> ويفضل المنشأ البشري code16-A00-049 تكون باحتياج واحد مع </t>
    </r>
  </si>
  <si>
    <r>
      <rPr>
        <b val="1"/>
        <sz val="11"/>
        <color indexed="8"/>
        <rFont val="Arial"/>
      </rPr>
      <t xml:space="preserve">Equine  Rabies Immunoglobulin   syringe-single dose
</t>
    </r>
    <r>
      <rPr>
        <b val="1"/>
        <sz val="11"/>
        <color indexed="13"/>
        <rFont val="Arial"/>
      </rPr>
      <t xml:space="preserve">ويفضل المنشأ البشري code16-A00-012 تكون باحتياج واحد مع </t>
    </r>
  </si>
  <si>
    <t xml:space="preserve">Tetanus  Immunoglobulin   single  dose  injection </t>
  </si>
  <si>
    <t>B.C.G ampoule-20doses</t>
  </si>
  <si>
    <t>Measles vial-10doses</t>
  </si>
  <si>
    <t>Antiscorpion  Ampoule -single dose</t>
  </si>
  <si>
    <t>Polyvalent snake antivenom vial  or ampoule  including  Echis Carinatus – single dose</t>
  </si>
  <si>
    <t xml:space="preserve">Injectable Polio Vaccine (IPV) </t>
  </si>
  <si>
    <t xml:space="preserve">Influenza seasonal  Vaccine syringe-single dose northren strain  </t>
  </si>
  <si>
    <t>Conjugated Meningococcal  (ACYW 135)  single dose Vaccine</t>
  </si>
  <si>
    <t>Hepatitis B - Immunoglobulin with 50 IU/ ml anti-HBs antibodies  2ml   vial -single dose</t>
  </si>
  <si>
    <r>
      <rPr>
        <b val="1"/>
        <sz val="11"/>
        <color indexed="8"/>
        <rFont val="Arial"/>
      </rPr>
      <t>Hepatitis B - Immunoglobulin with 50 IU/ ml anti-HBs antibodies   10 ml   vial -single dose</t>
    </r>
    <r>
      <rPr>
        <b val="1"/>
        <sz val="11"/>
        <color indexed="13"/>
        <rFont val="Arial"/>
      </rPr>
      <t xml:space="preserve">
</t>
    </r>
    <r>
      <rPr>
        <b val="1"/>
        <sz val="11"/>
        <color indexed="13"/>
        <rFont val="Arial"/>
      </rPr>
      <t xml:space="preserve">احتياج واحد مع المادة 
</t>
    </r>
    <r>
      <rPr>
        <b val="1"/>
        <sz val="11"/>
        <color indexed="13"/>
        <rFont val="Arial"/>
      </rPr>
      <t>16-A00-046</t>
    </r>
  </si>
  <si>
    <r>
      <rPr>
        <b val="1"/>
        <sz val="11"/>
        <color indexed="8"/>
        <rFont val="Arial"/>
      </rPr>
      <t xml:space="preserve">Human hepatitis B immunoglobulin:1ml contains:Human   protein 150mg of which at least 96%is IgG with acontent of antibodies to hepatitis  B virus surface antigen(HBs)of 500 IU    IgG subclass distribution:59% IgG 1            35% IgG2                 3%IgG3                   3%IgG4        IgA content </t>
    </r>
    <r>
      <rPr>
        <b val="1"/>
        <sz val="11"/>
        <color indexed="8"/>
        <rFont val="Calibri"/>
      </rPr>
      <t>≤</t>
    </r>
    <r>
      <rPr>
        <b val="1"/>
        <sz val="11"/>
        <color indexed="8"/>
        <rFont val="Arial"/>
      </rPr>
      <t xml:space="preserve">6mg/ml solution for injection  in PFS (500 IU/ml).s.c. only          </t>
    </r>
    <r>
      <rPr>
        <b val="1"/>
        <sz val="11"/>
        <color indexed="13"/>
        <rFont val="Arial"/>
      </rPr>
      <t xml:space="preserve">
</t>
    </r>
    <r>
      <rPr>
        <b val="1"/>
        <sz val="11"/>
        <color indexed="13"/>
        <rFont val="Arial"/>
      </rPr>
      <t xml:space="preserve">احتياج واحد مع المادة 
</t>
    </r>
    <r>
      <rPr>
        <b val="1"/>
        <sz val="11"/>
        <color indexed="13"/>
        <rFont val="Arial"/>
      </rPr>
      <t xml:space="preserve">16-A00-039                                                                                               </t>
    </r>
    <r>
      <rPr>
        <b val="1"/>
        <sz val="11"/>
        <color indexed="19"/>
        <rFont val="Arial"/>
      </rPr>
      <t xml:space="preserve">                                                                                                                                                                     </t>
    </r>
  </si>
  <si>
    <t xml:space="preserve">Hepatitis B vaccine children )10 mcg / 0.5 ml </t>
  </si>
  <si>
    <r>
      <rPr>
        <b val="1"/>
        <sz val="11"/>
        <color indexed="8"/>
        <rFont val="Arial"/>
      </rPr>
      <t xml:space="preserve">conjugated  Pneumococcal  vaccine  لقاح عام
</t>
    </r>
    <r>
      <rPr>
        <b val="1"/>
        <sz val="11"/>
        <color indexed="13"/>
        <rFont val="Arial"/>
      </rPr>
      <t xml:space="preserve">يتم توفير المادة بالرمز الوطني 
</t>
    </r>
    <r>
      <rPr>
        <b val="1"/>
        <sz val="11"/>
        <color indexed="13"/>
        <rFont val="Arial"/>
      </rPr>
      <t xml:space="preserve">(16-A00-003) 
</t>
    </r>
    <r>
      <rPr>
        <b val="1"/>
        <sz val="11"/>
        <color indexed="13"/>
        <rFont val="Arial"/>
      </rPr>
      <t>مجانا</t>
    </r>
    <r>
      <rPr>
        <b val="1"/>
        <sz val="11"/>
        <color indexed="8"/>
        <rFont val="Arial"/>
      </rPr>
      <t xml:space="preserve"> </t>
    </r>
  </si>
  <si>
    <t xml:space="preserve">Influenza seasonal  Vaccine syringe-single dose southren  strain  </t>
  </si>
  <si>
    <r>
      <rPr>
        <b val="1"/>
        <sz val="11"/>
        <color indexed="8"/>
        <rFont val="Arial"/>
      </rPr>
      <t xml:space="preserve">Rota Virus pentavalent  vaccine 
</t>
    </r>
    <r>
      <rPr>
        <b val="1"/>
        <sz val="11"/>
        <color indexed="13"/>
        <rFont val="Arial"/>
      </rPr>
      <t xml:space="preserve"> ويتم اختيار مادة واحدة code16-A00-052 تكون باحتياج مشترك مع </t>
    </r>
  </si>
  <si>
    <r>
      <rPr>
        <b val="1"/>
        <sz val="11"/>
        <color indexed="8"/>
        <rFont val="Arial"/>
      </rPr>
      <t xml:space="preserve">Rota Virus  mono valent  vaccine 
</t>
    </r>
    <r>
      <rPr>
        <b val="1"/>
        <sz val="11"/>
        <color indexed="8"/>
        <rFont val="Arial"/>
      </rPr>
      <t xml:space="preserve"> </t>
    </r>
    <r>
      <rPr>
        <b val="1"/>
        <sz val="11"/>
        <color indexed="13"/>
        <rFont val="Arial"/>
      </rPr>
      <t xml:space="preserve">ويتم اختيار مادة واحدةcode16-A00-051 تكون باحتياج مشترك مع </t>
    </r>
  </si>
  <si>
    <t xml:space="preserve">Penta 1  DPwT Hib - Hep- B Vaccine  </t>
  </si>
  <si>
    <t>Diphtheria , Tetanus , Pertusi or D.P.T vial-10 doses</t>
  </si>
  <si>
    <t>Bivalent oral poliomyelitis vaccine type1&amp;3 (10 OR 20 dose / vial )</t>
  </si>
  <si>
    <t>PASSIVE IMMUNISATION</t>
  </si>
  <si>
    <r>
      <rPr>
        <b val="1"/>
        <sz val="12"/>
        <color indexed="8"/>
        <rFont val="Arial"/>
      </rPr>
      <t xml:space="preserve">Anti D immunoglobulin ( 1500 IU ) solution for    IV or( IV/ IM) injection vial or ampoule
</t>
    </r>
    <r>
      <rPr>
        <b val="1"/>
        <sz val="12"/>
        <color indexed="13"/>
        <rFont val="Arial"/>
      </rPr>
      <t xml:space="preserve">(By nanofilteration &amp; SDF method)تكون خاضعة لكافة  المتطلبات والمواصفات العالمية المتعلقة بالنقاوة وخلوها من الفيروسات     </t>
    </r>
  </si>
  <si>
    <t xml:space="preserve">Humman normal immunoglobulin 5% protein ( 200 ml ) or 10% protein ( 100 ml ) 
( 10 gm / container)  Purity of at least 95% IgG 
</t>
  </si>
  <si>
    <t>EMERGENCY TRETMENT OF POISONING (for Hospital and poisoning center only) ANTIDOTES AND DRUGS USED IN TREATMENT OF ACUTE POISINING</t>
  </si>
  <si>
    <t xml:space="preserve">Acetylcysteine10ml ampoule of 20% w/v aqueous solution (each containing 2g) i.e(200mg/ml) </t>
  </si>
  <si>
    <t>Amyl nitrite 0.2ml in crushable glass or  Capsule   or   glass  Ampoule.</t>
  </si>
  <si>
    <t xml:space="preserve">Cyanid Antidot Kit.(Hydroxocobalamine) </t>
  </si>
  <si>
    <t>Desferrioxamine mesylate (Deferoxamine Mesilate) 500mg  Vial</t>
  </si>
  <si>
    <t>Digoxin specific antibody Fargments (FAB)  40mg Vial</t>
  </si>
  <si>
    <t>Dimercaprol in arachis oil (solvent)  50mg/ml  2ml Ampoule injection</t>
  </si>
  <si>
    <t>Obidoxime 250mg/ml Injection vial or ampoule</t>
  </si>
  <si>
    <t>Pralidoxime mesylate 1g/5ml (5ml Ampoule)</t>
  </si>
  <si>
    <t>Potassium ferric hexacyano ferrate (Prussian blue) 0.5 gm</t>
  </si>
  <si>
    <t>disodium calcium edetate 1g/5ml  (5ml Ampoule)</t>
  </si>
  <si>
    <t xml:space="preserve">Sodium nitrite 30 mg/ 1 ml (3% ) 10ml ampoule or vial for  IV injection </t>
  </si>
  <si>
    <t>Sodium thiosulphate 50% (500mg/ml)(50ml ampoule)</t>
  </si>
  <si>
    <t>Succimer 100mg Capsule</t>
  </si>
  <si>
    <t>Trivalent botulism antitoxin or pentavalant  20ml Injection vial or ampoule</t>
  </si>
  <si>
    <t>Dantrolene sodium  20 mg / vial</t>
  </si>
  <si>
    <r>
      <rPr>
        <b val="1"/>
        <sz val="12"/>
        <color indexed="8"/>
        <rFont val="Arial"/>
      </rPr>
      <t xml:space="preserve">Deferasirox  dispersible 500mg tablet  
</t>
    </r>
    <r>
      <rPr>
        <b val="1"/>
        <sz val="12"/>
        <color indexed="13"/>
        <rFont val="Arial"/>
      </rPr>
      <t xml:space="preserve">
</t>
    </r>
    <r>
      <rPr>
        <b val="1"/>
        <sz val="12"/>
        <color indexed="13"/>
        <rFont val="Arial"/>
      </rPr>
      <t xml:space="preserve">تلتزم الشركة المجهزة للعلاج  بتوفير المادة ادناه كبضاعة مجانية
</t>
    </r>
    <r>
      <rPr>
        <b val="1"/>
        <sz val="12"/>
        <color indexed="13"/>
        <rFont val="Arial"/>
      </rPr>
      <t xml:space="preserve">Deferasirox dispersible 125mg Tablet   
</t>
    </r>
    <r>
      <rPr>
        <b val="1"/>
        <sz val="12"/>
        <color indexed="13"/>
        <rFont val="Arial"/>
      </rPr>
      <t xml:space="preserve"> بنسبة 25% من الكمية المتعاقد عليها من المادة </t>
    </r>
  </si>
  <si>
    <t>Desferrioxamine mesylate 2g vial for Injection</t>
  </si>
  <si>
    <t>Dicobalt edetate   300mg / (20ml Ampoule)</t>
  </si>
  <si>
    <t xml:space="preserve">Physostigmine salicylate  2mg/2ml  I.V.-I.M. inj (2ml Ampoule )        </t>
  </si>
  <si>
    <t>Naloxone hydrochloride  400mcg/ml  (1ml) Ampoule or Pfs or vial</t>
  </si>
  <si>
    <t>Atropine sulphate 2mg/ml Injection vial or ampoule</t>
  </si>
  <si>
    <t>Macrogol 4000 (polyethlene glycol) 64g+Anhydrous sodium sulfate 5,700gm+sodium bicarbonate 1,680gm+sodium chloride 1,460gm+potassium chloride 0,750gm (powder for oral  solution in one sachet )</t>
  </si>
  <si>
    <t xml:space="preserve">Activated Charcoal  50g in suspension + sorbitol 96g -240ml </t>
  </si>
  <si>
    <t xml:space="preserve">Methylene blue 1% (10ml) Ampoule  slow I.V.                                    </t>
  </si>
  <si>
    <t>Deferiprone 500mg Tablet</t>
  </si>
  <si>
    <t>CONTRAST MEDIA</t>
  </si>
  <si>
    <t>Barium sulphate  Liquid with 100gm/100ml unit pack(150ml bottle) oral</t>
  </si>
  <si>
    <r>
      <rPr>
        <b val="1"/>
        <sz val="12"/>
        <color indexed="8"/>
        <rFont val="Arial"/>
      </rPr>
      <t xml:space="preserve">Gadodiamide  287mg  (0.5mmol)/ml (10ml ) Vial  I.V </t>
    </r>
    <r>
      <rPr>
        <b val="1"/>
        <sz val="12"/>
        <color indexed="13"/>
        <rFont val="Arial"/>
      </rPr>
      <t xml:space="preserve">
</t>
    </r>
    <r>
      <rPr>
        <b val="1"/>
        <sz val="12"/>
        <color indexed="13"/>
        <rFont val="Arial"/>
      </rPr>
      <t xml:space="preserve">قاعدة اقل الاسعار  
</t>
    </r>
    <r>
      <rPr>
        <b val="1"/>
        <sz val="12"/>
        <color indexed="13"/>
        <rFont val="Arial"/>
      </rPr>
      <t xml:space="preserve">18-000-008
</t>
    </r>
    <r>
      <rPr>
        <b val="1"/>
        <sz val="12"/>
        <color indexed="13"/>
        <rFont val="Arial"/>
      </rPr>
      <t>18-000-010</t>
    </r>
  </si>
  <si>
    <r>
      <rPr>
        <b val="1"/>
        <sz val="12"/>
        <color indexed="8"/>
        <rFont val="Arial"/>
      </rPr>
      <t xml:space="preserve">gadopentetic acid as dimeglumine salt( gadopentetate dimeglumin)  469mg/ml  (0.5 mmol/mL) 10ml Vial for injection
</t>
    </r>
    <r>
      <rPr>
        <b val="1"/>
        <sz val="12"/>
        <color indexed="13"/>
        <rFont val="Arial"/>
      </rPr>
      <t xml:space="preserve">قاعدة اقل الاسعار  
</t>
    </r>
    <r>
      <rPr>
        <b val="1"/>
        <sz val="12"/>
        <color indexed="13"/>
        <rFont val="Arial"/>
      </rPr>
      <t xml:space="preserve">18-000-008
</t>
    </r>
    <r>
      <rPr>
        <b val="1"/>
        <sz val="12"/>
        <color indexed="13"/>
        <rFont val="Arial"/>
      </rPr>
      <t>18-000-010</t>
    </r>
  </si>
  <si>
    <r>
      <rPr>
        <b val="1"/>
        <sz val="12"/>
        <color indexed="8"/>
        <rFont val="Arial"/>
      </rPr>
      <t xml:space="preserve">Gadodiamide  287mg  (0.5mmol)/ml (20ml )Vial  I.V 
</t>
    </r>
    <r>
      <rPr>
        <b val="1"/>
        <sz val="12"/>
        <color indexed="13"/>
        <rFont val="Arial"/>
      </rPr>
      <t xml:space="preserve">قاعدة اقل الاسعار  
</t>
    </r>
    <r>
      <rPr>
        <b val="1"/>
        <sz val="12"/>
        <color indexed="13"/>
        <rFont val="Arial"/>
      </rPr>
      <t xml:space="preserve">18-000-059
</t>
    </r>
    <r>
      <rPr>
        <b val="1"/>
        <sz val="12"/>
        <color indexed="13"/>
        <rFont val="Arial"/>
      </rPr>
      <t>18-000-007</t>
    </r>
  </si>
  <si>
    <r>
      <rPr>
        <b val="1"/>
        <sz val="12"/>
        <color indexed="8"/>
        <rFont val="Arial"/>
      </rPr>
      <t>gadopentetic acid as dimeglumine salt( gadopentetate dimeglumin)  469mg/ml  (0.5 mmol/mL) 20ml Vial for  injection</t>
    </r>
    <r>
      <rPr>
        <b val="1"/>
        <sz val="12"/>
        <color indexed="13"/>
        <rFont val="Arial"/>
      </rPr>
      <t xml:space="preserve">
</t>
    </r>
    <r>
      <rPr>
        <b val="1"/>
        <sz val="12"/>
        <color indexed="13"/>
        <rFont val="Arial"/>
      </rPr>
      <t xml:space="preserve">قاعدة اقل الاسعار  
</t>
    </r>
    <r>
      <rPr>
        <b val="1"/>
        <sz val="12"/>
        <color indexed="13"/>
        <rFont val="Arial"/>
      </rPr>
      <t xml:space="preserve">18-000-059
</t>
    </r>
    <r>
      <rPr>
        <b val="1"/>
        <sz val="12"/>
        <color indexed="13"/>
        <rFont val="Arial"/>
      </rPr>
      <t>18-000-007</t>
    </r>
  </si>
  <si>
    <r>
      <rPr>
        <b val="1"/>
        <sz val="12"/>
        <color indexed="8"/>
        <rFont val="Arial"/>
      </rPr>
      <t xml:space="preserve">Iohexol equivalent to 350 mg of organic iodine/ mL
</t>
    </r>
    <r>
      <rPr>
        <b val="1"/>
        <sz val="12"/>
        <color indexed="8"/>
        <rFont val="Arial"/>
      </rPr>
      <t xml:space="preserve">100 ml  vial for IV , intra arterially , intrathecally , orally , rectally or by instillation into body cavities 
</t>
    </r>
    <r>
      <rPr>
        <b val="1"/>
        <sz val="12"/>
        <color indexed="13"/>
        <rFont val="Arial"/>
      </rPr>
      <t xml:space="preserve"> </t>
    </r>
  </si>
  <si>
    <t>hemo and peritonialdiaylsis</t>
  </si>
  <si>
    <t xml:space="preserve">each 1 L contain : sodium chloride 214.8g + potassium chloride 5.224g calcium chloride (6H2O) 7.72g + magnesium chloride (6H2O) 3.558g + acetic acid 6.305g   
Na 105 mmol/L + K 2mmol/L + Ca  1.5mmol/L + Mg 0.5mmol/L + Cl  111mmol/L + acetate 3mmol/L  
</t>
  </si>
  <si>
    <t xml:space="preserve">each 1 L contain : Dextrose 35g + sodium chloride 214.8g + potassium chloride 5.224g calcium chloride (6H2O) 7.72g + magnesium chloride (6H2O) 3.558g + acetic acid 6.305g + Na 105 mmol/L + K 2mmol/L + Ca 1.5mmol/L + Mg 0.5mmol/L + Cl 111mmol/L + acetate 3mmol/L + dextrose 1gm/L </t>
  </si>
  <si>
    <t xml:space="preserve">each 1liter contain : sodium bicarbonate 84g   </t>
  </si>
  <si>
    <t>احتياج عام 2026</t>
  </si>
  <si>
    <t>الاستطباب</t>
  </si>
  <si>
    <t xml:space="preserve">احتياج2026      </t>
  </si>
  <si>
    <t>مصروف 2023</t>
  </si>
  <si>
    <t>م.الهلال</t>
  </si>
  <si>
    <t>م.الحسين</t>
  </si>
  <si>
    <t>م.النسائية</t>
  </si>
  <si>
    <t>م.الرميثة</t>
  </si>
  <si>
    <t>م.الخضر</t>
  </si>
  <si>
    <t>م.الوركاء</t>
  </si>
  <si>
    <t>ق س1</t>
  </si>
  <si>
    <t>ق س 2</t>
  </si>
  <si>
    <t>ق رميثة</t>
  </si>
  <si>
    <t>ق خضر</t>
  </si>
  <si>
    <t>ق وركاء</t>
  </si>
  <si>
    <t>م السكري</t>
  </si>
  <si>
    <t>م تاهيل المعوقين</t>
  </si>
  <si>
    <t>م الحساسية</t>
  </si>
  <si>
    <t>م الصدرية</t>
  </si>
  <si>
    <t>م الاسنان</t>
  </si>
  <si>
    <t>NATIONAL CODE</t>
  </si>
  <si>
    <t>ITEMS</t>
  </si>
  <si>
    <t>UNIT
DOSE</t>
  </si>
  <si>
    <t>المخزن</t>
  </si>
  <si>
    <t>NOTE</t>
  </si>
  <si>
    <t xml:space="preserve"> A1+A2</t>
  </si>
  <si>
    <t>احتياج</t>
  </si>
  <si>
    <t>مصروف</t>
  </si>
  <si>
    <t xml:space="preserve"> </t>
  </si>
  <si>
    <t>1A</t>
  </si>
  <si>
    <t>1AA</t>
  </si>
  <si>
    <t>01-AA0-004</t>
  </si>
  <si>
    <t>Tablet</t>
  </si>
  <si>
    <t>اقراص</t>
  </si>
  <si>
    <t>A1</t>
  </si>
  <si>
    <t>01-AA0-006</t>
  </si>
  <si>
    <t>Ampoule</t>
  </si>
  <si>
    <t>امبولات</t>
  </si>
  <si>
    <t>1B</t>
  </si>
  <si>
    <t>01-B00-007</t>
  </si>
  <si>
    <t>A2</t>
  </si>
  <si>
    <t>01-B00-013</t>
  </si>
  <si>
    <t>01-B00-016</t>
  </si>
  <si>
    <t>1C</t>
  </si>
  <si>
    <t>01-C00-008</t>
  </si>
  <si>
    <t>01-C00-023</t>
  </si>
  <si>
    <t>ويؤخذ بنظر الاعتبار استخدامه في التخدير ( 976)</t>
  </si>
  <si>
    <t>01-C00-025</t>
  </si>
  <si>
    <t>ج\1070(حذفت من قائمة الادوية المزمنة)</t>
  </si>
  <si>
    <t>01-C00-012</t>
  </si>
  <si>
    <t>vial or Ampoule</t>
  </si>
  <si>
    <t xml:space="preserve">ج/1157 تعديل صيغة  وتستخدم ايضا" للتخدير من قبل وحدات التخدير مع امكانية استخدامها على الشكل التالي لعلاج حالات ارتفاع ضغط الدم الحملي pregnancy intiated hypertention  1-الحقن الوريدي IV (50) ملغم خلال دقيقة ويعاد بعد خمسة دقائق وكحد اعلى 200ملغم 2-عن طريق( IV infusion ) 20ملغم /ساعة وتضاعف الجرعة بعد نصف ساعة وكحد اعلى 160ملغم/ساعة وتعتبر من ادوية الخط الاول لعلاج حالات ارتفاع ضغط الدم الحملي وقد اقر البروتوكول العلاجي من قبل اللجنة الاستشارية للنسائية والتوليد Pregnancy associated hypetension   يستخدم ايضا للتخدير من قبل وحدات التخدير ويستخدم لعلاجات  حالات ارتفاع ضغط الدم الحملي      </t>
  </si>
  <si>
    <t>01-C00-017</t>
  </si>
  <si>
    <t>وتستخدم ايضا" للتخدير من قبل وحدات التخدير</t>
  </si>
  <si>
    <t>01-C00-015</t>
  </si>
  <si>
    <t>ج 986
1070تم اضافتها الى قائمة ادوية الامراض  المزمنة</t>
  </si>
  <si>
    <t>01-C00-010</t>
  </si>
  <si>
    <t>ج\1070
ان يتم تثبيت احتياجها من قبل دائرة العيادات الطبية الشعبية ضمن قائمة الادوية المزمنة فقط</t>
  </si>
  <si>
    <t>01-C00-043</t>
  </si>
  <si>
    <t>ويكون استخدامه على الشكل التالي لعلاج حالات ارتفاع ضغط الدم الحملي pregnancy intiated hypertension 1-العلاج الفموي 100ملغم مرتين يوميا وتزاد الى 200 ملغم مرتين وكحد اعلى 80 ملغم /اليوم ويفضل عدم استعماله في الاشهر الاولى من الحمل (first trimenster of pregnancy)</t>
  </si>
  <si>
    <t>1D</t>
  </si>
  <si>
    <t>01-D00-027</t>
  </si>
  <si>
    <t>01-D00-001</t>
  </si>
  <si>
    <t xml:space="preserve"> يؤخذ بنظر الاعتبار ضمن قائمة التخدير ( 976)</t>
  </si>
  <si>
    <t>01-D00-002</t>
  </si>
  <si>
    <t>01-D00-022</t>
  </si>
  <si>
    <t>01-D00-034</t>
  </si>
  <si>
    <t xml:space="preserve"> ج/1147 تعديل صيغة يدرج ضمن قوائم التخدير    يستخدم في وحدة العناية المركزة </t>
  </si>
  <si>
    <t>1E</t>
  </si>
  <si>
    <t>01-E00-003</t>
  </si>
  <si>
    <t>ج\1070حذفت من قائمة الادوية المزمنة</t>
  </si>
  <si>
    <t>01-E00-014</t>
  </si>
  <si>
    <t>01-E00-024</t>
  </si>
  <si>
    <t>01-E00-020</t>
  </si>
  <si>
    <t>01-E00-088</t>
  </si>
  <si>
    <t>الجلسة 981 أ-    Pulmonary arterial  hypertension.
  ب- Systemic sclerosis with ongoing digital ulcer disease 
يحصر استخدامه في مراكز امراض القلب في العراق 
ج/989 الغاء النسب</t>
  </si>
  <si>
    <t>01-E00-018</t>
  </si>
  <si>
    <t>ج/1198 يضاف الى قوائم الرعاية الصحية الاولية</t>
  </si>
  <si>
    <t>01-E00-060</t>
  </si>
  <si>
    <t>1F</t>
  </si>
  <si>
    <t>01-F00-002</t>
  </si>
  <si>
    <t>tablet or capsule</t>
  </si>
  <si>
    <t xml:space="preserve">                   ( دمج اشكال)ج(1019) </t>
  </si>
  <si>
    <t>01-F00-007</t>
  </si>
  <si>
    <t>01-F00-024</t>
  </si>
  <si>
    <t>tablet</t>
  </si>
  <si>
    <t>01-F00-038</t>
  </si>
  <si>
    <t>01-F00-060</t>
  </si>
  <si>
    <t xml:space="preserve">                           مراكز الجملة العصبية وردهات الامراض العصبية  ( 976)</t>
  </si>
  <si>
    <t>01-F00-073</t>
  </si>
  <si>
    <t>vial OR Ampoule</t>
  </si>
  <si>
    <t xml:space="preserve">ج/1178(  احتياج واحد - ويؤخذ بنظر الاعتبار استخدامه ضمن قوائم التخدير                   - في حالة عدم توفر أو تسجيل المادة بالتركيز 1mg/ 1ml يتم تجهيز المادة بالتركيز القديم 5mg/ 10ml – Amp وتعتبر غير ملغية لحين توفر التركيز الجديد 1mg/ 1ml. (654)((733
-يمكن اعتماد احتياج التركيز
( 1mg/1ml (10 ml ampبنفس احتياج التركيز 
5mg/ml (5ml amp)
</t>
  </si>
  <si>
    <t>01-F00-069</t>
  </si>
  <si>
    <t xml:space="preserve">1178
(  احتياج واحد - ويؤخذ بنظر الاعتبار استخدامه ضمن قوائم التخدير                   - في حالة عدم توفر أو تسجيل المادة بالتركيز 1mg/ 1ml يتم تجهيز المادة بالتركيز القديم 5mg/ 10ml – Amp وتعتبر غير ملغية لحين توفر التركيز الجديد 1mg/ 1ml. (654)((733
-يمكن اعتماد احتياج التركيز
( 1mg/1ml (10 ml ampبنفس احتياج التركيز 
5mg/ml (5ml amp)
</t>
  </si>
  <si>
    <t>01-F00-034</t>
  </si>
  <si>
    <t xml:space="preserve">1012 1184ج/1158 ترفع المادة الى المستوى الاول   ج/1184 تحذف المادة من قائمة الادوية المزمنة </t>
  </si>
  <si>
    <t>1G</t>
  </si>
  <si>
    <t>01-G00-001</t>
  </si>
  <si>
    <t xml:space="preserve">يتم الاخذ بنظر الاعتباراستخدامه في قوائم التخدير  </t>
  </si>
  <si>
    <t>01-G00-002</t>
  </si>
  <si>
    <t xml:space="preserve">يتم الاخذ بنظر الاعتباراستخدامه في حالات( التخدير والقلبية والسموم)   </t>
  </si>
  <si>
    <t>01-G00-009</t>
  </si>
  <si>
    <t>ampoule</t>
  </si>
  <si>
    <t xml:space="preserve">  وتستخدم في القلبية ايضا"   تستخدم ضمن مجموعة التخدير بعد التخفيف ( hypotension prevention in epidural/spinal anaesthesia)  لا يستعمل الا بعد التخفيف</t>
  </si>
  <si>
    <t>01-G00-014</t>
  </si>
  <si>
    <t xml:space="preserve">   ج/1157 تعديل صيغة                ج/ 1030يستعمل في مراكز العناية المركزة والتخدير  في المستشفيات الرئيسية في بغداد و المحافظات و بكميات محدودة.  - تستعمل  في حالات هبوط ضغط الدم الحاد (acute hypotensin) بواسطة الارواء الوريدي I.V. infusion وكذلك  لمعالجة حالات  توقف القلب بواسطة الزرق الوريدي او الزرق المباشر داخل القلب  rapid intravennous or intracardiac inj ) . - تستعمل المادة في حقل ادوية السموم .-  تخفف المادة قبل الاستعمال و تتبع التعليمات في النشرة المرفقة مع الدواء.   يؤخذ بنظر الاعتبار استخدامه ضمن قوائم التخدير</t>
  </si>
  <si>
    <t>01-G00-008</t>
  </si>
  <si>
    <t>ج/1184 تعديل إقرار المادةج/1157 مضاف حديثاً</t>
  </si>
  <si>
    <t>2A</t>
  </si>
  <si>
    <t>02-A00-003</t>
  </si>
  <si>
    <t>bottle</t>
  </si>
  <si>
    <t>مساحيق</t>
  </si>
  <si>
    <t>2B</t>
  </si>
  <si>
    <t>02-B00-008</t>
  </si>
  <si>
    <t>02-B00-009</t>
  </si>
  <si>
    <t xml:space="preserve"> اضافة طريقة الزرق بالجلسة 867 الواردة في 18\12\2013
ج/1026 1083</t>
  </si>
  <si>
    <t>02-B00-007</t>
  </si>
  <si>
    <t>ج/ 1119 ترفع المادة الى المستوى الاول وتضاف الى قوائم الرعاية الصحية الاولية</t>
  </si>
  <si>
    <t>2C</t>
  </si>
  <si>
    <t>02-C00-035</t>
  </si>
  <si>
    <t>vial</t>
  </si>
  <si>
    <t>حياتية</t>
  </si>
  <si>
    <t xml:space="preserve">ج/1147 تعديل صيغة حسب قاعدة اقل الاسعار ج 972           قاعدة اقل الاسعار * من المادة (2C38)  (استعمال  PPIS  مع كل من (Tacrolimus, Clopidogril , Warfarin  ) يجب ان يكون بحذر) خلال 5 دقائق أو 40mg infusion خلال 20–30 دقيقة               </t>
  </si>
  <si>
    <t>02-C00-038</t>
  </si>
  <si>
    <t xml:space="preserve"> ج/1147 تعديل صيغة  قاعدة اقل الاسعار * من المادة (2C35)  (استعمال  PPIS  مع كل من (Tacrolimus, Clopidogril , Warfarin  ) يجب ان يكون بحذر) خلال 5 دقائق أو 40mg infusion خلال 20–30 دقيقة               </t>
  </si>
  <si>
    <t>02-C00-015</t>
  </si>
  <si>
    <t xml:space="preserve"> ج/ 1119  ترفع المادة الى المستوى الاول وتضاف الى قوائم الرعاية الصحية الاولية      (استعمال  PPISمع كل من (Tacrolimus, Clopidogril , Warfarin  ) يجب ان يكون بحذر) ج/1012</t>
  </si>
  <si>
    <t>2D</t>
  </si>
  <si>
    <t>02-D00-002</t>
  </si>
  <si>
    <t>simple diarrhea</t>
  </si>
  <si>
    <t>02-D00-008</t>
  </si>
  <si>
    <t>sachet</t>
  </si>
  <si>
    <t>2E</t>
  </si>
  <si>
    <t>02-E00-011</t>
  </si>
  <si>
    <t>suspension or foam enema</t>
  </si>
  <si>
    <t>ج/ 1129 توضيح المقر             ج 987(المستوى الاول)</t>
  </si>
  <si>
    <t>02-E00-006</t>
  </si>
  <si>
    <t xml:space="preserve">ج/1113 اضافة شكل صيدلاني </t>
  </si>
  <si>
    <t>2F</t>
  </si>
  <si>
    <t>02-F00-002</t>
  </si>
  <si>
    <t>piece</t>
  </si>
  <si>
    <t>02-F00-003</t>
  </si>
  <si>
    <t>02-F00-014</t>
  </si>
  <si>
    <t>2H</t>
  </si>
  <si>
    <t>02-H00-016</t>
  </si>
  <si>
    <t>يحدد صرفه في مراكز الكبد التخصصية في المستشفيات التعليمية في(دائرة مدينة الطب , البصرة, بابل,النجف,كركوك, الديوانية, الكرخ, ذي قار, كربلاء, المثنى, الرصافة, ديالى,واسط, الانبار, نينوى, أربيل, السليمانية, دهوك)</t>
  </si>
  <si>
    <t>2K</t>
  </si>
  <si>
    <t>02-K00-002</t>
  </si>
  <si>
    <t>2L</t>
  </si>
  <si>
    <t>02-L00-008</t>
  </si>
  <si>
    <t>ampoule or vial</t>
  </si>
  <si>
    <r>
      <rPr>
        <sz val="12"/>
        <color indexed="13"/>
        <rFont val="Helvetica"/>
      </rPr>
      <t>ج/ 1201 تعديل الاقرار</t>
    </r>
    <r>
      <rPr>
        <sz val="12"/>
        <color indexed="8"/>
        <rFont val="Helvetica"/>
      </rPr>
      <t xml:space="preserve">  ج/1178 بعدالعمليةpostoperative  للاطفال فوق السنة من العمر      
</t>
    </r>
    <r>
      <rPr>
        <sz val="12"/>
        <color indexed="8"/>
        <rFont val="Helvetica"/>
      </rPr>
      <t xml:space="preserve">د-تستخدم المادة اعلاه للفئة العمرية تحت 20سنة في حالات التقيئ المصاحبة للعلاج الشعاعي والعلاج الكيمياوي  والتنبيب المعدي المعوي gastro intestinal intubation  وتحسب الجرع للمرضى في هذة الحالات  على اساس الوزن.
</t>
    </r>
    <r>
      <rPr>
        <sz val="12"/>
        <color indexed="8"/>
        <rFont val="Helvetica"/>
      </rPr>
      <t xml:space="preserve"> ج/ 1050
</t>
    </r>
    <r>
      <rPr>
        <sz val="12"/>
        <color indexed="8"/>
        <rFont val="Helvetica"/>
      </rPr>
      <t xml:space="preserve">يكون التركيز مكافئ الى ( Metoclopramide 5 mg / ml ( asbase )
</t>
    </r>
    <r>
      <rPr>
        <sz val="12"/>
        <color indexed="8"/>
        <rFont val="Helvetica"/>
      </rPr>
      <t xml:space="preserve">
</t>
    </r>
  </si>
  <si>
    <t>02-L00-005</t>
  </si>
  <si>
    <t xml:space="preserve">tablet </t>
  </si>
  <si>
    <t xml:space="preserve">ا_منع استخدام مادة metoclopramide    للاطفال اقل من سنة واحدة وذلك لزيادة خطر حدوث الاثار الجانبية  (extrapyramidal side effect)                                                                     ب-لاينصح باستخدام مستحضرات هذه المادة التي تؤخذ عن طريق الفم للاطفال والمراهقين.                  ج-تستخدم المادة اعلاه عن طريق الزرق في حالات التقئ بعدالعمليةpostoperative  للاطفال فوق السنة من العمر                                                                                                                   د-تستخدم المادة اعلاه للفئة العمرية تحت 20سنة في حالات التقيئ المصاحبة للعلاج الشعاعي والعلاج الكيمياوي  والتقبيب المعدي المعوي gastro intestinal intubation  وتحسب الجرع للمرضى في هذة الحالات  على اساس الوزن.                                                                                                        </t>
  </si>
  <si>
    <t>3A</t>
  </si>
  <si>
    <t xml:space="preserve"> لامانع من اعتماد المادة الفعالة بشكل sulphate or base لمستحضرات Salbutamol وبأشكالها الصيدلانية وحسب المقر  دستورياً </t>
  </si>
  <si>
    <t>03-A00-001</t>
  </si>
  <si>
    <t>مطالبة الشركة المنتجة بتقديم ما يثبت عدم تفاعل المادة (Aminophyllin) مع العبوة المصنوعة من البلاستك
1030</t>
  </si>
  <si>
    <t>03-A00-024</t>
  </si>
  <si>
    <t>ج/1104 اضافة حجم             لامانع من اعتماد المادة الفعالة بشكل sulphate or base لمستحضرات Salbutamol وبأشكالها الصيدلانية وحسب المقر  دستورياً -أن يكون(as sulphate or as base) بما يعادل 100mcg</t>
  </si>
  <si>
    <t>03-A00-025</t>
  </si>
  <si>
    <t>لامانع من اعتماد المادة الفعالة بشكل sulphate or base لمستحضرات Salbutamol وبأشكالها الصيدلانية وحسب المقر  دستورياً -أن يكون(as sulphate or as base) بما يعادل 100mcg</t>
  </si>
  <si>
    <t>03-A00-044</t>
  </si>
  <si>
    <t>aerosol</t>
  </si>
  <si>
    <t xml:space="preserve">     _  لامانع من اعتماد المادة الفعالة بشكل sulphate or base لمستحضرات Salbutamol وبأشكالها الصيدلانية وحسب المقر  دستورياً -أن يكون(as sulphate or as base) بما يعادل 100mcg    _ يفصل ال SPACER عن NEBULIZER ويكون SPACER ضمن المستلزمات ويكون استيراد ال  SPACER(بنسبه 20/1) من كمية الاحتياج الكلي للبخاخات  Aerosol                                                                                                    ج /505   Using of propellant 134a  CFC -free is approved in these preparations
- Salbutamol aerosol
- Beclomethasone aerosol</t>
  </si>
  <si>
    <t>3B</t>
  </si>
  <si>
    <t>03-B00-015</t>
  </si>
  <si>
    <t xml:space="preserve"> aerosol</t>
  </si>
  <si>
    <t xml:space="preserve">يستخدم للكبار </t>
  </si>
  <si>
    <t>03-B00-020</t>
  </si>
  <si>
    <t xml:space="preserve">(2ml) unit dose </t>
  </si>
  <si>
    <t xml:space="preserve"> ج/1196 مضاف حديثا
ويحصر صرفها في ردهات الطوارئ للاطفال المشخصين بمرض الربو</t>
  </si>
  <si>
    <t>A</t>
  </si>
  <si>
    <t>3D</t>
  </si>
  <si>
    <t>03-D00-003</t>
  </si>
  <si>
    <t>03-D00-004</t>
  </si>
  <si>
    <t>03-D00-015</t>
  </si>
  <si>
    <t>3E</t>
  </si>
  <si>
    <t>03-E00-004</t>
  </si>
  <si>
    <t>ج/ 1199 مضاف حديثاً
1161
ج 986</t>
  </si>
  <si>
    <t>03-E00-001</t>
  </si>
  <si>
    <t xml:space="preserve">يؤخذ بنظر الاعتبار ضمن قائمة التخدير </t>
  </si>
  <si>
    <t>3F</t>
  </si>
  <si>
    <t>03-F00-002</t>
  </si>
  <si>
    <t>ج/1191 تضاف المادةالى قوائم الرعاية الصحية الاولية</t>
  </si>
  <si>
    <t>3G</t>
  </si>
  <si>
    <t>03-G00-016</t>
  </si>
  <si>
    <t>ج/ 1119  ترفع المادة الى المستوى الاول وتضاف الى قوائم الرعاية الصحية الاولية      يخصص لمراكز الرعاية الصحية الاولية ولا تخصص لاستخدام في المستشفيات</t>
  </si>
  <si>
    <t>3I</t>
  </si>
  <si>
    <t>03-I00-006</t>
  </si>
  <si>
    <t xml:space="preserve">حسب قاعدة اقل الاسعار ج 972            تطلب شهادات خلو المادة من TSE (جنون البقر) . *
 تستعمل المادة في ردهات حديثي الولادة والخدج في المستشفيات التعليمية التي تتوفر فيها الآتي:-
 * أنابيب القصبات في مختلف الحجوم (3/2,5/2)  *جهاز ناظور الحنجرة بمختلف القياسات (صفر،1) . * جهاز قياس غازات الدم. 
 *أكسجين.* جهاز التنفس الصناعي للخدج و Ambu bag للخدج
code 03-I00-007 تخضع  لقاعدة اقل الاسعار مع </t>
  </si>
  <si>
    <t>03-I00-007</t>
  </si>
  <si>
    <t xml:space="preserve">code 03-I00-006 تخضع  لقاعدة اقل الاسعار مع *                                                         بحجم 3 مل فقط </t>
  </si>
  <si>
    <t>3J</t>
  </si>
  <si>
    <t>03-J00-002</t>
  </si>
  <si>
    <t xml:space="preserve"> للاعمار من 2 سنة  الى5 سنوات </t>
  </si>
  <si>
    <t>03-J00-003</t>
  </si>
  <si>
    <t xml:space="preserve"> For 15 year and over   </t>
  </si>
  <si>
    <t>4A</t>
  </si>
  <si>
    <t>04-A00-007</t>
  </si>
  <si>
    <t>04-A00-013</t>
  </si>
  <si>
    <t>تستخدم  في صالات الولادة وردهة الطوارئ</t>
  </si>
  <si>
    <t>طوارىء</t>
  </si>
  <si>
    <t>04-A00-021</t>
  </si>
  <si>
    <t>04-A00-025</t>
  </si>
  <si>
    <t>04-A00-041</t>
  </si>
  <si>
    <t>ج/1100 تحول من المستوى الاول الى المستوى الثاني</t>
  </si>
  <si>
    <t>4B</t>
  </si>
  <si>
    <t>04-B00-004</t>
  </si>
  <si>
    <t>04-B00-008</t>
  </si>
  <si>
    <t>_    يستعمل للزرق العضلي IM العميق بمعدل 25-50 ملغم /كل 6-8 ساعات.    _ يستعمل للزرق الوريدي IV بصورة مخففة وبطيئة للحالات المعندّه من    Vomitting,Tetanus,Hiccups,Nausea   والمصاحبة للجراحة.</t>
  </si>
  <si>
    <t>04-B00-018</t>
  </si>
  <si>
    <t>04-B00-023</t>
  </si>
  <si>
    <t>04-B00-025</t>
  </si>
  <si>
    <t xml:space="preserve">     ج 1010</t>
  </si>
  <si>
    <t>04-B00-034</t>
  </si>
  <si>
    <t>04-B00-050</t>
  </si>
  <si>
    <t>04-B00-082</t>
  </si>
  <si>
    <t>04-B00-033</t>
  </si>
  <si>
    <t>التأكيد على ضرورة توفير الاجهزة المختبرية لفحص نسبة الليثيوم في الدم</t>
  </si>
  <si>
    <t>04-B00-032</t>
  </si>
  <si>
    <t>ج/ 1119 ترفع المادة الى المستوى الاول</t>
  </si>
  <si>
    <t>4C</t>
  </si>
  <si>
    <t>4CA</t>
  </si>
  <si>
    <t>04-CA0-002</t>
  </si>
  <si>
    <t>لمرضى الشلل والمعاقين</t>
  </si>
  <si>
    <t>04-CA0-007</t>
  </si>
  <si>
    <t>4CC</t>
  </si>
  <si>
    <t>04-CC0-002</t>
  </si>
  <si>
    <t>capsule or  Tablet</t>
  </si>
  <si>
    <t>04-CC0-016</t>
  </si>
  <si>
    <t>بدلا من  citalopram</t>
  </si>
  <si>
    <t>4CD</t>
  </si>
  <si>
    <t>+</t>
  </si>
  <si>
    <t>04-CD0-001</t>
  </si>
  <si>
    <t xml:space="preserve">   للمستشفيات التخصصية في الطب النفسي فقط</t>
  </si>
  <si>
    <t>4F</t>
  </si>
  <si>
    <t>04-F00-004</t>
  </si>
  <si>
    <t>04-F00-023</t>
  </si>
  <si>
    <t>04-F00-019</t>
  </si>
  <si>
    <t>Ampoule  or vial</t>
  </si>
  <si>
    <t>مراكز سرطانيه يؤخذ بنظر الاعتبار قائمة ادويةالتخدير واستخدام المادة لعلاج ومنع التقيئ والغثيان بعد العملية 
ج/1070</t>
  </si>
  <si>
    <t>هضمي</t>
  </si>
  <si>
    <t>04-F00-016</t>
  </si>
  <si>
    <t xml:space="preserve">ج/ 1192 تعديل المادة              ج/ 1149 تعديل المادة               مراكز سرطانيه يؤخذ بنظر الاعتبار قائمة ادوية التخدير واستخدام المادة لعلاج ومنع التقيئ والغثيان بعد العملية </t>
  </si>
  <si>
    <t>4G</t>
  </si>
  <si>
    <t>04-G00-020</t>
  </si>
  <si>
    <t>(infant)</t>
  </si>
  <si>
    <t>04-G00-036</t>
  </si>
  <si>
    <t>100 ml container</t>
  </si>
  <si>
    <t>وتعطى للكبار بالاسترواء الوریدي و للصغار حسب وزن الطفل</t>
  </si>
  <si>
    <t>04-G00-037</t>
  </si>
  <si>
    <t xml:space="preserve">يستعمل لحديثي الولادة والرضع والاطفال الذي تكون اوزانهم اقل من 23 كغم </t>
  </si>
  <si>
    <t>04-G00-038</t>
  </si>
  <si>
    <t xml:space="preserve">   الجلسة 975</t>
  </si>
  <si>
    <t>04-G00-002</t>
  </si>
  <si>
    <t>ج/ 1092 يتم صرف المادة في جميع المؤسسات الصحية                           ج\1070
ان يتم تثبيت احتياجها من قبل دائرة العيادات الطبية الشعبية ضمن قائمة الادوية المزمنة فقط</t>
  </si>
  <si>
    <t>04-G00-021</t>
  </si>
  <si>
    <t>يرفع الى المستوى الاول ج1082</t>
  </si>
  <si>
    <t>04-G00-027</t>
  </si>
  <si>
    <t>04-G00-041</t>
  </si>
  <si>
    <t>ج/1155 ترفع المادة من المستوى الثاني الى المستوى الاول 1042ج/1109 توضيح شكل المادة</t>
  </si>
  <si>
    <t>4H</t>
  </si>
  <si>
    <t>04-H00-007</t>
  </si>
  <si>
    <t xml:space="preserve">تدرج ضمن قائمة التخدير   </t>
  </si>
  <si>
    <t>04-H00-010</t>
  </si>
  <si>
    <t>تدرج ضمن قائمة التخدير</t>
  </si>
  <si>
    <t>04-H00-012</t>
  </si>
  <si>
    <t>Ampoule or vial</t>
  </si>
  <si>
    <t>بالامكان ان تكون جميع الطرق مذكوره على المستحضر او بشكل منفصل (جزء منها) وتستخدم حسب ما مثبت في النشره الداخليه للمستحضر
ج/1070</t>
  </si>
  <si>
    <t>04-H00-035</t>
  </si>
  <si>
    <t>4J</t>
  </si>
  <si>
    <t>04-J00-002</t>
  </si>
  <si>
    <t xml:space="preserve">Tablet </t>
  </si>
  <si>
    <t>04-J00-047</t>
  </si>
  <si>
    <t xml:space="preserve">ج/1200
 مضاف حديثا تضاف المادة الى قائمة العيادات الطبيه الشعبية
يكون احتياج المستشفيات ذات العلاقة لمدة 10 ايام للمريض ثم يحال الى العيادات الشعبية لاستلام العلاج
1195
ويحصر استخدامها للاستطبابات الاتية:
1- الصرع الكامل من نوع ( myoclonic ) ويحصر للاناث فقط
2- الصرع الجزئي الثانوي  مع الجلطات الدماغية وكبار السن
3- في حالات خاصة (اعتلال الكبد) ولايمكن استحمال بقية مضادات الصرع
</t>
  </si>
  <si>
    <t>04-J00-048</t>
  </si>
  <si>
    <t xml:space="preserve">ج/1200 مضاف حديثا
تضاف المادة الى قائمة العيادات الطبيه الشعبية
يكون احتياج المستشفيات ذات العلاقة لمدة 10 ايام للمريض ثم يحال الى العيادات الشعبية لاستلام العلاج
1195
ويحصر استخدامها للاستطبابات الاتية:
1- الصرع الكامل من نوع ( myoclonic ) ويحصر للاناث فقط
2- الصرع الجزئي الثانوي  مع الجلطات الدماغية وكبار السن
3- في حالات خاصة (اعتلال الكبد) ولايمكن استحمال بقية مضادات الصرع
</t>
  </si>
  <si>
    <t>04-J00-010</t>
  </si>
  <si>
    <t>04-J00-053</t>
  </si>
  <si>
    <t>Tablet or capsule</t>
  </si>
  <si>
    <t>04-J00-017</t>
  </si>
  <si>
    <t>ج/ 1128 تعديل طريقة الاعطاء   المادة دواء طواريء ولا يعطى (الا بالوريد بعد التخفيف بنسبة واحد في عشرة (مل واحد يخلط مع 10 مل ماء للزرق)</t>
  </si>
  <si>
    <t>04-J00-018</t>
  </si>
  <si>
    <t>01-D00-014</t>
  </si>
  <si>
    <t xml:space="preserve">Ampoule  </t>
  </si>
  <si>
    <t xml:space="preserve">ادوية الطوارى </t>
  </si>
  <si>
    <t>04-J00-034</t>
  </si>
  <si>
    <t>04-J00-061</t>
  </si>
  <si>
    <t>04-J00-031</t>
  </si>
  <si>
    <t>drop</t>
  </si>
  <si>
    <t>04-J00-005</t>
  </si>
  <si>
    <t>ج/ 1119 يتم رفع الملاحظة الخاصة بحصر الاستخدام          ج\1070
ان يتم تثبيت احتياجها من قبل دائرة العيادات الطبية الشعبية ضمن قائمة الادوية المزمنة فقط
-963</t>
  </si>
  <si>
    <t>04-J00-044</t>
  </si>
  <si>
    <t>ج/1158 ترفع المادة الى المستوى الاول</t>
  </si>
  <si>
    <t>04-J00-071</t>
  </si>
  <si>
    <t>ج/1200 مضاف حديثاً
على ان تدخل المادة ابتداء من احتياج سنة 2026</t>
  </si>
  <si>
    <t>4K</t>
  </si>
  <si>
    <t>04-K00-008</t>
  </si>
  <si>
    <t xml:space="preserve">04-K00-016  </t>
  </si>
  <si>
    <t xml:space="preserve">يختص بمرض الشلل الرعاشي(مرض باركسن) </t>
  </si>
  <si>
    <t>4M</t>
  </si>
  <si>
    <t>04-M00-001</t>
  </si>
  <si>
    <t>04-M00-004</t>
  </si>
  <si>
    <t xml:space="preserve"> ampoule</t>
  </si>
  <si>
    <t>ج/1190 مضاف حديثاً مع مراجعة احتياج الاجهزة بما يتناسب مع الحاجة الفعلية للمادة والاستطبابات من خلال لجنة مشتركة من اللجان الاستشارية لطب الاعصاب وجراحة الاعصاب والاطفال</t>
  </si>
  <si>
    <t>4N</t>
  </si>
  <si>
    <t>4 NA</t>
  </si>
  <si>
    <t>04-NA0-003</t>
  </si>
  <si>
    <t xml:space="preserve">1079 يحصر استخدامها في مراكز أو ردهات علاج الادمان في(الرصافة, مدينة الطب, البصرة , بابل, واسط, كركوك, كربلاء, النجف, ديالى,ذي قار, المثنى, نينوى, أربيل, السليمانية) </t>
  </si>
  <si>
    <t>4NC</t>
  </si>
  <si>
    <t>04-NC0-001</t>
  </si>
  <si>
    <t>يحصر استخدامها في مراكز أو ردهات علاج الادمان في(الرصافة, مدينة الطب, البصرة , بابل, واسط, كركوك, كربلاء, النجف, ديالى,ذي قار, المثنى, نينوى, أربيل, السليمانية)</t>
  </si>
  <si>
    <t>4P</t>
  </si>
  <si>
    <t>4Q</t>
  </si>
  <si>
    <t>04-Q00-001</t>
  </si>
  <si>
    <t>(for moderate &amp; sever dementia in ALZHEIMERS disease )</t>
  </si>
  <si>
    <t>4R</t>
  </si>
  <si>
    <t xml:space="preserve">04-R00-001 </t>
  </si>
  <si>
    <t>capsule</t>
  </si>
  <si>
    <t>(يحدد صرف المادة في مركز تصلب الاعصاب في دائرة مدينة الطب ومركز تصلب الاعصاب في اربيل ومركز تصلب الاعصاب في النجف الاشرف,نينوى, الرصافة, البصرة,بابل) يستخدم كعلاج ثانى في حاله فشل علاج الخط الاول وحسب الضوابط العالمية المعتمدة لتحديد الفشل (Rio C riteria (AAN &amp; EMA)
2- يستخدم كعلاج خط اول في الحالات الحصرية الاتية 
ا- رهاب الحقن الاكيد 
ب-بعض حالات التصلب العصبي الشديد جدا وحسب الضوابط العالمية المعتمدة لتحديد المرض الشديد Rio(AAN &amp; EMN) ريوكداينيريا</t>
  </si>
  <si>
    <t>اعتماد  اداة تصنيف المضادات الحيوية AWaRe = Access , Watch &amp; Reserve )) 1127</t>
  </si>
  <si>
    <t>5A</t>
  </si>
  <si>
    <t>5AA</t>
  </si>
  <si>
    <t>05-AA0-002</t>
  </si>
  <si>
    <t>Access ج/1178</t>
  </si>
  <si>
    <t>05-AA0-004</t>
  </si>
  <si>
    <t xml:space="preserve"> Access  الجلسة975  1186  
1077</t>
  </si>
  <si>
    <t>05-AA0-007</t>
  </si>
  <si>
    <t xml:space="preserve"> Access             ج/ 1175 تستخدم المادة بدلا من ampicilline vial في حالة     Empirical treatment early onset sepsis يحصر استخدام المادة للمرضى الراقدين فقط حسب كتاب قسم الصيدلة ذي العدد 213 في 18/1/2021</t>
  </si>
  <si>
    <t>05-AA0-029</t>
  </si>
  <si>
    <t xml:space="preserve"> Access </t>
  </si>
  <si>
    <t>05-AA0-031</t>
  </si>
  <si>
    <t>05-AA0-071</t>
  </si>
  <si>
    <t>Watch</t>
  </si>
  <si>
    <t>05-AA0-043</t>
  </si>
  <si>
    <t xml:space="preserve"> Access ج/1102 ترفع الى المستوى الثاني        870, 1036
</t>
  </si>
  <si>
    <t>5AB</t>
  </si>
  <si>
    <t>05-AB0-013</t>
  </si>
  <si>
    <t>05-AB0-015</t>
  </si>
  <si>
    <t>1077 Access 1186</t>
  </si>
  <si>
    <t>05-AB0-024</t>
  </si>
  <si>
    <t>Watch ج/1127 تعديل المادة</t>
  </si>
  <si>
    <t>05-AB0-031</t>
  </si>
  <si>
    <r>
      <rPr>
        <b val="1"/>
        <sz val="12"/>
        <color indexed="8"/>
        <rFont val="Arial"/>
      </rPr>
      <t xml:space="preserve">Ceftriaxone  (as Sodium)  or (as disodium salt ) or(Disodium sesquarterhydrate )  1g I.V. Injection +(10 ml )solvent water for injection  </t>
    </r>
    <r>
      <rPr>
        <b val="1"/>
        <sz val="12"/>
        <color indexed="13"/>
        <rFont val="Arial"/>
      </rPr>
      <t xml:space="preserve">                                                                                                               مفاتحة الشركات لدرجbox warning على الغلاف الخارجي(يجب عدم اعطاء السفترياكسون مع الادوية والمحاليل الحاوية على الكالسيوم) واضافة تحذيرات FDA الى النشرات الداخلية لجميع الشركات المسجلة في العراق وبخط غامق(Bold)
</t>
    </r>
    <r>
      <rPr>
        <b val="1"/>
        <sz val="12"/>
        <color indexed="13"/>
        <rFont val="Arial"/>
      </rPr>
      <t xml:space="preserve">-منع استخدام السفترياكسون والمنتجات المحتوية على الكالسيوم لحديثي الولادة(اقل من 28 يوما)عن طريق الوريد حيث يحدث هذا التداخل في الاطفال بعمر 28 يوما فما دون.
</t>
    </r>
    <r>
      <rPr>
        <b val="1"/>
        <sz val="12"/>
        <color indexed="13"/>
        <rFont val="Arial"/>
      </rPr>
      <t xml:space="preserve">-يجب استخدام السفترياكسون والمنتجات المحتوية على الكالسيوم بالتعاقب للرضع بعمر اكبر من 28 يوما مع ضرورة غسل اجهزة الاعطاء بين استخدام كل من المادتين بمحلول كلوريد الصوديوم 0.9%
</t>
    </r>
    <r>
      <rPr>
        <b val="1"/>
        <sz val="12"/>
        <color indexed="13"/>
        <rFont val="Arial"/>
      </rPr>
      <t xml:space="preserve">-عدم مزج السفترياكسون مع المحاليل المحتوية على الكالسيوم مثل الرنكر والهارتمان او اي سوائل وريدية اخرى تحتوي على الكالسيوم.
</t>
    </r>
    <r>
      <rPr>
        <b val="1"/>
        <sz val="12"/>
        <color indexed="13"/>
        <rFont val="Arial"/>
      </rPr>
      <t>ملاحظة :                                                                                                                                                                                                                1 - تعتمد الملاحظات المدرجة ادناه ل cefotaxime &amp; ceftriaxone وللتراكيز 2غم و 1غم و500ملغم ولطريقة الزرق I.V.                                                          2 - يثبت على الباكيت الخارجي والفيال (وباللون الاحمر)                                                                                                                                                       أ- للزرق الوريدي : يذاب في 10 مل ماء مقطر                                                                                                                                                                     ايضا   ب - في حال ان الشركة يكون منتجها بطريقة I.M.  اضافة الى I.V. تضاف هذه العبارة:                                                                                                      (للزرق العضلي :يذاب في 2 مل ماء مقطر لتركيز 500ملغم ,  3 مل ماء مقطر لتركيز 1غم , 5 مل ماء مقطر لتركيز 2 غم )                                                              ج - رج القنينة لحين الذوبان                                                                                                                                                                                         د - انظر النشرة المرفقة                                                                                                                                                                                 3 - تدون المعلومات الاتية في النشرة الداخلية   :                                                                                                                                                              - للزرق الوريدي : تكون مدة الزرق (3-5 دقائق)                                                                                                                                                            - في حال اعطائه عن طريق التسريب الوريدي I.V.  infusion او التسريب الوريدي البطئ slow I.V. infuion  يحل بمحلول N.S. او Glucose 5% حيث يحل التركيز اعلاه ب 50 - 100 مل وحسب تقدير الطبيب                                                                                                                                                        4 - يتم اعتماد الجدول المرفق مع الجلسة 857                                                                                                                                                                  5 - تكليف الصيدلي السريري بمتابعة الموضوع وتقديم الاستشارة الصيدلانية بهذا الخصوص</t>
    </r>
  </si>
  <si>
    <t xml:space="preserve">  Watchأ</t>
  </si>
  <si>
    <t>05-AB0-008</t>
  </si>
  <si>
    <t xml:space="preserve">injection IV&amp; IM  ج/1175 مضاف حديثاً ويحصر استخدامها في ردهات الخدج وللاستطبابات الاتية
Meningitis and late onset sepsis
                  </t>
  </si>
  <si>
    <t>5AC</t>
  </si>
  <si>
    <t>05-AC0-001</t>
  </si>
  <si>
    <t>vial or ampoule</t>
  </si>
  <si>
    <t xml:space="preserve">Accessج/1202 </t>
  </si>
  <si>
    <t>05-AC0-003</t>
  </si>
  <si>
    <t>Access</t>
  </si>
  <si>
    <t>05-AC0-005</t>
  </si>
  <si>
    <t>5AD</t>
  </si>
  <si>
    <t>05-AD0-001</t>
  </si>
  <si>
    <t xml:space="preserve"> Tablet or capsule</t>
  </si>
  <si>
    <t xml:space="preserve"> Access          ج(1001)</t>
  </si>
  <si>
    <t>05-AD0-008</t>
  </si>
  <si>
    <t xml:space="preserve"> vial</t>
  </si>
  <si>
    <t xml:space="preserve"> Reserveويستخدم حصرا" في  الحالات الناتجة عن الالتهابات البكتيرية المعندة  للمضادات الحيوية المتوفرةوفي الحالات الاتية :-
11- التهابات الجلد المعقدة  .
2- التهابات داخل البطن المعندة والمعقدة 
    وتشكل لجنة في كل مستشفى من الطبيب المعالج مع اطباء مختبر الــ ( Microbilogy ) وباشراف مدير المؤسسة  ( 985 )</t>
  </si>
  <si>
    <t>5AF</t>
  </si>
  <si>
    <t>05-AF0-001</t>
  </si>
  <si>
    <t>05-AF0-003</t>
  </si>
  <si>
    <t>5AG</t>
  </si>
  <si>
    <t xml:space="preserve">ملاحظة حول Vancomycin :- تبلغ المؤسسات الصحية بإمكانية أستعمال cap أو vial كـ susp من قبل شعب الصيدلة للمرضى الراقدين في  المستشفيات:- 500 ملغم لكل 6سم3 من الماء المقطر Distilled  water   </t>
  </si>
  <si>
    <t>05-AG0-005</t>
  </si>
  <si>
    <r>
      <rPr>
        <sz val="12"/>
        <color indexed="13"/>
        <rFont val="Helvetica"/>
      </rPr>
      <t xml:space="preserve">ج/ 1196
</t>
    </r>
    <r>
      <rPr>
        <sz val="12"/>
        <color indexed="13"/>
        <rFont val="Helvetica"/>
      </rPr>
      <t xml:space="preserve">تثبت هذه المحاذير على مجموعة
</t>
    </r>
    <r>
      <rPr>
        <sz val="12"/>
        <color indexed="13"/>
        <rFont val="Helvetica"/>
      </rPr>
      <t xml:space="preserve">  Fluoroquinolone inhaled and systemic
</t>
    </r>
    <r>
      <rPr>
        <sz val="12"/>
        <color indexed="13"/>
        <rFont val="Helvetica"/>
      </rPr>
      <t xml:space="preserve">-Patient who have previously had serious adverse reactions with a quinolone or fluoroquinolone antibiotics
</t>
    </r>
    <r>
      <rPr>
        <sz val="12"/>
        <color indexed="13"/>
        <rFont val="Helvetica"/>
      </rPr>
      <t xml:space="preserve">-Non-severe or self-limiting infections (such as pharyngitis , tonsillitis and acute bronchitis)
</t>
    </r>
    <r>
      <rPr>
        <sz val="12"/>
        <color indexed="13"/>
        <rFont val="Helvetica"/>
      </rPr>
      <t xml:space="preserve">-Mild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t>
    </r>
    <r>
      <rPr>
        <sz val="12"/>
        <color indexed="13"/>
        <rFont val="Helvetica"/>
      </rPr>
      <t xml:space="preserve">-Non-bacterial infections , eg non-bacterial chronic prostitis
</t>
    </r>
    <r>
      <rPr>
        <sz val="12"/>
        <color indexed="13"/>
        <rFont val="Helvetica"/>
      </rPr>
      <t>-Preventing travellers diarrhea or recurrent lower urinary tract infections</t>
    </r>
    <r>
      <rPr>
        <sz val="12"/>
        <color indexed="8"/>
        <rFont val="Helvetica"/>
      </rPr>
      <t xml:space="preserve">
</t>
    </r>
    <r>
      <rPr>
        <sz val="12"/>
        <color indexed="8"/>
        <rFont val="Helvetica"/>
      </rPr>
      <t>Watch</t>
    </r>
  </si>
  <si>
    <t>05-AG0-050</t>
  </si>
  <si>
    <t>1194
1197</t>
  </si>
  <si>
    <t>05-AG0-059</t>
  </si>
  <si>
    <t xml:space="preserve">Watch   ج 1179
وتعتمد التعليمات الصادرة من دائرة الامور الفنية </t>
  </si>
  <si>
    <t>05-AG0-015</t>
  </si>
  <si>
    <t xml:space="preserve"> ج 1179
وتعتمد التعليمات الصادرة من دائرة الامور الفنية Watch 1073
633,762
  والجهاز الهضمي والعناية ) </t>
  </si>
  <si>
    <t>05-AG0-049</t>
  </si>
  <si>
    <r>
      <rPr>
        <sz val="12"/>
        <color indexed="8"/>
        <rFont val="Helvetica"/>
      </rPr>
      <t xml:space="preserve">              Watch    </t>
    </r>
    <r>
      <rPr>
        <sz val="12"/>
        <color indexed="13"/>
        <rFont val="Helvetica"/>
      </rPr>
      <t>ج/1202</t>
    </r>
    <r>
      <rPr>
        <sz val="12"/>
        <color indexed="8"/>
        <rFont val="Helvetica"/>
      </rPr>
      <t xml:space="preserve">                                                                       تحذير صادر عن FDA  تضمن مادة Azithromycin  قد تسبب تغير طبيعي في نشاط القلب والذي يؤدي الى                (potentially fatal irregular heart)     والمرضى المصابين بالاعراض الواردة فيما ياتي اكثر عرضة للاصابة:
</t>
    </r>
    <r>
      <rPr>
        <sz val="12"/>
        <color indexed="8"/>
        <rFont val="Helvetica"/>
      </rPr>
      <t xml:space="preserve">- existing QT interval prolongation
</t>
    </r>
    <r>
      <rPr>
        <sz val="12"/>
        <color indexed="8"/>
        <rFont val="Helvetica"/>
      </rPr>
      <t xml:space="preserve">- low blood levels of potassium or magnesium
</t>
    </r>
    <r>
      <rPr>
        <sz val="12"/>
        <color indexed="8"/>
        <rFont val="Helvetica"/>
      </rPr>
      <t xml:space="preserve">- slower than normal heart rate
</t>
    </r>
    <r>
      <rPr>
        <sz val="12"/>
        <color indexed="8"/>
        <rFont val="Helvetica"/>
      </rPr>
      <t xml:space="preserve">- use of certain drugs used to treat abnormal heart rythms
</t>
    </r>
    <r>
      <rPr>
        <sz val="12"/>
        <color indexed="8"/>
        <rFont val="Helvetica"/>
      </rPr>
      <t>1012</t>
    </r>
  </si>
  <si>
    <t>05-AG0-063</t>
  </si>
  <si>
    <t xml:space="preserve">Watchملاحظة حول Vancomycin :- تبلغ المؤسسات الصحية بإمكانية أستعمال cap أو vial كـ susp من قبل شعب الصيدلة للمرضى الراقدين في  المستشفيات:- 500 ملغم لكل 6سم3 من الماء المقطر Distilled  water   </t>
  </si>
  <si>
    <t>05-AG0-025</t>
  </si>
  <si>
    <t xml:space="preserve">Access         ج/1178 </t>
  </si>
  <si>
    <t>05-AG0-051</t>
  </si>
  <si>
    <r>
      <rPr>
        <sz val="12"/>
        <color indexed="13"/>
        <rFont val="Helvetica"/>
      </rPr>
      <t xml:space="preserve">ج/ 
</t>
    </r>
    <r>
      <rPr>
        <sz val="12"/>
        <color indexed="13"/>
        <rFont val="Helvetica"/>
      </rPr>
      <t xml:space="preserve">1196
</t>
    </r>
    <r>
      <rPr>
        <sz val="12"/>
        <color indexed="13"/>
        <rFont val="Helvetica"/>
      </rPr>
      <t xml:space="preserve">تثبت هذه المحاذير على مجموعة
</t>
    </r>
    <r>
      <rPr>
        <sz val="12"/>
        <color indexed="13"/>
        <rFont val="Helvetica"/>
      </rPr>
      <t xml:space="preserve">  Fluoroquinolone inhaled and systemic
</t>
    </r>
    <r>
      <rPr>
        <sz val="12"/>
        <color indexed="13"/>
        <rFont val="Helvetica"/>
      </rPr>
      <t xml:space="preserve">-Patient who have previously had serious adverse reactions with a quinolone or fluoroquinolone antibiotics
</t>
    </r>
    <r>
      <rPr>
        <sz val="12"/>
        <color indexed="13"/>
        <rFont val="Helvetica"/>
      </rPr>
      <t xml:space="preserve">-Non-severe or self-limiting infections (such as pharyngitis , tonsillitis and acute bronchitis)
</t>
    </r>
    <r>
      <rPr>
        <sz val="12"/>
        <color indexed="13"/>
        <rFont val="Helvetica"/>
      </rPr>
      <t xml:space="preserve">-Mild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t>
    </r>
    <r>
      <rPr>
        <sz val="12"/>
        <color indexed="13"/>
        <rFont val="Helvetica"/>
      </rPr>
      <t xml:space="preserve">-Non-bacterial infections , eg non-bacterial chronic prostitis
</t>
    </r>
    <r>
      <rPr>
        <sz val="12"/>
        <color indexed="13"/>
        <rFont val="Helvetica"/>
      </rPr>
      <t>-Preventing travellers diarrhea or recurrent lower urinary tract infections</t>
    </r>
    <r>
      <rPr>
        <sz val="12"/>
        <color indexed="8"/>
        <rFont val="Helvetica"/>
      </rPr>
      <t xml:space="preserve">
</t>
    </r>
    <r>
      <rPr>
        <sz val="12"/>
        <color indexed="8"/>
        <rFont val="Helvetica"/>
      </rPr>
      <t>Watch</t>
    </r>
  </si>
  <si>
    <t>05-AG0-079</t>
  </si>
  <si>
    <r>
      <rPr>
        <sz val="12"/>
        <color indexed="13"/>
        <rFont val="Helvetica"/>
      </rPr>
      <t xml:space="preserve">Reserve ج/ 1201 تعديل طريقة الاعطاء </t>
    </r>
    <r>
      <rPr>
        <sz val="12"/>
        <color indexed="8"/>
        <rFont val="Helvetica"/>
      </rPr>
      <t xml:space="preserve">   ويحدد صرفها في وحدات العناية المركزة فقط بعد اجراء فحص حساسية البكتريا واجراء فحص زرع البكتيريا ويكلف قسم الصيدلة في دائرة الامور الفنية بوضع ضوابط لتداول المادة في القطاع الخاص قي المستشفيات الخاصة التي تتوفر فيها وحدات عناية مركزة ويفضل اجراء فحص المناظرة الدوائية عند استخدام المادة
</t>
    </r>
    <r>
      <rPr>
        <sz val="12"/>
        <color indexed="8"/>
        <rFont val="Helvetica"/>
      </rPr>
      <t>1102</t>
    </r>
  </si>
  <si>
    <t>5AH</t>
  </si>
  <si>
    <t xml:space="preserve">  منع تداول ISONIAZID, ETHAMBUTOL,PYRAZINAMID في القطاع الخاص و حصر تداولها في المراكز الصحية المعنية(المراكز التخصصية للامراض الصدرية )
تم تعديل قائمة التدرن جلسة 1094</t>
  </si>
  <si>
    <t>05-AH0-039</t>
  </si>
  <si>
    <t>kit</t>
  </si>
  <si>
    <t>Watch خط اول</t>
  </si>
  <si>
    <t>05-AH0-040</t>
  </si>
  <si>
    <t xml:space="preserve">Watch خط اول </t>
  </si>
  <si>
    <t>05-AH0-003</t>
  </si>
  <si>
    <t>خط اول</t>
  </si>
  <si>
    <t>05-AH0-043</t>
  </si>
  <si>
    <t>خط ثاني</t>
  </si>
  <si>
    <t>05-AH0-008</t>
  </si>
  <si>
    <t>05-AH0-002</t>
  </si>
  <si>
    <t>ج/1108                              خط ثاني</t>
  </si>
  <si>
    <t>05-AG0-012</t>
  </si>
  <si>
    <r>
      <rPr>
        <sz val="12"/>
        <color indexed="13"/>
        <rFont val="Helvetica"/>
      </rPr>
      <t xml:space="preserve">ج/ 1196
</t>
    </r>
    <r>
      <rPr>
        <sz val="12"/>
        <color indexed="13"/>
        <rFont val="Helvetica"/>
      </rPr>
      <t xml:space="preserve">تثبت هذه المحاذير على مجموعة
</t>
    </r>
    <r>
      <rPr>
        <sz val="12"/>
        <color indexed="13"/>
        <rFont val="Helvetica"/>
      </rPr>
      <t xml:space="preserve">  Fluoroquinolone inhaled and systemic
</t>
    </r>
    <r>
      <rPr>
        <sz val="12"/>
        <color indexed="13"/>
        <rFont val="Helvetica"/>
      </rPr>
      <t xml:space="preserve">-Patient who have previously had serious adverse reactions with a quinolone or fluoroquinolone antibiotics
</t>
    </r>
    <r>
      <rPr>
        <sz val="12"/>
        <color indexed="13"/>
        <rFont val="Helvetica"/>
      </rPr>
      <t xml:space="preserve">-Non-severe or self-limiting infections (such as pharyngitis , tonsillitis and acute bronchitis)
</t>
    </r>
    <r>
      <rPr>
        <sz val="12"/>
        <color indexed="13"/>
        <rFont val="Helvetica"/>
      </rPr>
      <t xml:space="preserve">-Mild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t>
    </r>
    <r>
      <rPr>
        <sz val="12"/>
        <color indexed="13"/>
        <rFont val="Helvetica"/>
      </rPr>
      <t xml:space="preserve">-Non-bacterial infections , eg non-bacterial chronic prostitis
</t>
    </r>
    <r>
      <rPr>
        <sz val="12"/>
        <color indexed="13"/>
        <rFont val="Helvetica"/>
      </rPr>
      <t>-Preventing travellers diarrhea or recurrent lower urinary tract infections</t>
    </r>
    <r>
      <rPr>
        <sz val="12"/>
        <color indexed="8"/>
        <rFont val="Helvetica"/>
      </rPr>
      <t xml:space="preserve">
</t>
    </r>
    <r>
      <rPr>
        <sz val="12"/>
        <color indexed="8"/>
        <rFont val="Helvetica"/>
      </rPr>
      <t xml:space="preserve">Watch ج/ 1154 يتم اضافة الاستطبابات الخاصة بمركز زرع نخاع العظم ج/1094 خط  ثاني
</t>
    </r>
    <r>
      <rPr>
        <sz val="12"/>
        <color indexed="8"/>
        <rFont val="Helvetica"/>
      </rPr>
      <t xml:space="preserve">يحصر استعماله لمرض التدرن متعدد المقاومة في القطاع العام والخاص حفاظاً على نجاح استخدامه في هذا الاستطباب. (730)
</t>
    </r>
    <r>
      <rPr>
        <sz val="12"/>
        <color indexed="8"/>
        <rFont val="Helvetica"/>
      </rPr>
      <t xml:space="preserve"> اما في حلات الحروق فلا يجب ان يستعمل هذا العلاج في معالجة الالتهابات الموافقة للحروق...ولكن في حالة وجود التهاب يهدد حياة المريض وبعد استنفاذ المضادات الحيوية الاخرى  ووجود ما يثبت استجابة البكتريا للعلاج اعلاه (من زرع الدم او اي مسحة ماخوذة من الحروق او دراسات  رصينة اجريت في المؤسسة)   ففي هذه الحالة يمكن استعماله وبحذر شديد وبفترة محدودة حسب التوصيات العلمية وفق توصية منظمة الصحة العلمية  بان المادة اعلاه ليس لها افضلية محددة في علاج التهاب الحروق  - فقط لمرضى التدرن المتعدد المقاومة و حسب توجيه ال WHO         لوجود بدائل من الخط الاول للحالات و الاصابات المرضية الاخرى ( 764 ) 
</t>
    </r>
    <r>
      <rPr>
        <sz val="12"/>
        <color indexed="8"/>
        <rFont val="Helvetica"/>
      </rPr>
      <t xml:space="preserve">  
</t>
    </r>
    <r>
      <rPr>
        <sz val="12"/>
        <color indexed="8"/>
        <rFont val="Helvetica"/>
      </rPr>
      <t xml:space="preserve"> يتم تثبيت الاحتياج لمعهد التدرن فقط                                                                     (QT prolong in isolated patient with overdose) 
</t>
    </r>
    <r>
      <rPr>
        <sz val="12"/>
        <color indexed="8"/>
        <rFont val="Helvetica"/>
      </rPr>
      <t xml:space="preserve">يحصر استعماله لمرض التدرن متعدد المقاومة في القطاع العام والخاص حفاظاً على نجاح استخدامه في هذا الاستطباب.
</t>
    </r>
  </si>
  <si>
    <t>05-AH0-050</t>
  </si>
  <si>
    <t xml:space="preserve"> Tablet </t>
  </si>
  <si>
    <t>Watch ج 1005  ج1012
خط اول اطفال</t>
  </si>
  <si>
    <t>05-AH0-051</t>
  </si>
  <si>
    <t>05-AH0-042</t>
  </si>
  <si>
    <t>05-AH0-046</t>
  </si>
  <si>
    <t>خط اول وثاني</t>
  </si>
  <si>
    <t>05-AH0-013</t>
  </si>
  <si>
    <t>ج/1094 خط ثاني                 الجلسة 981يحدد صرفه في المركز الوطني التخصصي للامراض 
الصدرية والتنفسية</t>
  </si>
  <si>
    <t>05-AI0-003</t>
  </si>
  <si>
    <t>خط ثاني
وتسخدم ايظا في Anti-leprosy drugs</t>
  </si>
  <si>
    <t>05-AH0-056</t>
  </si>
  <si>
    <t>ج/1094 خط ثاني                                يحدد صرفه في المركز الوطني التخصصي للامراض 
الصدرية والتنفسية</t>
  </si>
  <si>
    <t>05-AH0-060</t>
  </si>
  <si>
    <t xml:space="preserve">Reserve ج/1154 يتم اضافة الاستطبابات الخاصة بمركز زرع نخاع العظم خط ثاني
1028
1031
يحدد صرفه في علاج التدرن المقاوم  (MDR) والتدرن الشديد المقاوم للعقار  (MDR) وكذلك ضمن نظام العلاج القصير الامد للتدرن المقاوم للعقار ( short course DR regimen ) ويحدد صرفه من قبل المركز الوطني التخصصي للامراض الصدرية والتنفسية وعلى ان لا يمنح اجازة استيراد للقطاع الخاص للحد من سوء استخدام المادة </t>
  </si>
  <si>
    <t>05-AH0-057</t>
  </si>
  <si>
    <t>ج/1108 تعديل جرعة         ج/1094 خط ثاني                                يحدد صرفه في المركز الوطني التخصصي للامراض 
الصدرية والتنفسية</t>
  </si>
  <si>
    <t>05-AH0-070</t>
  </si>
  <si>
    <t>ج/1175 مضاف حديثاً ويحصر استخدامها لاستطباب التدرن المقاوم وفي معهد التدرن الوطني مع وضع ضوابط والية لصرفها والتعامل معها مع تقديم تقرير بعد 6 اشهر من استخدام المادة بشكل فعلي على ان توفر مجانا من قبل المنظمات الاممية والدولية ذات العلاقة والمعتمدة من قبل وزارة الصحة</t>
  </si>
  <si>
    <t>05-AH0-071</t>
  </si>
  <si>
    <t>ج/1190 يعدل استطباب المادة لاستطباب التدرن الحساس الكامن والفعال ج/1175 مضاف حديثاً ويحصر استخدامها لاستطباب التدرن المقاوم وفي معهد التدرن الوطني مع وضع ضوابط والية لصرفها والتعامل معها مع تقديم تقرير بعد 6 اشهر من استخدام المادة بشكل فعلي على ان توفر مجانا من قبل المنظمات الاممية والدولية ذات العلاقة والمعتمدة من قبل وزارة الصحة</t>
  </si>
  <si>
    <t>05-AH0-072</t>
  </si>
  <si>
    <t>ج/ 1175 مضاف حديثاً</t>
  </si>
  <si>
    <t>05-AH0-073</t>
  </si>
  <si>
    <t>5AJ</t>
  </si>
  <si>
    <t>05-AJ0-006</t>
  </si>
  <si>
    <t>Access                ج/1178</t>
  </si>
  <si>
    <t>5B</t>
  </si>
  <si>
    <t>05-B00-001</t>
  </si>
  <si>
    <t>05-B00-003</t>
  </si>
  <si>
    <t>05-B00-007</t>
  </si>
  <si>
    <t>ج987</t>
  </si>
  <si>
    <t>05-B00-037</t>
  </si>
  <si>
    <t>Capsule</t>
  </si>
  <si>
    <t>05-B00-050</t>
  </si>
  <si>
    <t xml:space="preserve"> ج/ 1139 حذف الملاحظة      </t>
  </si>
  <si>
    <t>05-B00-059</t>
  </si>
  <si>
    <t>05-B00-055</t>
  </si>
  <si>
    <t>1161
بنسبة 20% من احتياج المادة بالرمز الوطني (05-B00-055)على ان يكون صرفه في مراكز الجهاز الهضمي و الكبد التخصصية                              1042</t>
  </si>
  <si>
    <t>05-B00-071</t>
  </si>
  <si>
    <t xml:space="preserve">1161
بنسبة 20% من احتياج المادة بالرمز الوطني (05-B00-055) </t>
  </si>
  <si>
    <t>05-B00-057</t>
  </si>
  <si>
    <t>على ان يكون صرفه في مراكز الجهاز الهضمي و الكبد التخصصية</t>
  </si>
  <si>
    <t>05-B00-067</t>
  </si>
  <si>
    <t>ج/ 1150 الغاء قاعدة اقل الاسعارج/ 1127 مضاف حديثا حسب  قاعدة اقل الاسعار ويكون التنافس على 80% من عدد المرضى للاقل سعرا ويتم تامين 20% من المادة الاخرى لتغطية كامل الاحتياج</t>
  </si>
  <si>
    <t>05-B00-002</t>
  </si>
  <si>
    <t>05-B00-070</t>
  </si>
  <si>
    <t>ج/1118 مضاف حديثا          احتياج طويل الامد (2023-2027) ادوية العوز المناعي يستخدما معا كعلاج متكامل للرضع و الاطفال دون سن ال 12 سنة(يتم تجهيزها معا)</t>
  </si>
  <si>
    <t>05-B00-069</t>
  </si>
  <si>
    <t>syrup</t>
  </si>
  <si>
    <t>05-B00-068</t>
  </si>
  <si>
    <t>ج/1118 مضاف حديثا        احتياج طويل الامد (2023-2027)                           ادوية العوز المناعي يستخدم كعلاج متكامل لفئة ( المتعايشيين من 12 سنة فما فوق) او من وزنهم 30 كغم وا اكثر و الحوامل</t>
  </si>
  <si>
    <t>5C</t>
  </si>
  <si>
    <t>05-C00-019</t>
  </si>
  <si>
    <t>Tablet  or capsule</t>
  </si>
  <si>
    <t>05-C00-013</t>
  </si>
  <si>
    <t>5D</t>
  </si>
  <si>
    <t>05-D00-008</t>
  </si>
  <si>
    <t>ج/1100 مضاف حديثا</t>
  </si>
  <si>
    <t>05-D00-012</t>
  </si>
  <si>
    <t>Access ج987</t>
  </si>
  <si>
    <t>05-D00-013</t>
  </si>
  <si>
    <t>Access  لا مانع من أقرار( العبوة البلاستيكية) اضافة الى المقر    وعدم تأثيرها على المادة الفعالة</t>
  </si>
  <si>
    <t>05-D00-014</t>
  </si>
  <si>
    <t>05-D00-023</t>
  </si>
  <si>
    <t xml:space="preserve">ج/1146 تحول المادة الى المستوى الثاني </t>
  </si>
  <si>
    <t>05-D00-044</t>
  </si>
  <si>
    <t>tube</t>
  </si>
  <si>
    <t>ج/1146 مضاف حديثا وتحصر لعلاج اللشمانيا الجلدية</t>
  </si>
  <si>
    <t>05-D00-043</t>
  </si>
  <si>
    <t xml:space="preserve">  الخبيثة وبعض انواع الملاريا Falciparamمن  لمعالجة الحالات النادرة
1017</t>
  </si>
  <si>
    <t>5E</t>
  </si>
  <si>
    <t>05-E00-002</t>
  </si>
  <si>
    <t>05-E00-006</t>
  </si>
  <si>
    <t>05-E00-015</t>
  </si>
  <si>
    <t>ج/1138 مضاف حديثا وتستخدم ضمن برنامج منظمة الصحة العالمية</t>
  </si>
  <si>
    <t>05-E00-014</t>
  </si>
  <si>
    <t>ج/1128 مضاف حديثا
لعلاج دودة الكبد</t>
  </si>
  <si>
    <t>6A</t>
  </si>
  <si>
    <t>6AA</t>
  </si>
  <si>
    <t>06-AA0-001</t>
  </si>
  <si>
    <t xml:space="preserve">تم حذف  جميع النسب بالجلسة994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875)  
   1094                                            </t>
  </si>
  <si>
    <t>06-AA0-002</t>
  </si>
  <si>
    <t xml:space="preserve"> حسب الحاجة-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بروتوكول (875 ) _   Soluble Insuline or Neutral insulin من الممكن أعطاءه عن طريق I.V, I.M, S.C او 
I.V Infusion حسب الحاجة</t>
  </si>
  <si>
    <t>06-AA0-003</t>
  </si>
  <si>
    <t>.
 ( 814)-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(875)</t>
  </si>
  <si>
    <t>06-AA0-022</t>
  </si>
  <si>
    <t>pen</t>
  </si>
  <si>
    <t xml:space="preserve">حسب قاعدة اقل الاسعار (ج 972 )
1094     06-AA0-017 اعتماد قاعدة اقل الاسعار مع الرمز الوطني </t>
  </si>
  <si>
    <t>6AB</t>
  </si>
  <si>
    <t>06-AB0-008</t>
  </si>
  <si>
    <t>ج\1070(حذف من قائمة الادوية المزمنة)</t>
  </si>
  <si>
    <t>06-AB0-014</t>
  </si>
  <si>
    <t>يتم صرفها ضمن ادوية الامراض المزمنة في العيادات الشعبية و المراكز التخصصية و عيادات السكري في المستشفيات العامة .</t>
  </si>
  <si>
    <t>06-AB0-019</t>
  </si>
  <si>
    <t>06-AB0-010</t>
  </si>
  <si>
    <t>06-AB0-024</t>
  </si>
  <si>
    <t>film coated tablet</t>
  </si>
  <si>
    <t xml:space="preserve"> تضاف المادة الى قائمة الادوية المزمنة:1198</t>
  </si>
  <si>
    <t>06-AB0-047</t>
  </si>
  <si>
    <t>06-AB0-045</t>
  </si>
  <si>
    <t xml:space="preserve">1204
 تضاف المادة الى قائمة الادوية المزمنة ج/ 1198 </t>
  </si>
  <si>
    <t>06-AB0-046</t>
  </si>
  <si>
    <t>6B</t>
  </si>
  <si>
    <t>06-B00-001</t>
  </si>
  <si>
    <t>6C</t>
  </si>
  <si>
    <t>06-C00-043</t>
  </si>
  <si>
    <t xml:space="preserve">1161
يخصص هذا التركيز للامراض النزفية الوراثية فقط                  Patients  with hemophilia A with Factor VIII coagulant activity levels greater than 5% 
- Mild to moderate classic von Willebrand's disease ( Type I) with factor VIII levels greater than 5% 
Warning 
- Hyponatremia 
- Pediatric &amp; geriatric patients
- Habitual or psychogenic polydispsia
  -    Type IIB vonWillebrand's disease 
</t>
  </si>
  <si>
    <t>06-C00-010</t>
  </si>
  <si>
    <t>vial or pen</t>
  </si>
  <si>
    <t>تحتسب الكمية على اساس اوزان المرضى والجرعة اليومية  30mcg / kg / day  ) والزام المؤسسات الصحية   المسؤولة عن صرف المادة بارفاق اعداد المرضى واسمائهم واوزانهم عند احتساب الاحتياج ويعمل بما ورد اعلاه ابتدأ" من احتياج عام 2018 ج986
1031</t>
  </si>
  <si>
    <t>06-C00-044</t>
  </si>
  <si>
    <t>ج/1158 
حسب قاعدة اقل الاسعار بين  المادة بالرمز الوطني  
(06-C00-011) 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priuns
  -الكفاءة على ان تقاس بطريقة  الfilled by mass</t>
  </si>
  <si>
    <t>06-C00-011</t>
  </si>
  <si>
    <t>ج/1158 ترفع المادة الى المستوى الاول وتكون حسب قاعدة اقل الاسعار بين  المادة بالرمز الوطني (06-C00-044)</t>
  </si>
  <si>
    <t>06-C00-045</t>
  </si>
  <si>
    <t>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priuns
  -الكفاءة على ان تقاس بطريقة  الfilled by mass</t>
  </si>
  <si>
    <t>06-C00-046</t>
  </si>
  <si>
    <t xml:space="preserve">  06-c00-021   قاعدة اقل الاسعار مع الكودا   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priuns
  -الكفاءة على ان تقاس بطريقة  الfilled by mass                                                      يستعمل في حالات قصور الغدة النخامية وبعض حالات العقم لدى الكبار ,حسب قاعدة اقل الاسعار (972)         </t>
  </si>
  <si>
    <t>06-C00-021</t>
  </si>
  <si>
    <t xml:space="preserve">pfs </t>
  </si>
  <si>
    <t xml:space="preserve">06-c00-046    قاعدة اقل الاسعار مع الكود                                                    ج/920              </t>
  </si>
  <si>
    <t>06-C00-033</t>
  </si>
  <si>
    <t xml:space="preserve">  ج 1014                                                 يحصر استخدامها في هذة المراكز اعلاه فقط لمرضى سرطان الغدد الدرقيه                       ( 1- دائره صحه بغداد / الكرخ / مستشفى اليرموك التعليمي / قسم الطب النووي
2- دائره صحة بغداد/  الرصافه / مركز الغدد الصم والسكري 
3-  دائره صحه مدينه الطب / قسم الطب النووي
4- دائره صحه نينوى / مستشفى الاورام والطب النووي 
5- وزاره الصحه /مدينة الطب / مستشفى الامل / قسم الطب النووي )                         حيث يتم اخذها بواقع (2فيال) لكل مريض ولمده يومين متتالين وبعد ذلك يتم اعطاءه ماده اليود المشع خاصه للمرضى كبار السن والامراض القلبيه والمزمنه والذين لايقدرون على ايقاف علاج الثايروكستن لمده شهر مما يؤدي الى مضاعفات صحيه للمريض </t>
  </si>
  <si>
    <t>6D</t>
  </si>
  <si>
    <t>06-D00-001</t>
  </si>
  <si>
    <t>06-D00-007</t>
  </si>
  <si>
    <t>06-D00-008</t>
  </si>
  <si>
    <t>06-D00-003</t>
  </si>
  <si>
    <t>1198
يستخدم كعلاج وقائي في حال تعرض البلد لتلوث اشعاعي 
نتيجة الحوادث النووية
ويتم تقدير احتياجها من قبل دائرة العمليات مع التوصية بان يتم انتاجه من قبل المصانع الوطنية</t>
  </si>
  <si>
    <t>6E</t>
  </si>
  <si>
    <t>يؤخذ بنظر الاعتبار استخدامه في المفاصل</t>
  </si>
  <si>
    <t>06-E00-009</t>
  </si>
  <si>
    <t>Ampoule or Vial</t>
  </si>
  <si>
    <t xml:space="preserve">1105
يثبت التحذير الاتي على العبوة الخارجية والنشرة الداخلية للمستحظرات الحاوية على مادة ( Sod.Metabisulfite)
Caution To be written if the products contain metabisulphite as  following (Caution: this product contain metabisulphite  may cause broncho spasm in atopic &amp; Asthmatic subjects).
ولا يعتبر وجود مادة ( Sod.Metabisulfite) في المستحضرات شرطا مانعا لتسجيلها
</t>
  </si>
  <si>
    <t>06-E00-018</t>
  </si>
  <si>
    <t>Vial   Act-o-vial system</t>
  </si>
  <si>
    <t>ج 990
1205
يثبت هذه المحاذير مع المادة اعلاه في قوائم اللجنة الوطنية وايضا عدم استخدام المستحضر في حالة احتواء المذيب على  Benzyl alcohol عند اعطائه في السائل الشوكي
المتضمن الابلاغات الواردى اليهم بخصوص استخدام المادة ادناه في الاطفال حديثي الولادة و تسببها باعراض شديدة الخطورة بعد استخدامها وريديا نتيجة وجود المادة الحافظة Benzyl alcohol  في السائل المذيب المرفق للفيالة و من الممكن ان يؤدي الى مضاعفات منها Central nervous system depression , metabolic acidosis , gasping respiration , cardio vascular failure and hematological anomalies  ( gasping syndrome )</t>
  </si>
  <si>
    <t>06-E00-033</t>
  </si>
  <si>
    <t>06-E00-021</t>
  </si>
  <si>
    <t>6F</t>
  </si>
  <si>
    <t>06-F00-020</t>
  </si>
  <si>
    <t>06-F00-017</t>
  </si>
  <si>
    <t>06-F00-030</t>
  </si>
  <si>
    <t>Suppository</t>
  </si>
  <si>
    <t xml:space="preserve"> ج/1198 مضاف حديثاً
يحدد صرفها في مراكز اطفال الانابيب</t>
  </si>
  <si>
    <t>6G</t>
  </si>
  <si>
    <t>06-G00-007</t>
  </si>
  <si>
    <t>6I</t>
  </si>
  <si>
    <t>6IA</t>
  </si>
  <si>
    <t>06-IA0-005</t>
  </si>
  <si>
    <t xml:space="preserve">ج/ 1141 توضيح المقر             ج 986,1018
وتكون الية الصرف كما يلي :-
1- مرضى القصور الكلوي المزمن المتقدم على برنامج الديلزة الدموية المصابين بمرض العظام الناتج عن عجز الكلى المزمن المتقدم ( Renal Bone disease ) غير المستجيب ( Calcium Binders , diet &amp; dialysis)
2- يتم صرف العلاج بعد اجراء فحوصات الكالسيوم والفوسفات وهورمون الغدة المجاورة  للدرقية
 ( Calcium , phosphate , IPTH )
3-يتم حصر صرف الدواء في مراكز الديلزة
4- تقوم الشركة المجهزة بتوفير( kit ) المستخدم لتحليل نسبة ( parathyroid hormones )  مجانا" 
ج/ 1038
</t>
  </si>
  <si>
    <t>06-IA0-006</t>
  </si>
  <si>
    <t>ج/ 1141 توضيح المقر                             ج ,1018,986
وتكون الية الصرف كما يلي :-
1- مرضى القصور الكلوي المزمن المتقدم على برنامج الديلزة الدموية المصابين بمرض العظام الناتج عن عجز الكلى المزمن المتقدم ( Renal Bone disease ) غير المستجيب ( Calcium Binders , diet &amp; dialysis)
2- يتم صرف العلاج بعد اجراء فحوصات الكالسيوم والفوسفات وهورمون الغدة المجاورة  للدرقية
 ( Calcium , phosphate , IPTH )
3-يتم حصر صرف الدواء في مراكز الديلزة 
4- تقوم الشركة المجهزة بتوفير( kit ) المستخدم لتحليل نسبة ( parathyroid hormones )  مجانا" 
ج/ 1038</t>
  </si>
  <si>
    <t>6IB</t>
  </si>
  <si>
    <t>06-IB0-010</t>
  </si>
  <si>
    <t>06-IB0-011</t>
  </si>
  <si>
    <t>06-IB0-017</t>
  </si>
  <si>
    <t>pfs</t>
  </si>
  <si>
    <t xml:space="preserve">1195
ويحدد صرفها للاستطبابات الاتية من قبل اللجنة الاستشارية للامراض الرثوية :
1-GC induced osteoporosis not responding to Biphosphonate
2- severe osteoporosis men and women
3- breast cancer on adjuvant aromatase inhibitor therapy who at risk of osteoporosis
4- non metastatic prostate cancer who are on androgen deprivation therapy
5- osteoporosis with moderate to sevsere renal impairment
وتقوم اللجنة الاستشارية  بوضع الية ومراكز الصرف ومتابعة الصرف على ان لايتجاوز الاحتياج للسنة الاولى 2000 مريض
</t>
  </si>
  <si>
    <t>6J</t>
  </si>
  <si>
    <t>06-J00-003</t>
  </si>
  <si>
    <t xml:space="preserve">يحصر استخدامه في مركز العقم واطفال الانابيب ومراكز الغدد الصم والسكري1042      </t>
  </si>
  <si>
    <t>عقم</t>
  </si>
  <si>
    <t>06-J00-004</t>
  </si>
  <si>
    <t>6K</t>
  </si>
  <si>
    <t xml:space="preserve"> potent statin                                                                          ملاحظة حول مجموعة        1- تصرف للمرضى من ذوي الخطورة العالية  للاصابة    بالنوبات القلبية والدماغية  cardiovascular events  </t>
  </si>
  <si>
    <t>06-K00-022</t>
  </si>
  <si>
    <t xml:space="preserve"> ج1014
ج\1070(حذف من قائمة الادوية المزمنة)</t>
  </si>
  <si>
    <t>06-K00-002</t>
  </si>
  <si>
    <t xml:space="preserve"> ج1014
ج\1070
ان يتم تثبيت احتياجها من قبل دائرة العيادات الطبية الشعبية ضمن قائمة الادوية المزمنة فقط</t>
  </si>
  <si>
    <t xml:space="preserve">06-K00-019 </t>
  </si>
  <si>
    <t>7A</t>
  </si>
  <si>
    <t>07-A00-009</t>
  </si>
  <si>
    <t xml:space="preserve">مراكز رعاية صحية اولية + احتياج المستشفيات ج 986    مراكز الرعاية الصحية الاولية والمستشفيات ) ( ج989 )          </t>
  </si>
  <si>
    <t>07-A00-012</t>
  </si>
  <si>
    <t>02-C00-013</t>
  </si>
  <si>
    <t>يقتصر استعماله في اقسام النسائية والتوليد في المستشفيات (التعليمية وغير التعليمية ) 2-يستعمل في حالات اقل من 13 اسبوع (اسقاط منسي ,اسقاط جراحي ,اسقاط ناقص ) 3- يعطى العلاج (400)مايكروغرام عن طريق الفم او المهبل وتعاد الجرعة كل اربع ساعات ولمدة (24) ساعة كحد اقصى . 4- في حالات الحمل من (13) اسبوع - (26)اسبوع يستعمل كالاتي : أ-13-17اسبوع (200)مايكروغرام مهبلي كل 6ساعات وبواقع اربع جرع فقط. ب- 18-26 اسبوع (100)مايكروغرام مهبلي كل (6)ساعات وبواقع اربع جرع فقط . ملاحظة :يشترط عدم وجود عملية قيصرية سابقة او اي عملية في الرحم بالنسبة للفقرة (3,4)وان وجدت حينئذ تشكل الجنة طبية للبث في الموضوع . 5- في حالة النزف بعد الولادة يعتبر cytotic tab الخط الثاني من العلاجات التحفظية (حيث يعد ال methergin وال oxytocin ) الخط الاول وتكون الجرعات هنا (800)مايكروغرام عن طريق الفم او تحت اللسان او في المقعد . 988</t>
  </si>
  <si>
    <t>7B</t>
  </si>
  <si>
    <t>07-B00-004</t>
  </si>
  <si>
    <t>7C</t>
  </si>
  <si>
    <t>07-C00-004</t>
  </si>
  <si>
    <t>07-C00-021</t>
  </si>
  <si>
    <t>07-C00-027</t>
  </si>
  <si>
    <t>7D</t>
  </si>
  <si>
    <t>7DA</t>
  </si>
  <si>
    <t>07-DA0-004</t>
  </si>
  <si>
    <t>7DB</t>
  </si>
  <si>
    <t>07-DB0-005</t>
  </si>
  <si>
    <t>7E</t>
  </si>
  <si>
    <t>01-E00-063</t>
  </si>
  <si>
    <t>capsule  or tablet</t>
  </si>
  <si>
    <r>
      <rPr>
        <sz val="12"/>
        <color indexed="13"/>
        <rFont val="Helvetica"/>
      </rPr>
      <t xml:space="preserve">ج/ 1198  تضاف المادة الى قائمة الادوية المزمنة </t>
    </r>
    <r>
      <rPr>
        <sz val="12"/>
        <color indexed="8"/>
        <rFont val="Helvetica"/>
      </rPr>
      <t>( 1012 )(976 )  (  968) (  يحصراستخدامه لجراحة المسالك البولية )</t>
    </r>
  </si>
  <si>
    <t>8A</t>
  </si>
  <si>
    <t>8Aa</t>
  </si>
  <si>
    <t>08-AA0-003</t>
  </si>
  <si>
    <t>08-AA0-005</t>
  </si>
  <si>
    <t>08-AA0-009</t>
  </si>
  <si>
    <t>08-AA0-014</t>
  </si>
  <si>
    <t>ج/1178         ج\1074
للمستشفيات فقط</t>
  </si>
  <si>
    <t>8B</t>
  </si>
  <si>
    <t xml:space="preserve">                          يحصر استعمالها أو استخدامها في المراكز السرطانية   لكل التراكيز                     Folinic acid     مادة                   </t>
  </si>
  <si>
    <t>08-B00-010</t>
  </si>
  <si>
    <t>08-B00-005</t>
  </si>
  <si>
    <t>1196 ج/1179 تعديل المادة</t>
  </si>
  <si>
    <t>08-B00-025</t>
  </si>
  <si>
    <t>رعاية صحية اولية فقط 1057       1042</t>
  </si>
  <si>
    <t>8C</t>
  </si>
  <si>
    <t>08-C00-001</t>
  </si>
  <si>
    <t>pfs or vial</t>
  </si>
  <si>
    <t>ج987  ,ج1012 ,ج1019   ج/1049</t>
  </si>
  <si>
    <t>08-C00-015</t>
  </si>
  <si>
    <t>ج/1183 مضاف حديثا وعلى
قاعدة اقل الاسعار مع المادة ذات الرمز الوطني
08-C00-001 على ان لايتجاوز الكلفة الشهرية للعلاج كلفة مادة  erythropoietinفي اخر عقد</t>
  </si>
  <si>
    <t>08-C00-004</t>
  </si>
  <si>
    <t>08-C00-016</t>
  </si>
  <si>
    <t>ج/1183 مضاف حديثا وعلى
قاعدة اقل الاسعار مع المادة ذات الرمز الوطني
08-C00-004 على ان لايتجاوز الكلفة الشهرية للعلاج كلفة مادة  erythropoietinفي اخر عقد</t>
  </si>
  <si>
    <t>8D</t>
  </si>
  <si>
    <t>08-D00-002</t>
  </si>
  <si>
    <t xml:space="preserve"> يتم التأكيد على الموسسات الصحية على حساب الجرعة بالوحدات وليس بالحجم وهو الاستخدام العلمي</t>
  </si>
  <si>
    <t>08-D00-003</t>
  </si>
  <si>
    <t>ampoule or Vial</t>
  </si>
  <si>
    <t>ج/ 1091 تعديل المادة
    over 10 minutes  and the giving quantity    according to the lab. Analysis  مع الاخذ بنظر الاعتبار ادراجه كسموم</t>
  </si>
  <si>
    <t>08-D00-009</t>
  </si>
  <si>
    <t>08-D00-010</t>
  </si>
  <si>
    <r>
      <rPr>
        <sz val="12"/>
        <color indexed="13"/>
        <rFont val="Helvetica"/>
      </rPr>
      <t xml:space="preserve">ج/ 1198 تضاف الى قائمة الادوية المزمنة </t>
    </r>
    <r>
      <rPr>
        <sz val="12"/>
        <color indexed="8"/>
        <rFont val="Helvetica"/>
      </rPr>
      <t>ج\1070(حذف من قائمة الادوية المزمنة)</t>
    </r>
  </si>
  <si>
    <t>08-D00-011</t>
  </si>
  <si>
    <t>08-D00-014</t>
  </si>
  <si>
    <t>ج\1088
ج/ 1100 ترفع الى المستوى الثاني</t>
  </si>
  <si>
    <t>8E</t>
  </si>
  <si>
    <t>08-E00-020</t>
  </si>
  <si>
    <r>
      <rPr>
        <b val="1"/>
        <sz val="12"/>
        <color indexed="8"/>
        <rFont val="Arial"/>
      </rPr>
      <t xml:space="preserve">1202
</t>
    </r>
    <r>
      <rPr>
        <b val="1"/>
        <sz val="12"/>
        <color indexed="8"/>
        <rFont val="Arial"/>
      </rPr>
      <t xml:space="preserve">1197
</t>
    </r>
    <r>
      <rPr>
        <b val="1"/>
        <sz val="12"/>
        <color indexed="13"/>
        <rFont val="Arial"/>
      </rPr>
      <t xml:space="preserve">
</t>
    </r>
    <r>
      <rPr>
        <b val="1"/>
        <sz val="12"/>
        <color indexed="13"/>
        <rFont val="Arial"/>
      </rPr>
      <t xml:space="preserve">تكون نسبة الاحتياج 
</t>
    </r>
    <r>
      <rPr>
        <b val="1"/>
        <sz val="12"/>
        <color indexed="13"/>
        <rFont val="Arial"/>
      </rPr>
      <t xml:space="preserve"> 20%من الاحتياج الكلي لمادة
</t>
    </r>
    <r>
      <rPr>
        <b val="1"/>
        <sz val="12"/>
        <color indexed="13"/>
        <rFont val="Arial"/>
      </rPr>
      <t xml:space="preserve"> (08-E00-005)  Clopidogrel 75 mg</t>
    </r>
    <r>
      <rPr>
        <b val="1"/>
        <sz val="12"/>
        <color indexed="8"/>
        <rFont val="Arial"/>
      </rPr>
      <t xml:space="preserve">
</t>
    </r>
    <r>
      <rPr>
        <b val="1"/>
        <sz val="12"/>
        <color indexed="8"/>
        <rFont val="Arial"/>
      </rPr>
      <t xml:space="preserve">ج/1042
</t>
    </r>
    <r>
      <rPr>
        <b val="1"/>
        <sz val="12"/>
        <color indexed="8"/>
        <rFont val="Arial"/>
      </rPr>
      <t xml:space="preserve"> وللاستطبابات التالية :-
</t>
    </r>
    <r>
      <rPr>
        <b val="1"/>
        <sz val="12"/>
        <color indexed="8"/>
        <rFont val="Arial"/>
      </rPr>
      <t xml:space="preserve">أ- التداخل القسطاري الاولي ( PCI ) 
</t>
    </r>
    <r>
      <rPr>
        <b val="1"/>
        <sz val="12"/>
        <color indexed="8"/>
        <rFont val="Arial"/>
      </rPr>
      <t xml:space="preserve">ب- المرضى غير المستجيبين لعلاج ( Clopidogrel ) والمشخصين عن طريق جهاز( platlete agregometer )  ويحدد صرفه في مراكز القلب وشعب القسطرة .
</t>
    </r>
    <r>
      <rPr>
        <b val="1"/>
        <sz val="12"/>
        <color indexed="8"/>
        <rFont val="Arial"/>
      </rPr>
      <t xml:space="preserve">ج/1046 
</t>
    </r>
    <r>
      <rPr>
        <b val="1"/>
        <sz val="12"/>
        <color indexed="8"/>
        <rFont val="Arial"/>
      </rPr>
      <t xml:space="preserve">ج\1071 </t>
    </r>
  </si>
  <si>
    <t>08-E00-005</t>
  </si>
  <si>
    <t xml:space="preserve">1202
1197
تكون نسبة الاحتياج لللمادة
08-E00-020 
 20%من الاحتياج الكلي لمادة
 (08-E00-005)  Clopidogrel 75 mg
(limited  use in special center )                                ج/1042
ج\1070
ج\1071
  Clopidogrel 75mg للمرضى ممن لديهم مانع صحي في تناول الاسبرين Contraindications to aspirin في الحالات التالية:-
1- للوقاية الثانوية Secondary prevention بدلا عن الاسبرين للمرضى ممن لديهم اعراض سريرية لمرض تصلب الشرايين 
- Documented symptomatic atherosclerotic diseases such as peripheral vascular, recent MI within 35 days, and within 6 months of ischemic stroke
2- لنوبات عدم كفاية الدورة الدموية الدماغية المؤقتة المتكررة TIA
3- للذبحة القلبية غير المستقرة Unstable  angina .
4- للمرضى الذين تجرى لهم عملية زرع شبكة في الشرايين التاجية او المحيطية .
5- ويعطى مع الاسبرين فقط لمدة محدودة لاتقل عن شهر ولاتزيد عن 12 شهر لمرضى متلازمة الشرايين التاجية الحادة للمريض داخل المستشفى فقط For inhospital inpatient  ONLY
- ويوفر هذا الدواء في المستشفيات الكبيرة للمحافظات والتي تتوفر فيها وحدات العناية القلبية ومن قبل الاستشاري او الاختصاص بالامراض الباطنية والقلبية وحسب الضوابط المثبتة آنفا
Dose :- 75mg  Clopidogrl as a base tab )(limited use in special center)
</t>
  </si>
  <si>
    <t>8F</t>
  </si>
  <si>
    <t>08-F00-009</t>
  </si>
  <si>
    <t>set=2vial</t>
  </si>
  <si>
    <t xml:space="preserve"> set=2vial</t>
  </si>
  <si>
    <t>8G</t>
  </si>
  <si>
    <t>08-G00-002</t>
  </si>
  <si>
    <t>ج/ 1121</t>
  </si>
  <si>
    <t>08-G00-001</t>
  </si>
  <si>
    <t>8H</t>
  </si>
  <si>
    <t>08-H00-008</t>
  </si>
  <si>
    <t>ج986   توفير كبضاعة مجانية (FOC) (recombinant Foctor vIII 250 IU)كونها تعتبر جرع تكميلية  بنسبة 10% من احتياج (recombinant Foctor vIII 500 IU) الكلي  (987 )
1067</t>
  </si>
  <si>
    <t>08-H00-014</t>
  </si>
  <si>
    <t>ويحصراستخدامه  للحالات التالية 
Indicated in sever cases of   VonWillebrand  disease 
A- Lifethreating  condition ( CNS  bleeding , GIT  bleeding , trauma 
B- In case of bleding from other site Necessite urgent  blood  transfusion 
C- in case of surgery 
ج986 ج\1089</t>
  </si>
  <si>
    <t>08-H00-006</t>
  </si>
  <si>
    <t>ج /1025
ج/1029
تعدل دواعي الاستعمال المقرة للعامل السابع ويحصر كالاتي :-
1-  نقص العامل السابع الوراثي  .
2-  مرض نقص العامل الثامن ( هيموفيلياA  ) مع وجود المضادات عالية الاستجابة
 ( inhibitors with high responders )
3-  اعتلال عمل الاقراص الوراثي من نوع 
- glannzman′s thrombasthenia 
- Bernard – soulier 
والغير مستجيبين لنقل الاقراص .
ـــــــــــــــــــــــــــــــــــــــــــــــــــــــــــــــــــــ
ج\1071</t>
  </si>
  <si>
    <t>08-H00-007</t>
  </si>
  <si>
    <t>08-H00-005</t>
  </si>
  <si>
    <t>ج/1129  حدد استخدامه للفئات العمرية دون 14 سنة العامل التاسع قصير الامد
جميع المواد المقرة كعامل تاسع قصير الامد تدخل ضمن   تنافس سعري
فيما بينها</t>
  </si>
  <si>
    <t>08-H00-026</t>
  </si>
  <si>
    <t xml:space="preserve">ج/ 1129 مضاف حديثا
يحدد استخدامه للفئات العمرية 14 سنة فما فوق العامل التاسع طويل الامد
</t>
  </si>
  <si>
    <t>08-H00-015</t>
  </si>
  <si>
    <t xml:space="preserve"> - For Control spontaneous bleeding episodes or to cover surgical intervention in hemophilia A&amp; hemophilia B patients with inhibitors - Treatment of hemorrhage in non- hemophilic patients with  acquired factor VIII inhibitorsContraindicated - in patients with  normal coagulation mechanism in the absence of inhibitors to coagulation factors.- In the patients with DIC 
ج\1089</t>
  </si>
  <si>
    <t>08-H00-017</t>
  </si>
  <si>
    <t>Indicated for routine prophylactic treatment of 
congenital Factor XIII deficiency</t>
  </si>
  <si>
    <t>08-H00-016</t>
  </si>
  <si>
    <t xml:space="preserve">ج/ 1089 تحذف المادة بالرمز الوطني (08-H00-016) من قائمة الادوية النادرة وتضاف الى قائمة الادوية الاساسية ويحدد صرفها في مراكز وشعب امراض الدم النزفية                                         For  Treatment of acute bleeding episodes in patients with congenital fibrinogen deficiency including afibrinogenemia &amp; hypofibrinogenemia Not indicated for dysfibrinogenmi
ضرورة توفر الفحوصات المختبرية المرفقة بكتاب دائرة مدينة الطب 29454في 11/9/2012 وحسب الجلسة  (828)
يحدد صرفه في مراكز الامراض النزفية
</t>
  </si>
  <si>
    <t>08-H00-022</t>
  </si>
  <si>
    <t xml:space="preserve">
تقر الماده ادناه وعلى قاعدة اقل الاسعار مع ( Coagulation Factor X ( Human ) 250 I.U ,I.V) ويحصر صرفها لعلاج نقص العامل العاشر 1092 قاعدة اقل الاسعار مع (  08-H00-020  )</t>
  </si>
  <si>
    <t>08-H00-020</t>
  </si>
  <si>
    <t>ج/1092 تنقل من قائمة الادوية النادرة الى قائمة الادوية الاساسية وعلى قاعدة اقل الاسعار مع (08-H00-022) ويحصر صرفها لعلاج نقص العامل العاشر on demand                                         مع التأكد من كل المعايير العالمية التي تؤيد خلو المادة من الامراض الانتقالية يتم تقدير احتياجه من قبل مراكز وشعب الامراض النزفية ويراجع من قبل لجنة الامراض النزفية و قسم تقدير الحاجة اعتمادا على اعداد المرضى المسجلين لنقص العامل العاشر( on demand ) ويطلب من
 الشركة المجهزة بتوفير الكشف عن العامل العاشر مجانا" وتكليف المركز العراقي للرصد الدوائي
 بمتابعة حالات المرضى .</t>
  </si>
  <si>
    <t>08-H00-023</t>
  </si>
  <si>
    <t xml:space="preserve">1092
ويحصر صرفها كعلاج وقائي لمرضى الهيموفيليا A   مع وجود مثبطات  على ان تكون كمية المثبطات اكثر من 5unit 
وتصرف في مراكز وشعب امراض الدم الوراثية 
وتلزم الشركة بتوفير الفحص الاتي مجانا اعتمادا على اعداد المرضى chromogenic assay for factor VIII
</t>
  </si>
  <si>
    <t>08-H00-024</t>
  </si>
  <si>
    <t>8I</t>
  </si>
  <si>
    <t>08-I00-002</t>
  </si>
  <si>
    <t>08-I00-003</t>
  </si>
  <si>
    <t>ج/1145 يعدل تركيز مادة magnesium chlorid</t>
  </si>
  <si>
    <t>9A</t>
  </si>
  <si>
    <t>9AA</t>
  </si>
  <si>
    <t>09-AA0-008</t>
  </si>
  <si>
    <t>09-AA0-009</t>
  </si>
  <si>
    <t>9AB</t>
  </si>
  <si>
    <t>09-AB0-002</t>
  </si>
  <si>
    <t>09-AB0-004</t>
  </si>
  <si>
    <t>9AD</t>
  </si>
  <si>
    <t>09-AD0-001</t>
  </si>
  <si>
    <t>ج/1178 ج\1070
ان يتم تثبيت احتياجها من قبل دائرة العيادات الطبية الشعبية ضمن قائمة الادوية المزمنة فقط</t>
  </si>
  <si>
    <t>09-AD0-002</t>
  </si>
  <si>
    <t>ج/1178</t>
  </si>
  <si>
    <t>09-AD0-028</t>
  </si>
  <si>
    <t>ج/ 1100 مضاف حديثا ضمن المستوى الاول</t>
  </si>
  <si>
    <t>9AF</t>
  </si>
  <si>
    <t>09-AF0-006</t>
  </si>
  <si>
    <t xml:space="preserve">Paediatric </t>
  </si>
  <si>
    <t>09-AF0-007</t>
  </si>
  <si>
    <t>9AG</t>
  </si>
  <si>
    <t>09-AG0-001</t>
  </si>
  <si>
    <t>1065
1012</t>
  </si>
  <si>
    <t>9B</t>
  </si>
  <si>
    <t>09-B00-025</t>
  </si>
  <si>
    <t>container</t>
  </si>
  <si>
    <t>محاليل</t>
  </si>
  <si>
    <t>(ج989)</t>
  </si>
  <si>
    <t>09-B00-023</t>
  </si>
  <si>
    <t>( 973) الجلسة    
ج/ 1100 تعديل صيغة</t>
  </si>
  <si>
    <t>09-B00-022</t>
  </si>
  <si>
    <t>ج/1099 تعديل مديات المواد الفعالة
1083</t>
  </si>
  <si>
    <t>09-B00-024</t>
  </si>
  <si>
    <t>09-B00-026</t>
  </si>
  <si>
    <t>9C</t>
  </si>
  <si>
    <t>9CA</t>
  </si>
  <si>
    <t>09-CA0-001</t>
  </si>
  <si>
    <t>9CB</t>
  </si>
  <si>
    <t>09-CB0-001</t>
  </si>
  <si>
    <t xml:space="preserve">     ( I.M use not for children &amp; adolesecent    1037ج</t>
  </si>
  <si>
    <t>9CE</t>
  </si>
  <si>
    <t>09-CE0-004</t>
  </si>
  <si>
    <t>used for renal failure patients</t>
  </si>
  <si>
    <t>09-CE0-008</t>
  </si>
  <si>
    <t>ampoule or pfs</t>
  </si>
  <si>
    <t>(in cardiac Resuscitation centers)             (1012)</t>
  </si>
  <si>
    <t>9CF</t>
  </si>
  <si>
    <t>09-CF0-001</t>
  </si>
  <si>
    <t>طريقة الزرق هي Slow I.V  بعد التخفيف , ولكن يمكن أعطاءه بزرق I.M (الزرق العضلي)الموافقة على استخدامه في المراكز الصحية للرعاية الاولية ( صالات عمليات الولادة ) والعاملة تحت اشراف طبيب اختصاص نسائية وتوليد ويمكن لدائرة الامور ا(978 ) او طبيبة نسائية ممارسة نسائية وتوليد (992)</t>
  </si>
  <si>
    <t>09-CF0-003</t>
  </si>
  <si>
    <t>ج/1086 تعديل حجم المادة</t>
  </si>
  <si>
    <t>9CG</t>
  </si>
  <si>
    <t>09-CG0-001</t>
  </si>
  <si>
    <t>ج 986</t>
  </si>
  <si>
    <t>9D</t>
  </si>
  <si>
    <t>يكون  glucose بالشكلين hydrous or anhydrous(  مع الاحتفاظ بنفس نسبة الكلوكوز المثبته )اينما وجد الكلوكوز في المحاليل الوريدية</t>
  </si>
  <si>
    <t>09-D00-021</t>
  </si>
  <si>
    <t>ج/1147 تعديل صيغة</t>
  </si>
  <si>
    <t>09-D00-062</t>
  </si>
  <si>
    <t>1042 ج/1177 تضاف المادة الى قائمة الرعاية الصحية الاولية التي لا تحتوي صالة ولادة او صالة طوارئ
1062
 ج\1071 الغاء النسب</t>
  </si>
  <si>
    <t>09-D00-063</t>
  </si>
  <si>
    <t xml:space="preserve">ج987وتحضر لغرض مزج الادوية الكيمياوية في مستشفيات ومراكز علاج الاورام وامراض الدم </t>
  </si>
  <si>
    <t>09-D00-007</t>
  </si>
  <si>
    <t xml:space="preserve"> 1179على ان يبقى تركيز الـglucose   نفسه      5% </t>
  </si>
  <si>
    <t>09-D00-011</t>
  </si>
  <si>
    <t xml:space="preserve">1179
</t>
  </si>
  <si>
    <t>09-D00-014</t>
  </si>
  <si>
    <t>1199 Label Not to be use for lactic acidosis</t>
  </si>
  <si>
    <t>09-D00-015</t>
  </si>
  <si>
    <t>ج/1199 تعديل إقرار</t>
  </si>
  <si>
    <t>09-D00-023</t>
  </si>
  <si>
    <t>09-D00-070</t>
  </si>
  <si>
    <t>Vial</t>
  </si>
  <si>
    <t>يؤخذ بنظر الاعتبار عند تثبيت ادوية السموم</t>
  </si>
  <si>
    <t>09-D00-033</t>
  </si>
  <si>
    <t>09-D00-034</t>
  </si>
  <si>
    <t xml:space="preserve">1179
    </t>
  </si>
  <si>
    <t>09-D00-035</t>
  </si>
  <si>
    <t>09-D00-045</t>
  </si>
  <si>
    <t>09-D00-067</t>
  </si>
  <si>
    <t>ج/ 1134 توضيح المادة         يثبت على العلبة Hypertonic  او توضع علامات تحذيرية على العلبة لتفريقها عن باقي المغذيات (يثبت على العلبة 3% solution)</t>
  </si>
  <si>
    <t>9E</t>
  </si>
  <si>
    <t>09-Ea0-003</t>
  </si>
  <si>
    <t>powder</t>
  </si>
  <si>
    <t xml:space="preserve"> ج/1178 مضاف حديثا</t>
  </si>
  <si>
    <t>09-Ea0-002</t>
  </si>
  <si>
    <t>09-Ea0-004</t>
  </si>
  <si>
    <t xml:space="preserve"> can</t>
  </si>
  <si>
    <t>ج/1179إعتماد تراكيز المادة المعتمدة من منظمة اليونسيف
ج/1178 مضاف حديثا</t>
  </si>
  <si>
    <t>9I</t>
  </si>
  <si>
    <t>09-I00-001</t>
  </si>
  <si>
    <t>يستخدم لعلاج ارتفاع الفوسفات عند غسل الكلية</t>
  </si>
  <si>
    <t>9F</t>
  </si>
  <si>
    <t>09-F00-007</t>
  </si>
  <si>
    <t xml:space="preserve"> ج /1009 تقر حبوب الزنك 20 ملغم كما مدرج ادناه للاطفال من 6 اشهر الى 5 سنوات و 10 ملغم للاطفال دون 6 اشهر للسيطرة على الاسهال والالتهابات التنفسية بالاضافة الى نقص النمو -هو برنامج للسيطرة على حالات الاسهال ولا يحل محل ORS (اي ليس علاج)
ج\1068</t>
  </si>
  <si>
    <t>10A</t>
  </si>
  <si>
    <t>10AA</t>
  </si>
  <si>
    <t>10-AA0-001</t>
  </si>
  <si>
    <t>10-AA0-005</t>
  </si>
  <si>
    <t xml:space="preserve">يتم ادراجه ضمن قائمة التخدير
ج/ 1098 only for  IM    </t>
  </si>
  <si>
    <t>10-AA0-011</t>
  </si>
  <si>
    <t>10-AA0-013</t>
  </si>
  <si>
    <t>10-AA0-018</t>
  </si>
  <si>
    <t>10-AA0-044</t>
  </si>
  <si>
    <t>10AC</t>
  </si>
  <si>
    <t>10-AC0-009</t>
  </si>
  <si>
    <t>يتم تقدير الحاجة والصرف من قبل العيادة الاستشارية التخصصية  الروماتيزم في  (مدينة الطب, الكرخ, بابل, كركوك, صلاح الدين, السليمانية, أربيل, دهوك, البصرة, نينوى) ويحصر صرفه للاستطباب الهضمي في(مدينة الطب, البصرة, النجف, كركوك, الكرخ,نينوى)وحسب اسماء المرضى وملفاتهم العلاجية وبأشراف لجنة من ثلاث اطباء   اختصاص امراض المفاصل .  وحسب توصية اللجنة الاستشارية لامراض المفاصل .وتضاف العبارة الى النشرة الداخلية و لاداعي لتثبيتها على الفيال او العلبة الخارجية  ج / 1027وتكون المادة الاحيائية الاصلية ( Reference Biological drug ) تّعرف بالاسم العلمي ( INN )
لايتم اعطاء العقار للعمر من (4-18 ) سنة
ج 987 / لا مانع من استخدام العقار لاعمار (من 6-17 سنة) لامراض الجهاز الهضمي
ج /579 /الاستخدامات المقرة للعقار هي:- Approved indications 
1- الرثية المفصلية Rheumahoid arthritis.
2- تشمع الصلب Ankylosing spondylitis.
3- الرثية الصدفية Psoriatic arthritis.
4-  مرض كرون والتهاب القولون التقرحي المزمن Chronic Inflammatory bowel diseases. (crohn's &amp; ulcerative colitis)
ج/1031
ج\1071 الغاء النسب</t>
  </si>
  <si>
    <t>10-AC0-011</t>
  </si>
  <si>
    <t>ج/ 1121 اضافة حجم ج/ 734
ج/  856 يتم تقدير الحاجة والصرف من قبل العيادة الاستشارية التخصصية  الروماتيزم في  (مدينة الطب, الكرخ, بابل, كركوك, صلاح الدين, السليمانية, أربيل, دهوك, البصرة, نينوى) ويحصر صرفه للاستطباب الهضمي في(مدينة الطب, البصرة)وحسب اسماء المرضى وملفاتهم العلاجية وبأشراف لجنة من ثلاث اطباء   اختصاص امراض المفاصل
.ج987 
اقرار استخدام المادة لعلاج امراض الجهاز الهضمي(chrons disease &amp; ulcerative colitis ) حصرا" وللمرضى الغير  مستجيبين ووجود موانع استخدام مادة  (infliximab) ويحصر استخدامه في مستشفى امراض الجهاز الهضمي والكبد في دائرة مدينة الطب حصرا"   
ج (1012
 ((الموافقة على اعتماد مركز امراض الجهاز الهضمي في دائرة صحة البصرة كمنفذ صرف اخر وحسب الشروط المثبتة بالجلسة 987 الخاصة بدواعي الاستخدام ولامراض الجهاز الهضمي .)  ))
1057</t>
  </si>
  <si>
    <t>00-000-00</t>
  </si>
  <si>
    <t>pfp</t>
  </si>
  <si>
    <t xml:space="preserve">1202
ولعدد 300 مريض (150مريض لكل مادة) لاستطباب الصدفية المعندة كخط ثاني او ثالث وبالمراكز الاتية:
1- دائرة مدينة الطب/ مستشفى بغداد   150 مريض  (75 مريض لكل مادة)
2- دائرة الرصافة/ مستشفى الكندي      75 مريض  (35 مريض + Risankizumab 40 مريض  Guselkumab)
3- - دائرة الكرخ/ مستشفى الكاظمية    75 مريض  (40 مريض + Risankizumab 35 مريض  Guselkumab)
2- تدخل المادتين في احتياج عام 2026
</t>
  </si>
  <si>
    <t>10-AC0-012</t>
  </si>
  <si>
    <t xml:space="preserve"> pfs OR prefilled pen OR Vial</t>
  </si>
  <si>
    <t xml:space="preserve">     يتم تقدير الحاجة والصرف من قبل العيادة الاستشارية التخصصية لامراض الروماتيزم في  (مدينة الطب, الكرخ, بابل, كركوك, صلاح الدين, السليمانية, أربيل, دهوك, البصرة, نينوى) ويحصر صرفه للاستطباب الجلدي في (مدينة الطب, الرصافة, بابل, كركوك, الكرخ, البصرة, نينوى)وحسب اسماء المرضى وملفاتهم العلاجية وبأشراف لجنة من ثلاث اطباء   اختصاص امراض المفاصل . لا يعطى للاطفال دون عمر 18 سنة  الا في حالات استثنائية,   وتضاف العبارة الى النشرة الداخلية و لاداعي لتثبيتها على الفيال او العلبة الخارجية  
</t>
  </si>
  <si>
    <t>10-AC0-010</t>
  </si>
  <si>
    <t>Vial or pfs</t>
  </si>
  <si>
    <t xml:space="preserve">     ي     يتم تقدير الحاجة والصرف من قبل العيادة الاستشارية التخصصية لامراض الروماتيزم في  (مدينة الطب, الكرخ, بابل, كركوك, صلاح الدين, السليمانية, أربيل, دهوك, البصرة, نينوى) ويحصر صرفه للاستطباب الجلدي في (مدينة الطب, الرصافة, بابل, كركوك, الكرخ, البصرة, نينوى) وحسب اسماء المرضى وملفاتهم العلاجية وبأشراف لجنة من ثلاث اطباء   اختصاص امراض المفاصل . لا يعطى للاطفال دون عمر 18 سنة  الا في حالات استثنائية,   وتضاف العبارة الى النشرة الداخلية و لاداعي لتثبيتها على الفيال او العلبة الخارجية  
(</t>
  </si>
  <si>
    <t>10-AC0-029</t>
  </si>
  <si>
    <t xml:space="preserve"> PFS </t>
  </si>
  <si>
    <t>ج/1140 مضاف حديثا      ويحصر استخدامها للاستطباب Ankylosing spondylitis كخط ثاني بعد فشل استخدام علاجات الTNF لمدة 6 اشهر وتلزم الشركة المجهزة للعلاج بتوفير فحص IGRA مجاناً وحسب اعداد المرضى</t>
  </si>
  <si>
    <t>10-AC0-026</t>
  </si>
  <si>
    <t xml:space="preserve">pfs  </t>
  </si>
  <si>
    <t xml:space="preserve">ج/1122 مضاف حديثا  ويحدد صرفها لعلاج
moderately to severely active Crohn’s disease  و moderate to severe psoriasis بعد فشل العلاجات البايولوجية المقرة سابقا لهذا الغرض, ويحدد صرفها في دائرة مدينة الطب فقط.تلتزم الشركة المصنعه للماده انفا بالاستمرار بتوفير العلاج بشكل مجاني للمرضى المستخدمين للعلاج حاليا لحين توفيره من قبل كيماديا وحسب ضوابط الاقرار المشروط
</t>
  </si>
  <si>
    <t>10-AC0-027</t>
  </si>
  <si>
    <t>ج/1122 مضاف حديثا  ويحدد صرفها لعلاج   
  moderately to severely active Crohn’s diseaseبعد فشل العلاجات البايولوجية المقرة سابقا لهذا الغرض, ويحدد صرفها في دائرة مدينة الطب فقط.
تلتزم الشركة المصنعه للماده انفا بالاستمرار بتوفير العلاج بشكل مجاني للمرضى المستخدمين للعلاج حاليا لحين توفيره من قبل كيماديا وحسب ضوابط الاقرار المشروط</t>
  </si>
  <si>
    <t>10-AC0-033</t>
  </si>
  <si>
    <t>ج/1153  مضاف حديثاً             
-يحصر استخدامها للاستطبابات (( Rheumatoid arthritis , ankylosing spondylitis &amp; psoriatic arthritis   وبنسبة لا تتجاوز ال 10% وتستقطع من احتياج علاجات ال TNF I ( Adalimumab , Infliximab , Etanercept) لاستطبابات المفاصل الرومتايزمية فقط , ويثبت الاحتياج من قبل اللجنة الاستشارية سنوياً
-استمرار الشركة المصنعة بتزويد المرضى  المشاركين بالدراسة (23) مريض بالعلاج لحين توفيره من قبل الشركة العامة لتسويق الادوية 
- تلتزم الشركة بتوفير IGRA test screening for TB وحسب اعداد المرضى  المحددين من قبل اللجنة الاستشارية وبواقع فحصين لكل مريض سنوياً 
 يعاد النظر في القرار بعد سنة</t>
  </si>
  <si>
    <t>10B</t>
  </si>
  <si>
    <t>10-B00-001</t>
  </si>
  <si>
    <t>10-B00-003</t>
  </si>
  <si>
    <t>10C</t>
  </si>
  <si>
    <t>10CA</t>
  </si>
  <si>
    <t>10CAa</t>
  </si>
  <si>
    <t>10-CAa-004</t>
  </si>
  <si>
    <t xml:space="preserve">Ampoule </t>
  </si>
  <si>
    <t xml:space="preserve">ج 1129 يكون 10% من احتياجها للمادة Sugammadex ذات الرمز الوطني 14-AC0-017.  تكون طريقة الزرق I.V,I.M,S.C على ان يعطى وريديا(I.V)في حالة التخدير و (I.M,S.C) في حالة وهن العضلات الوبيل وادرج  ضمن قائمة ادوية التخدير (انظر ملاحظة  Sugammadex  )         -Reversal of Rocuronium&amp;Vecuronium. -used in case when prostigmine:- a. Cannot be used . Or b. Can be used with sever side effect .  </t>
  </si>
  <si>
    <t>14-AC0-017</t>
  </si>
  <si>
    <t xml:space="preserve">ج/ 1129تحول الى المستوى الاول ويحدد احتياجها بنسبة 10% من احتياج  Neostigmineذات الرمز الوطني                               10-CAa-004         Presently it's need not more than 10% of  prostigmine(neostigmin) need.        -Reversal of Rocuronium&amp;Vecuronium. -used in case when prostigmine:- a. Cannot be used . Or b. Can be used with sever side effect .  </t>
  </si>
  <si>
    <t>10-CAa-007</t>
  </si>
  <si>
    <t>11A</t>
  </si>
  <si>
    <t>11-A00-001</t>
  </si>
  <si>
    <t>11-A00-003</t>
  </si>
  <si>
    <t>11-A00-005</t>
  </si>
  <si>
    <t xml:space="preserve">ج/ 1136 تصرف في   المراكز الصحية التي تقدم خدمة ( الصحة العينية المجتمعية ) فقط و تصرف من قبل طبيب عيون اختصاص او مدرب على برنامج الصحة العينية المجتمعية و لا تصرف في حال لم تتوفر فيها الخدمة المذكورة انفا    يبقى اقرار المادة Ciprofloxacin as Hcl   فقط  </t>
  </si>
  <si>
    <t>11-A00-009</t>
  </si>
  <si>
    <t>ج/ 1136 تصرف في   المراكز الصحية التي تقدم خدمة ( الصحة العينية المجتمعية ) فقط و تصرف من قبل طبيب عيون اختصاص او مدرب على برنامج الصحة العينية المجتمعية و لا تصرف في حال لم تتوفر فيها الخدمة المذكورة انفا</t>
  </si>
  <si>
    <t>11-A00-010</t>
  </si>
  <si>
    <t>11-A00-022</t>
  </si>
  <si>
    <t>ج/ 1129 يحصر في مراكز الرعاية الصحية الاولية وفي المستشفيات التي تحتوي على صالات ولادة          ج/ 1043
1082 
يحصر في مراكز الرعاية الصحية الاولية</t>
  </si>
  <si>
    <t>11B</t>
  </si>
  <si>
    <t>11BA</t>
  </si>
  <si>
    <t>11-BA0-003</t>
  </si>
  <si>
    <t>ج/ 1127 توضيح المادة          1073</t>
  </si>
  <si>
    <t>11BC</t>
  </si>
  <si>
    <t>11-BC0-011</t>
  </si>
  <si>
    <t>11-BC0-001</t>
  </si>
  <si>
    <t>11C</t>
  </si>
  <si>
    <t>11-C00-001</t>
  </si>
  <si>
    <t>11-C00-010</t>
  </si>
  <si>
    <t>11D</t>
  </si>
  <si>
    <t>11-D00-001</t>
  </si>
  <si>
    <t>1100
1043</t>
  </si>
  <si>
    <t>11-D00-022</t>
  </si>
  <si>
    <t>11-D00-026</t>
  </si>
  <si>
    <t xml:space="preserve">ج/ 1119  ترفع المادة الى المستوى الثاني </t>
  </si>
  <si>
    <t>11-D00-027</t>
  </si>
  <si>
    <t>11E</t>
  </si>
  <si>
    <t>11-E00-023</t>
  </si>
  <si>
    <t>ج/ 1136تحذف المادة من قوائم الرعاية الصحية الاولية</t>
  </si>
  <si>
    <t>11-E00-011</t>
  </si>
  <si>
    <t>11EA</t>
  </si>
  <si>
    <t xml:space="preserve">  يصرف في المستشفيات التعليمية فقط من قبل اخصائيين من حملة اعلى الشهادات في حقل الاختصاص(1001 ج) و يحصر استخدامها في عيادات امراض الشبكية في المستشفيات التعليمية فقط</t>
  </si>
  <si>
    <t>11-EA0-004</t>
  </si>
  <si>
    <t xml:space="preserve">ج/ 1203ج/ 1120 تكون نسبةBevacizumab 100 mg )  )60% من الاحتياج ونسبة (40% ) لمادتي
 ( Ranibizumab&amp;Aflibercept ) على ان تكون (30% ) للاقل سعرا" خلال الجرعة السنوية و (10% ) المتبقية للاعلى ىسعرا" ( خلال الجرعة السنوية )
يحصر صرفه في العيادات التخصصية لقص السائل الزجاجي و امراض شبكية العيون ( الرصافة, نينوى, مدينة الطب, البصرة , كركوك, النجف, كربلاء, إبن سينا) قاعدة اقل الاسعار 
ج/1025
</t>
  </si>
  <si>
    <t>11-EA0-001</t>
  </si>
  <si>
    <t>vial or pfs</t>
  </si>
  <si>
    <t xml:space="preserve">1203
1120
ج/1025
ج\1071
1204
60% تكون نسبة 
 Bevacizumab 100 mg )   لمادة
 من الاحتياج
 ونسبة (40% ) للمواد
وحسب قاعدة اقل الاسعار ( Ranibizumab &amp; Aflibercept &amp; Faricimab) 
على  ان تكون (30% ) للاقل سعرا" 
 و%10
 للمادة الثاني الاقل سعرا من الاثنين المتبقية
 </t>
  </si>
  <si>
    <t>15-AF0-043</t>
  </si>
  <si>
    <t xml:space="preserve">
ج/ 1120 تكون نسبةBevacizumab 100 mg )  )60% من الاحتياج ونسبة (40% ) لمادتي
 ( Ranibizumab&amp;Aflibercept ) على ان تكون (30% ) للاقل سعرا" خلال الجرعة السنوية و (10% ) المتبقية للاعلى ىسعرا" ( خلال الجرعة السنوية )          ويحصر استخدامها لامراض شبكية العيون وفق البروتوكول العلاجي المقر سابقا" .
ج\1088</t>
  </si>
  <si>
    <t xml:space="preserve">
1204
60% تكون نسبة 
 Bevacizumab 100 mg )   لمادة
 من الاحتياج
 ونسبة (40% ) للمواد
وحسب قاعدة اقل الاسعار ( Ranibizumab &amp; Aflibercept &amp; Faricimab) 
على  ان تكون (30% ) للاقل سعرا" 
 و%10
 للمادة الثاني الاقل سعرا من الاثنين المتبقية
 </t>
  </si>
  <si>
    <t>12B</t>
  </si>
  <si>
    <t>12-B00-002</t>
  </si>
  <si>
    <t xml:space="preserve">spray </t>
  </si>
  <si>
    <t>12-B00-024</t>
  </si>
  <si>
    <t>13B</t>
  </si>
  <si>
    <t>13-B00-002</t>
  </si>
  <si>
    <t>13C</t>
  </si>
  <si>
    <t>13-C00-007</t>
  </si>
  <si>
    <t>13-C00-002</t>
  </si>
  <si>
    <t>13D</t>
  </si>
  <si>
    <t>13-D00-038</t>
  </si>
  <si>
    <t>ج/1170 تعديل الاقرار</t>
  </si>
  <si>
    <t>13-D00-016</t>
  </si>
  <si>
    <t>(by prescription of sp.only)</t>
  </si>
  <si>
    <t>13-D00-044</t>
  </si>
  <si>
    <t>13E</t>
  </si>
  <si>
    <t>15-B00-092</t>
  </si>
  <si>
    <t>13F</t>
  </si>
  <si>
    <t>13-F00-005</t>
  </si>
  <si>
    <t>ج/ 1084ج/ 1079</t>
  </si>
  <si>
    <t>13-F00-010</t>
  </si>
  <si>
    <t>13G</t>
  </si>
  <si>
    <t>13-G00-004</t>
  </si>
  <si>
    <t>13-G00-016</t>
  </si>
  <si>
    <t>13-G00-015</t>
  </si>
  <si>
    <t>13H</t>
  </si>
  <si>
    <t>13-H00-124</t>
  </si>
  <si>
    <t xml:space="preserve">5 liter </t>
  </si>
  <si>
    <t>ج/ 1201 مضاف حديثاً</t>
  </si>
  <si>
    <t>13-H00-009</t>
  </si>
  <si>
    <t>07-C00-028</t>
  </si>
  <si>
    <t xml:space="preserve">1 liter </t>
  </si>
  <si>
    <t>13-H00-012</t>
  </si>
  <si>
    <t xml:space="preserve">1059   1201 </t>
  </si>
  <si>
    <t>13-H00-101</t>
  </si>
  <si>
    <t>13-H00-016</t>
  </si>
  <si>
    <t>13-H00-125</t>
  </si>
  <si>
    <t>13-H00-126</t>
  </si>
  <si>
    <t>13-H00-127</t>
  </si>
  <si>
    <t>13-H00-128</t>
  </si>
  <si>
    <t>13-H00-129</t>
  </si>
  <si>
    <t>13-H00-130</t>
  </si>
  <si>
    <t>13-H00-131</t>
  </si>
  <si>
    <t>13J</t>
  </si>
  <si>
    <t>13-J00-001</t>
  </si>
  <si>
    <t>13K</t>
  </si>
  <si>
    <t>13-K00-006</t>
  </si>
  <si>
    <t>13-K00-005</t>
  </si>
  <si>
    <t>ج 1006</t>
  </si>
  <si>
    <t>14A</t>
  </si>
  <si>
    <t>14AA</t>
  </si>
  <si>
    <t>14-AA0-036</t>
  </si>
  <si>
    <t>14-AA0-043</t>
  </si>
  <si>
    <t xml:space="preserve"> 1033ج/1178  
(( الافضلية للمستحضر الذي يحتوي على مادة حافظة ))</t>
  </si>
  <si>
    <t>14AB</t>
  </si>
  <si>
    <t>14-AB0-009</t>
  </si>
  <si>
    <t xml:space="preserve">أحتياج واحد يقسم الى 80% isoflorane و الى  20%  sevoflorane على ان تجهز في وقت واحد ويخصص sevoflorane لعمليات الاطفال والحالات التي لا يمكن فيها استخدام isoflorane </t>
  </si>
  <si>
    <t>14-AB0-011</t>
  </si>
  <si>
    <t>1161
احتياج واحد يقسم الى
 80% Isoflurane 
و 20%Sevoflurane 
على ان تجهز في وقت
 واحد
ويخصص sevoflorane لعمليات الاطفال والحالات التي لايمكن فيها استخدام Isoflorane
ج\1072</t>
  </si>
  <si>
    <t>14-AB0-010</t>
  </si>
  <si>
    <t>cylinder</t>
  </si>
  <si>
    <t>14AC</t>
  </si>
  <si>
    <t>14-AC0-008</t>
  </si>
  <si>
    <t xml:space="preserve">ج/1178 ج/1161 احتياج واحد يقسم الى 50% Atracurium والى 50% Rocuronium على ان تجهز في وقت واحد  </t>
  </si>
  <si>
    <t>14-AC0-011</t>
  </si>
  <si>
    <t>1161
1182
احتياج واحد يقسم الى 
50%Atracurium
و50%Rocuronium 
على ان تجهز في وقت واحد
ج\1073</t>
  </si>
  <si>
    <t>14-AC0-012</t>
  </si>
  <si>
    <t>14AD</t>
  </si>
  <si>
    <t>14-AD0-029</t>
  </si>
  <si>
    <t>14-AD0-034</t>
  </si>
  <si>
    <t>14-AD0-032</t>
  </si>
  <si>
    <t>14B</t>
  </si>
  <si>
    <t>14-B00-055</t>
  </si>
  <si>
    <t>ج/1147 تعديل صيغة ج/ 1121 تعديل طرق الاعطاء تستعمل في الطوارئ و الجراحة العامة 
( يفضل I.V , I.M  ) 1050</t>
  </si>
  <si>
    <t>07-E00-010</t>
  </si>
  <si>
    <t>ج/1147 تعديل صيغة ج/1042
يصرف من قبل طبيب الاسنان واقسام التخدير .</t>
  </si>
  <si>
    <t>14-B00-038</t>
  </si>
  <si>
    <t xml:space="preserve">   ملاحظة:تستعمل المادة للزرق داخل القناة الشوكية وتحت مستوى الحبل الشوكي (نهايته) Spinal anesthesia وليس عن  طريق spinal cord </t>
  </si>
  <si>
    <t>14-B00-023</t>
  </si>
  <si>
    <r>
      <rPr>
        <sz val="12"/>
        <color indexed="13"/>
        <rFont val="Helvetica"/>
      </rPr>
      <t>ج/ 1121 تعديل طرق الاعطاء</t>
    </r>
    <r>
      <rPr>
        <sz val="12"/>
        <color indexed="8"/>
        <rFont val="Helvetica"/>
      </rPr>
      <t xml:space="preserve"> تستعمل في الطوارئ و الجراحة العامة 
</t>
    </r>
    <r>
      <rPr>
        <sz val="12"/>
        <color indexed="8"/>
        <rFont val="Helvetica"/>
      </rPr>
      <t>( يفضل I.V , I.M  ) 1050</t>
    </r>
  </si>
  <si>
    <t>14-B00-015</t>
  </si>
  <si>
    <t>carpule</t>
  </si>
  <si>
    <t>14-B00-040</t>
  </si>
  <si>
    <t xml:space="preserve">  ج 1009</t>
  </si>
  <si>
    <t>14-B00-044</t>
  </si>
  <si>
    <t xml:space="preserve">ج/1147 تعديل صيغة ج/ 1121 تعديل طرق الاعطاء </t>
  </si>
  <si>
    <t>14C</t>
  </si>
  <si>
    <t>14-C00-001</t>
  </si>
  <si>
    <t>14-DB0-002</t>
  </si>
  <si>
    <t>14-DB0-004</t>
  </si>
  <si>
    <t>ج/1149 تضاف المادة الى قوائم الرعاية الصحية الاولية وتستخدم في ALLERGIC DISORDERS  ج1012</t>
  </si>
  <si>
    <t>14-DB0-003</t>
  </si>
  <si>
    <t>1092
وتصرف في جميع المؤسسات الصحية بالاضافة الى مراكز السموم</t>
  </si>
  <si>
    <t>14D</t>
  </si>
  <si>
    <t>14DA</t>
  </si>
  <si>
    <t>14-DA0-001</t>
  </si>
  <si>
    <t>ج 986 ج 1015</t>
  </si>
  <si>
    <t>تخدير</t>
  </si>
  <si>
    <t>14DB</t>
  </si>
  <si>
    <t>15B</t>
  </si>
  <si>
    <t>15-B00-027</t>
  </si>
  <si>
    <t>ج 1108 الخط الاول و يحصر  في (الكرخ, مدينة الطب -صحة بغداد الرصافة,نينوى,البصرة ,دهوك ,اربيل, سليمانية,النجف ,كربلاء, واسط,كركوك, بابل )
 ج986  
ج/986   تكون نسية العلاج 10% من عدد المرضى 
1085 تعديل الشكل الصيدلاني على ان يتم توفير الارخص سعرا بعد حذف الكود 15-B00-083</t>
  </si>
  <si>
    <t xml:space="preserve">15-B00-051 </t>
  </si>
  <si>
    <t xml:space="preserve">ج/986   تكون نسية العلاج 70% من عدد المرضى الخط الاول و يحصر  في (الكرخ, مدينة الطب -صحة بغداد الرصافة,نينوى,البصرة ,دهوك ,اربيل, سليمانية,النجف ,كربلاء, واسط,كركوك, بابل ,الديوانية) ج986 ج 1001 
</t>
  </si>
  <si>
    <t>15-B00-037</t>
  </si>
  <si>
    <t xml:space="preserve">ج/1108                             الخط الاول و يحصر  في (الكرخ, مدينة الطب -صحة بغداد الرصافة,نينوى,البصرة ,دهوك ,اربيل, سليمانية,النجف ,كربلاء, واسط,كركوك, بابل )
ج986 
ج/986   تكون نسية العلاج 20% من عدد المرضى </t>
  </si>
  <si>
    <t>15-B00-081</t>
  </si>
  <si>
    <t>inj</t>
  </si>
  <si>
    <r>
      <rPr>
        <sz val="12"/>
        <color indexed="8"/>
        <rFont val="Helvetica"/>
      </rPr>
      <t xml:space="preserve">الخط الثاني ويحصر صرفه  في (دائرة مدينة الطب ,اربيل ,النجف, الرصافة, البصرة , نينوى,بابل)                                  </t>
    </r>
  </si>
  <si>
    <t>15-B00-120</t>
  </si>
  <si>
    <r>
      <rPr>
        <sz val="12"/>
        <color indexed="8"/>
        <rFont val="Helvetica"/>
      </rPr>
      <t xml:space="preserve">1097الخط الثاني ويحصر صرفه  في (دائرة مدينة الطب ,اربيل ,النجف, الرصافة, البصرة , نينوى,بابل) 
</t>
    </r>
    <r>
      <rPr>
        <sz val="12"/>
        <color indexed="8"/>
        <rFont val="Helvetica"/>
      </rPr>
      <t>ويحصر استخدامها لعلاج حالة PPMS الخط الثاني</t>
    </r>
  </si>
  <si>
    <t>15-B00-126</t>
  </si>
  <si>
    <t>tab</t>
  </si>
  <si>
    <r>
      <rPr>
        <sz val="12"/>
        <color indexed="8"/>
        <rFont val="Helvetica"/>
      </rPr>
      <t xml:space="preserve">ج/ 1127 مضاف حديثا </t>
    </r>
    <r>
      <rPr>
        <sz val="12"/>
        <color indexed="13"/>
        <rFont val="Helvetica"/>
      </rPr>
      <t>ج/1138 ويحدد صرفها لعلاج حالات ( RRMS) كخط اول وبنسبة 10% من المجموع الكلي لمرضى تصلب الاعصاب المستخدمين لادوية الخط الاول</t>
    </r>
  </si>
  <si>
    <t>16A</t>
  </si>
  <si>
    <t>تعديل مستويات اللقاحات بالجلسة 1032
ج\1074</t>
  </si>
  <si>
    <t>16-A00-002</t>
  </si>
  <si>
    <t>لقاحات</t>
  </si>
  <si>
    <t xml:space="preserve">ج/1146 يكون 75% من الاحتياج الكلي السنوي من اللقاح بجرعة بجرعة (10 doses)
يكون 25% من الاحتياج الكلي السنوي من اللقاح بجرعة واحدة (single dose ) ج/1024
</t>
  </si>
  <si>
    <t>16-A00-005</t>
  </si>
  <si>
    <t xml:space="preserve">ج/ 1143 مضاف حديثا ج/1146 يكون 25% من الاحتياج الكلي السنوي من اللقاح بجرعة  (single dose ) </t>
  </si>
  <si>
    <t>16-A00-003</t>
  </si>
  <si>
    <t>1201
توفر مجانا
(16-A00-043) مع اللقاح بالرمز الوطني</t>
  </si>
  <si>
    <t>16-A00-004</t>
  </si>
  <si>
    <t>16-A00-007</t>
  </si>
  <si>
    <t>16-A00-011</t>
  </si>
  <si>
    <t>ج/ 1178  ج/1155 تعديل المادة</t>
  </si>
  <si>
    <t>16-A00-012</t>
  </si>
  <si>
    <t xml:space="preserve"> syringe</t>
  </si>
  <si>
    <t xml:space="preserve">احتياج واحد </t>
  </si>
  <si>
    <t>16-A00-049</t>
  </si>
  <si>
    <t>16-A00-014</t>
  </si>
  <si>
    <t xml:space="preserve">ج\1069
</t>
  </si>
  <si>
    <t>16-A00-020</t>
  </si>
  <si>
    <t>16-A00-021</t>
  </si>
  <si>
    <t>16-A00-023</t>
  </si>
  <si>
    <t>ج/1188 اضافة شكل صيدلاني</t>
  </si>
  <si>
    <t>16-A00-024</t>
  </si>
  <si>
    <t>ج/ 1178 ج /1024
ج/1029</t>
  </si>
  <si>
    <t>16-A00-028</t>
  </si>
  <si>
    <t xml:space="preserve">ج\1071
1083  </t>
  </si>
  <si>
    <t>16-A00-031</t>
  </si>
  <si>
    <t>16-A00-037</t>
  </si>
  <si>
    <t>16-A00-038</t>
  </si>
  <si>
    <t>16-A00-039</t>
  </si>
  <si>
    <t xml:space="preserve">احتياج واحـــــــــــــد </t>
  </si>
  <si>
    <t>16-A00-046</t>
  </si>
  <si>
    <t>16-A00-040</t>
  </si>
  <si>
    <t>16-A00-043</t>
  </si>
  <si>
    <t>1201
يتم توفير المادة بالرمز الوطني 
(16-A00-003) 
مجانا</t>
  </si>
  <si>
    <t>16-A00-048</t>
  </si>
  <si>
    <t>16-A00-051</t>
  </si>
  <si>
    <t xml:space="preserve">احتياج مشترك         931                   </t>
  </si>
  <si>
    <t>16-A00-052</t>
  </si>
  <si>
    <t>16-A00-055</t>
  </si>
  <si>
    <t>16-A00-019</t>
  </si>
  <si>
    <t>16-A00-058</t>
  </si>
  <si>
    <t xml:space="preserve"> لقاح شلل الاطفال ثنائي النمط         </t>
  </si>
  <si>
    <t>16B</t>
  </si>
  <si>
    <t>16-B00-004</t>
  </si>
  <si>
    <t>ج986 , ج988
1027</t>
  </si>
  <si>
    <t>16-B00-033</t>
  </si>
  <si>
    <t xml:space="preserve"> bottle</t>
  </si>
  <si>
    <r>
      <rPr>
        <sz val="12"/>
        <color indexed="13"/>
        <rFont val="Helvetica"/>
      </rPr>
      <t xml:space="preserve">ج/ 1197  </t>
    </r>
    <r>
      <rPr>
        <sz val="12"/>
        <color indexed="8"/>
        <rFont val="Helvetica"/>
      </rPr>
      <t xml:space="preserve">    ج/ 1126 يضاف الاستطباب   chronic inflammatory demyelinating polyneuropathy CIDPالى الاستطبابات المقرة سابقا         مراعاة الشركة المصنعة بتوفير الشروط (995)
</t>
    </r>
    <r>
      <rPr>
        <sz val="12"/>
        <color indexed="8"/>
        <rFont val="Helvetica"/>
      </rPr>
      <t>تثبيت الاستطبابات وحسب الجلسة 1071</t>
    </r>
  </si>
  <si>
    <t>امراض دم سريرية</t>
  </si>
  <si>
    <t>17-000-001</t>
  </si>
  <si>
    <t xml:space="preserve">تكون خاص بوحدات العناية المركزة ووحدات الطوارئ ومراكز السموم </t>
  </si>
  <si>
    <t>17-000-053</t>
  </si>
  <si>
    <t xml:space="preserve">                  احتياج طويل الامد (2022-2026)    يتم تثبيت الاحتياج من قبل المركز الاستشاري  (1012)لاستعلامات السموم + ذي قار                          </t>
  </si>
  <si>
    <t>17-000-014</t>
  </si>
  <si>
    <t>Kit</t>
  </si>
  <si>
    <t xml:space="preserve">      احتياج طويل الامد (2022-2026)       يتم تثبيت الاحتياج من قبل المركز الاستشاري لاستعلامات السموم + ذي قار</t>
  </si>
  <si>
    <t>17-000-015</t>
  </si>
  <si>
    <r>
      <rPr>
        <sz val="12"/>
        <color indexed="13"/>
        <rFont val="Helvetica"/>
      </rPr>
      <t xml:space="preserve">ج/ 1196
</t>
    </r>
    <r>
      <rPr>
        <sz val="12"/>
        <color indexed="13"/>
        <rFont val="Helvetica"/>
      </rPr>
      <t xml:space="preserve">لوجود حاجة فعلية واعداد المرضى محدودة نسبيا لهذه الاستطبابات ولكون المادة تنتج وطنيا لامانع من اضافه الاستطبابات اعلاه
</t>
    </r>
    <r>
      <rPr>
        <sz val="12"/>
        <color indexed="13"/>
        <rFont val="Helvetica"/>
      </rPr>
      <t xml:space="preserve">- Myelodysplastic syndrome
</t>
    </r>
    <r>
      <rPr>
        <sz val="12"/>
        <color indexed="13"/>
        <rFont val="Helvetica"/>
      </rPr>
      <t xml:space="preserve">- Aplastic anemia 
</t>
    </r>
    <r>
      <rPr>
        <sz val="12"/>
        <color indexed="13"/>
        <rFont val="Helvetica"/>
      </rPr>
      <t xml:space="preserve">- Mylofibrosis     </t>
    </r>
    <r>
      <rPr>
        <sz val="12"/>
        <color indexed="8"/>
        <rFont val="Helvetica"/>
      </rPr>
      <t xml:space="preserve">       يتم تثبيت الاحتياج للدوائر التي تحتوي مراكز للثلاسيميا </t>
    </r>
  </si>
  <si>
    <t>17-000-017</t>
  </si>
  <si>
    <t xml:space="preserve">   ج/1144 تعديل التركيز           يتم تثبيت الاحتياج من قبل وحدات المناطرة الدوائية التابعة لشعبة الصيدلة السريرية -تم اضافته الى قائمة ادوية الطوارئ ويتم توفيره في كافة المستشفيات الحاوية على ردهة طوارئ (كتاب قسم الصيدلة 3387 في 6/10/2019)</t>
  </si>
  <si>
    <t>17-000-018</t>
  </si>
  <si>
    <t xml:space="preserve">   احتياج طويل الامد (2022-2026)  يتم تثبيت الاحتياج من قبل المركز الاستشاري لاستعلامات السموم + ذي قار</t>
  </si>
  <si>
    <t>17-000-031</t>
  </si>
  <si>
    <t xml:space="preserve">ampoule or vial </t>
  </si>
  <si>
    <t xml:space="preserve">         احتياج طويل الامد (2022-2026)    يتم تثبيت الاحتياج من قبل المركز الاستشاري لاستعلامات السموم حصرا + ذي قار</t>
  </si>
  <si>
    <t>17-000-034</t>
  </si>
  <si>
    <t>تم اضافته الى قائمة ادوية الطوارئ ويتم توفيره في كافة المستشفيات الحاوية على ردهة طوارئ (كتاب قسم الصيدلة 3387 في 6/10/2019)</t>
  </si>
  <si>
    <t>17-000-077</t>
  </si>
  <si>
    <t xml:space="preserve">    احتياج طويل الامد (2022-2026)  يتم تثبيت الاحتياج من قبل المركز الاستشاري لاستعلامات السموم + ذي قار</t>
  </si>
  <si>
    <t>17-000-039</t>
  </si>
  <si>
    <t>17-000-041</t>
  </si>
  <si>
    <t>17-000-043</t>
  </si>
  <si>
    <t>17-000-052</t>
  </si>
  <si>
    <t>17-000-046</t>
  </si>
  <si>
    <t>10-D00-005</t>
  </si>
  <si>
    <t>يؤخذ بنظر الاعتبار قائمة ادوية التخدير 
 والسموم
ج\1088</t>
  </si>
  <si>
    <t>17-000-071</t>
  </si>
  <si>
    <r>
      <rPr>
        <sz val="12"/>
        <color indexed="8"/>
        <rFont val="Helvetica"/>
      </rPr>
      <t xml:space="preserve">     </t>
    </r>
    <r>
      <rPr>
        <sz val="12"/>
        <color indexed="13"/>
        <rFont val="Helvetica"/>
      </rPr>
      <t xml:space="preserve">ج/1196
</t>
    </r>
    <r>
      <rPr>
        <sz val="12"/>
        <color indexed="13"/>
        <rFont val="Helvetica"/>
      </rPr>
      <t xml:space="preserve">لوجود حاجة فعلية واعداد المرضى محدودة نسبيا لهذه الاستطبابات ولكون المادة تنتج وطنيا لامانع من اضافه الاستطبابات اعلاه
</t>
    </r>
    <r>
      <rPr>
        <sz val="12"/>
        <color indexed="13"/>
        <rFont val="Helvetica"/>
      </rPr>
      <t xml:space="preserve">- Myelodysplastic syndrome
</t>
    </r>
    <r>
      <rPr>
        <sz val="12"/>
        <color indexed="13"/>
        <rFont val="Helvetica"/>
      </rPr>
      <t xml:space="preserve">- Aplastic anemia 
</t>
    </r>
    <r>
      <rPr>
        <sz val="12"/>
        <color indexed="13"/>
        <rFont val="Helvetica"/>
      </rPr>
      <t>- Mylofibrosis</t>
    </r>
    <r>
      <rPr>
        <sz val="12"/>
        <color indexed="8"/>
        <rFont val="Helvetica"/>
      </rPr>
      <t xml:space="preserve"> 
</t>
    </r>
    <r>
      <rPr>
        <sz val="12"/>
        <color indexed="8"/>
        <rFont val="Helvetica"/>
      </rPr>
      <t xml:space="preserve">   يتم تثبيت الاحتياج للدوائر التي تحتوي مراكز للثلاسيميا  توفير كبضاعة مجانية (FOC)  (125 ملغم Defrasirox )كونها تعتبر جرع تكميلية  بنسبة 25% من احتياج تركيز (500 ملغم Defrasirox )
</t>
    </r>
    <r>
      <rPr>
        <sz val="12"/>
        <color indexed="8"/>
        <rFont val="Helvetica"/>
      </rPr>
      <t xml:space="preserve">ج987 
</t>
    </r>
  </si>
  <si>
    <t>17-000-020</t>
  </si>
  <si>
    <t xml:space="preserve">  احتياج طويل الامد (2022-2026)  يتم تثبيت الاحتياج من قبل المركز الاستشاري لاستعلامات السموم حصرا + ذي قار
+مستشفى بغداد التعليمي/ شعبة امراض الدم وحسب دواعي الاستخدام المثبتة
1038ج/</t>
  </si>
  <si>
    <t>17-000-016</t>
  </si>
  <si>
    <t xml:space="preserve">  احتياج طويل الامد (2022-2026)  يتم تثبيت الاحتياج من قبل المركز الاستشاري لاستعلامات السموم حصرا + ذي قار</t>
  </si>
  <si>
    <t>17-000-033</t>
  </si>
  <si>
    <t xml:space="preserve"> Ampoule </t>
  </si>
  <si>
    <t>17-000-028</t>
  </si>
  <si>
    <t>Ampoule or Pfs, vial</t>
  </si>
  <si>
    <t xml:space="preserve">    مع الاخذ بنظر الاعتبار استخدامه ضمن قائمة التخدير و قائمة السموم
1039</t>
  </si>
  <si>
    <t>17-000-006</t>
  </si>
  <si>
    <t xml:space="preserve"> vial or ampoule</t>
  </si>
  <si>
    <t>02-M00-001</t>
  </si>
  <si>
    <t>يؤخذ بنظر الاعتبار استخدامه في الجهاز الهضمي</t>
  </si>
  <si>
    <t>17-000-076</t>
  </si>
  <si>
    <t>1030                           ج/1116 ترفع المادة الى المستوى الاول</t>
  </si>
  <si>
    <t>17-000-027</t>
  </si>
  <si>
    <t xml:space="preserve">احتياج طويل الامد (2022-2026) ج/ 1116 يرفع الى المستوى الاول  ج/ 1101 يرفع الى المستوى الثاني   يتم تثبيت الاحتياج من قبل المركز الاستشاري لاستعلامات السموم+ ذي قار    التأكيد على استخدام مرشح  (STERILE FILTER)بقياس (0.45micron) </t>
  </si>
  <si>
    <t>17-000-056</t>
  </si>
  <si>
    <t xml:space="preserve"> Tablet   </t>
  </si>
  <si>
    <t>ج/1154 تحول المادةمن المستوى الثالث الى المستوى الثاني في القائمة الاساسية</t>
  </si>
  <si>
    <t>18-000-002</t>
  </si>
  <si>
    <t>18-000-010</t>
  </si>
  <si>
    <t>ج/ 987ج/988قاعدة اقل الاسعار مع 
18-000-008</t>
  </si>
  <si>
    <t>18-000-008</t>
  </si>
  <si>
    <t xml:space="preserve">ج/988قاعدة اقل الاسعار مع 
18-000-010                    (دوائر الصحة التي لديها جهاز رنين ) </t>
  </si>
  <si>
    <t>18-000-007</t>
  </si>
  <si>
    <t xml:space="preserve">ج/988قاعدة اقل الاسعار مع 
18-000-059
    (دوائر الصحة التي لديها جهاز رنين )                                    </t>
  </si>
  <si>
    <t>18-000-059</t>
  </si>
  <si>
    <t>ج/988قاعدة اقل الاسعار مع 
18-000-007</t>
  </si>
  <si>
    <t>18-000-019</t>
  </si>
  <si>
    <r>
      <rPr>
        <sz val="12"/>
        <color indexed="13"/>
        <rFont val="Helvetica"/>
      </rPr>
      <t>ج/ 1202فصل قاعدة اقل الاسعار ووتحذف المادتين بالرمز الوطني ( 18-000-075) و ( 18-000-072)  من القائمة الاساسية</t>
    </r>
    <r>
      <rPr>
        <sz val="12"/>
        <color indexed="8"/>
        <rFont val="Helvetica"/>
      </rPr>
      <t xml:space="preserve">  ج/1178 ج/1158  (ج 972 )</t>
    </r>
  </si>
  <si>
    <t>23B</t>
  </si>
  <si>
    <t>23-B00-006</t>
  </si>
</sst>
</file>

<file path=xl/styles.xml><?xml version="1.0" encoding="utf-8"?>
<styleSheet xmlns="http://schemas.openxmlformats.org/spreadsheetml/2006/main">
  <numFmts count="1">
    <numFmt numFmtId="0" formatCode="General"/>
  </numFmts>
  <fonts count="24">
    <font>
      <sz val="11"/>
      <color indexed="8"/>
      <name val="Calibri"/>
    </font>
    <font>
      <sz val="12"/>
      <color indexed="8"/>
      <name val="Helvetica Neue"/>
    </font>
    <font>
      <sz val="14"/>
      <color indexed="8"/>
      <name val="Calibri"/>
    </font>
    <font>
      <b val="1"/>
      <sz val="12"/>
      <color indexed="8"/>
      <name val="Calibri"/>
    </font>
    <font>
      <b val="1"/>
      <sz val="12"/>
      <color indexed="8"/>
      <name val="Arial"/>
    </font>
    <font>
      <sz val="12"/>
      <color indexed="8"/>
      <name val="Helvetica"/>
    </font>
    <font>
      <b val="1"/>
      <sz val="12"/>
      <color indexed="13"/>
      <name val="Arial"/>
    </font>
    <font>
      <sz val="12"/>
      <color indexed="8"/>
      <name val="Symbol"/>
    </font>
    <font>
      <b val="1"/>
      <sz val="12"/>
      <color indexed="8"/>
      <name val="Times New Roman"/>
    </font>
    <font>
      <b val="1"/>
      <sz val="12"/>
      <color indexed="13"/>
      <name val="Times New Roman"/>
    </font>
    <font>
      <b val="1"/>
      <sz val="12"/>
      <color indexed="19"/>
      <name val="Arial"/>
    </font>
    <font>
      <b val="1"/>
      <sz val="12"/>
      <color indexed="19"/>
      <name val="Times New Roman"/>
    </font>
    <font>
      <b val="1"/>
      <i val="1"/>
      <sz val="12"/>
      <color indexed="8"/>
      <name val="Arial"/>
    </font>
    <font>
      <b val="1"/>
      <vertAlign val="subscript"/>
      <sz val="12"/>
      <color indexed="8"/>
      <name val="Times New Roman"/>
    </font>
    <font>
      <b val="1"/>
      <vertAlign val="superscript"/>
      <sz val="12"/>
      <color indexed="8"/>
      <name val="Times New Roman"/>
    </font>
    <font>
      <sz val="12"/>
      <color indexed="13"/>
      <name val="Helvetica"/>
    </font>
    <font>
      <sz val="12"/>
      <color indexed="19"/>
      <name val="Helvetica"/>
    </font>
    <font>
      <b val="1"/>
      <sz val="11"/>
      <color indexed="8"/>
      <name val="Arial"/>
    </font>
    <font>
      <b val="1"/>
      <sz val="11"/>
      <color indexed="13"/>
      <name val="Arial"/>
    </font>
    <font>
      <b val="1"/>
      <sz val="11"/>
      <color indexed="8"/>
      <name val="Calibri"/>
    </font>
    <font>
      <b val="1"/>
      <sz val="11"/>
      <color indexed="19"/>
      <name val="Arial"/>
    </font>
    <font>
      <b val="1"/>
      <sz val="12"/>
      <color indexed="13"/>
      <name val="Calibri"/>
    </font>
    <font>
      <sz val="12"/>
      <color indexed="12"/>
      <name val="Helvetica"/>
    </font>
    <font>
      <b val="1"/>
      <vertAlign val="subscript"/>
      <sz val="12"/>
      <color indexed="8"/>
      <name val="Arial"/>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s>
  <borders count="5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1"/>
      </top>
      <bottom style="thin">
        <color indexed="8"/>
      </bottom>
      <diagonal/>
    </border>
    <border>
      <left style="thin">
        <color indexed="8"/>
      </left>
      <right style="thin">
        <color indexed="8"/>
      </right>
      <top style="thin">
        <color indexed="11"/>
      </top>
      <bottom style="thin">
        <color indexed="11"/>
      </bottom>
      <diagonal/>
    </border>
    <border>
      <left style="thin">
        <color indexed="8"/>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8"/>
      </left>
      <right style="thin">
        <color indexed="8"/>
      </right>
      <top style="thin">
        <color indexed="11"/>
      </top>
      <bottom/>
      <diagonal/>
    </border>
    <border>
      <left style="thin">
        <color indexed="8"/>
      </left>
      <right style="thin">
        <color indexed="11"/>
      </right>
      <top style="thin">
        <color indexed="11"/>
      </top>
      <bottom/>
      <diagonal/>
    </border>
    <border>
      <left style="thin">
        <color indexed="11"/>
      </left>
      <right style="thin">
        <color indexed="11"/>
      </right>
      <top style="thin">
        <color indexed="11"/>
      </top>
      <bottom style="thin">
        <color indexed="8"/>
      </bottom>
      <diagonal/>
    </border>
    <border>
      <left style="thin">
        <color indexed="11"/>
      </left>
      <right style="thin">
        <color indexed="11"/>
      </right>
      <top style="thin">
        <color indexed="11"/>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right/>
      <top/>
      <bottom/>
      <diagonal/>
    </border>
    <border>
      <left/>
      <right style="thin">
        <color indexed="8"/>
      </right>
      <top/>
      <bottom/>
      <diagonal/>
    </border>
    <border>
      <left style="thin">
        <color indexed="8"/>
      </left>
      <right/>
      <top/>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bottom style="thin">
        <color indexed="11"/>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11"/>
      </bottom>
      <diagonal/>
    </border>
    <border>
      <left style="thin">
        <color indexed="11"/>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11"/>
      </right>
      <top/>
      <bottom/>
      <diagonal/>
    </border>
    <border>
      <left style="thin">
        <color indexed="11"/>
      </left>
      <right style="thin">
        <color indexed="8"/>
      </right>
      <top style="thin">
        <color indexed="8"/>
      </top>
      <bottom/>
      <diagonal/>
    </border>
    <border>
      <left style="thin">
        <color indexed="8"/>
      </left>
      <right style="thin">
        <color indexed="11"/>
      </right>
      <top/>
      <bottom style="thin">
        <color indexed="11"/>
      </bottom>
      <diagonal/>
    </border>
    <border>
      <left style="thin">
        <color indexed="11"/>
      </left>
      <right style="thin">
        <color indexed="8"/>
      </right>
      <top/>
      <bottom style="thin">
        <color indexed="11"/>
      </bottom>
      <diagonal/>
    </border>
    <border>
      <left style="thin">
        <color indexed="11"/>
      </left>
      <right style="thin">
        <color indexed="8"/>
      </right>
      <top style="thin">
        <color indexed="11"/>
      </top>
      <bottom style="thin">
        <color indexed="11"/>
      </bottom>
      <diagonal/>
    </border>
    <border>
      <left style="thin">
        <color indexed="11"/>
      </left>
      <right style="thin">
        <color indexed="8"/>
      </right>
      <top style="thin">
        <color indexed="11"/>
      </top>
      <bottom style="thin">
        <color indexed="8"/>
      </bottom>
      <diagonal/>
    </border>
    <border>
      <left style="thin">
        <color indexed="11"/>
      </left>
      <right style="thin">
        <color indexed="8"/>
      </right>
      <top style="thin">
        <color indexed="8"/>
      </top>
      <bottom style="thin">
        <color indexed="11"/>
      </bottom>
      <diagonal/>
    </border>
    <border>
      <left style="thin">
        <color indexed="11"/>
      </left>
      <right style="thin">
        <color indexed="8"/>
      </right>
      <top/>
      <bottom/>
      <diagonal/>
    </border>
    <border>
      <left style="thin">
        <color indexed="11"/>
      </left>
      <right style="thin">
        <color indexed="8"/>
      </right>
      <top style="thin">
        <color indexed="11"/>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top/>
      <bottom/>
      <diagonal/>
    </border>
    <border>
      <left/>
      <right style="thin">
        <color indexed="11"/>
      </right>
      <top/>
      <bottom/>
      <diagonal/>
    </border>
    <border>
      <left style="thin">
        <color indexed="11"/>
      </left>
      <right/>
      <top/>
      <bottom style="thin">
        <color indexed="11"/>
      </bottom>
      <diagonal/>
    </border>
    <border>
      <left/>
      <right/>
      <top/>
      <bottom style="thin">
        <color indexed="11"/>
      </bottom>
      <diagonal/>
    </border>
    <border>
      <left/>
      <right style="thin">
        <color indexed="11"/>
      </right>
      <top/>
      <bottom style="thin">
        <color indexed="11"/>
      </bottom>
      <diagonal/>
    </border>
    <border>
      <left style="thin">
        <color indexed="11"/>
      </left>
      <right style="thin">
        <color indexed="11"/>
      </right>
      <top style="thin">
        <color indexed="8"/>
      </top>
      <bottom style="thin">
        <color indexed="8"/>
      </bottom>
      <diagonal/>
    </border>
    <border>
      <left/>
      <right/>
      <top style="thin">
        <color indexed="11"/>
      </top>
      <bottom style="thin">
        <color indexed="11"/>
      </bottom>
      <diagonal/>
    </border>
    <border>
      <left/>
      <right style="thin">
        <color indexed="8"/>
      </right>
      <top style="thin">
        <color indexed="11"/>
      </top>
      <bottom style="thin">
        <color indexed="11"/>
      </bottom>
      <diagonal/>
    </border>
    <border>
      <left style="thin">
        <color indexed="8"/>
      </left>
      <right/>
      <top style="thin">
        <color indexed="11"/>
      </top>
      <bottom style="thin">
        <color indexed="11"/>
      </bottom>
      <diagonal/>
    </border>
    <border>
      <left/>
      <right style="thin">
        <color indexed="8"/>
      </right>
      <top style="thin">
        <color indexed="8"/>
      </top>
      <bottom style="thin">
        <color indexed="8"/>
      </bottom>
      <diagonal/>
    </border>
    <border>
      <left style="thin">
        <color indexed="11"/>
      </left>
      <right/>
      <top style="thin">
        <color indexed="11"/>
      </top>
      <bottom style="thin">
        <color indexed="11"/>
      </bottom>
      <diagonal/>
    </border>
    <border>
      <left style="thin">
        <color indexed="11"/>
      </left>
      <right style="thin">
        <color indexed="11"/>
      </right>
      <top style="thin">
        <color indexed="8"/>
      </top>
      <bottom style="thin">
        <color indexed="11"/>
      </bottom>
      <diagonal/>
    </border>
    <border>
      <left style="thin">
        <color indexed="11"/>
      </left>
      <right/>
      <top style="thin">
        <color indexed="8"/>
      </top>
      <bottom style="thin">
        <color indexed="11"/>
      </bottom>
      <diagonal/>
    </border>
    <border>
      <left/>
      <right/>
      <top style="thin">
        <color indexed="8"/>
      </top>
      <bottom style="thin">
        <color indexed="11"/>
      </bottom>
      <diagonal/>
    </border>
    <border>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34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readingOrder="2"/>
    </xf>
    <xf numFmtId="49" fontId="3" fillId="3" borderId="1" applyNumberFormat="1" applyFont="1" applyFill="1" applyBorder="1" applyAlignment="1" applyProtection="0">
      <alignment horizontal="center" vertical="center" wrapText="1" readingOrder="2"/>
    </xf>
    <xf numFmtId="0" fontId="0" fillId="3" borderId="2"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49" fontId="3" fillId="2" borderId="4" applyNumberFormat="1" applyFont="1" applyFill="1" applyBorder="1" applyAlignment="1" applyProtection="0">
      <alignment horizontal="center" vertical="bottom" readingOrder="2"/>
    </xf>
    <xf numFmtId="49" fontId="3" fillId="2" borderId="5" applyNumberFormat="1" applyFont="1" applyFill="1" applyBorder="1" applyAlignment="1" applyProtection="0">
      <alignment horizontal="center" vertical="bottom" readingOrder="2"/>
    </xf>
    <xf numFmtId="49" fontId="3" fillId="2" borderId="5" applyNumberFormat="1" applyFont="1" applyFill="1" applyBorder="1" applyAlignment="1" applyProtection="0">
      <alignment horizontal="right" vertical="bottom" readingOrder="2"/>
    </xf>
    <xf numFmtId="49" fontId="4" fillId="5" borderId="1" applyNumberFormat="1" applyFont="1" applyFill="1" applyBorder="1" applyAlignment="1" applyProtection="0">
      <alignment vertical="top" wrapText="1"/>
    </xf>
    <xf numFmtId="0" fontId="5" fillId="3" borderId="1" applyNumberFormat="0" applyFont="1" applyFill="1" applyBorder="1" applyAlignment="1" applyProtection="0">
      <alignment horizontal="center" vertical="center" wrapText="1"/>
    </xf>
    <xf numFmtId="0" fontId="0" fillId="3" borderId="1" applyNumberFormat="0" applyFont="1" applyFill="1" applyBorder="1" applyAlignment="1" applyProtection="0">
      <alignment vertical="center" wrapText="1"/>
    </xf>
    <xf numFmtId="0" fontId="0" fillId="4" borderId="1" applyNumberFormat="0" applyFont="1" applyFill="1" applyBorder="1" applyAlignment="1" applyProtection="0">
      <alignment vertical="center" wrapText="1"/>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49" fontId="4" fillId="6" borderId="1" applyNumberFormat="1" applyFont="1" applyFill="1" applyBorder="1" applyAlignment="1" applyProtection="0">
      <alignment vertical="top" wrapText="1"/>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49" fontId="4" fillId="7" borderId="1" applyNumberFormat="1" applyFont="1" applyFill="1" applyBorder="1" applyAlignment="1" applyProtection="0">
      <alignment vertical="top" wrapText="1"/>
    </xf>
    <xf numFmtId="0" fontId="4" fillId="7" borderId="10" applyNumberFormat="1" applyFont="1" applyFill="1" applyBorder="1" applyAlignment="1" applyProtection="0">
      <alignment horizontal="center" vertical="center" wrapText="1"/>
    </xf>
    <xf numFmtId="0" fontId="5" fillId="7" borderId="11" applyNumberFormat="1" applyFont="1" applyFill="1" applyBorder="1" applyAlignment="1" applyProtection="0">
      <alignment horizontal="center" vertical="center"/>
    </xf>
    <xf numFmtId="0" fontId="0" fillId="4" borderId="12" applyNumberFormat="0" applyFont="1" applyFill="1" applyBorder="1" applyAlignment="1" applyProtection="0">
      <alignment vertical="bottom"/>
    </xf>
    <xf numFmtId="0" fontId="0" fillId="2" borderId="13" applyNumberFormat="0" applyFont="1" applyFill="1" applyBorder="1" applyAlignment="1" applyProtection="0">
      <alignment vertical="bottom"/>
    </xf>
    <xf numFmtId="0" fontId="0" fillId="2" borderId="14" applyNumberFormat="0" applyFont="1" applyFill="1" applyBorder="1" applyAlignment="1" applyProtection="0">
      <alignment vertical="bottom"/>
    </xf>
    <xf numFmtId="0" fontId="0" fillId="2" borderId="1" applyNumberFormat="1" applyFont="1" applyFill="1" applyBorder="1" applyAlignment="1" applyProtection="0">
      <alignment vertical="bottom"/>
    </xf>
    <xf numFmtId="0" fontId="0" fillId="7" borderId="1" applyNumberFormat="1" applyFont="1" applyFill="1" applyBorder="1" applyAlignment="1" applyProtection="0">
      <alignment vertical="center" wrapText="1"/>
    </xf>
    <xf numFmtId="0" fontId="5" fillId="7" borderId="1" applyNumberFormat="1" applyFont="1" applyFill="1" applyBorder="1" applyAlignment="1" applyProtection="0">
      <alignment horizontal="center" vertical="center"/>
    </xf>
    <xf numFmtId="0" fontId="3" fillId="7" borderId="1" applyNumberFormat="1" applyFont="1" applyFill="1" applyBorder="1" applyAlignment="1" applyProtection="0">
      <alignment horizontal="center" vertical="center" wrapText="1"/>
    </xf>
    <xf numFmtId="0" fontId="0" fillId="2" borderId="15" applyNumberFormat="1" applyFont="1" applyFill="1" applyBorder="1" applyAlignment="1" applyProtection="0">
      <alignment vertical="bottom"/>
    </xf>
    <xf numFmtId="0" fontId="0" fillId="2" borderId="16" applyNumberFormat="1" applyFont="1" applyFill="1" applyBorder="1" applyAlignment="1" applyProtection="0">
      <alignment vertical="bottom"/>
    </xf>
    <xf numFmtId="0" fontId="0" fillId="2" borderId="17" applyNumberFormat="0" applyFont="1" applyFill="1" applyBorder="1" applyAlignment="1" applyProtection="0">
      <alignment vertical="bottom"/>
    </xf>
    <xf numFmtId="0" fontId="4" fillId="5" borderId="10" applyNumberFormat="1" applyFont="1" applyFill="1" applyBorder="1" applyAlignment="1" applyProtection="0">
      <alignment horizontal="center" vertical="center" wrapText="1"/>
    </xf>
    <xf numFmtId="0" fontId="5" fillId="5" borderId="11" applyNumberFormat="1" applyFont="1" applyFill="1" applyBorder="1" applyAlignment="1" applyProtection="0">
      <alignment horizontal="center" vertical="center"/>
    </xf>
    <xf numFmtId="0" fontId="0" fillId="4" borderId="13" applyNumberFormat="0" applyFont="1" applyFill="1" applyBorder="1" applyAlignment="1" applyProtection="0">
      <alignment vertical="bottom"/>
    </xf>
    <xf numFmtId="0" fontId="0" fillId="2" borderId="14" applyNumberFormat="1" applyFont="1" applyFill="1" applyBorder="1" applyAlignment="1" applyProtection="0">
      <alignment vertical="bottom"/>
    </xf>
    <xf numFmtId="0" fontId="0" fillId="5" borderId="1" applyNumberFormat="1" applyFont="1" applyFill="1" applyBorder="1" applyAlignment="1" applyProtection="0">
      <alignment vertical="center" wrapText="1"/>
    </xf>
    <xf numFmtId="0" fontId="5" fillId="5" borderId="1" applyNumberFormat="1" applyFont="1" applyFill="1" applyBorder="1" applyAlignment="1" applyProtection="0">
      <alignment horizontal="center" vertical="center"/>
    </xf>
    <xf numFmtId="0" fontId="3" fillId="5" borderId="1" applyNumberFormat="1" applyFont="1" applyFill="1" applyBorder="1" applyAlignment="1" applyProtection="0">
      <alignment horizontal="center" vertical="center" wrapText="1"/>
    </xf>
    <xf numFmtId="0" fontId="0" fillId="2" borderId="17" applyNumberFormat="1" applyFont="1" applyFill="1" applyBorder="1" applyAlignment="1" applyProtection="0">
      <alignment vertical="bottom"/>
    </xf>
    <xf numFmtId="0" fontId="4" fillId="3" borderId="1" applyNumberFormat="1" applyFont="1" applyFill="1" applyBorder="1" applyAlignment="1" applyProtection="0">
      <alignment horizontal="center" vertical="center" wrapText="1"/>
    </xf>
    <xf numFmtId="0" fontId="5" fillId="3" borderId="1" applyNumberFormat="1" applyFont="1" applyFill="1" applyBorder="1" applyAlignment="1" applyProtection="0">
      <alignment horizontal="center" vertical="center"/>
    </xf>
    <xf numFmtId="0" fontId="0" fillId="4" borderId="17" applyNumberFormat="0" applyFont="1" applyFill="1" applyBorder="1" applyAlignment="1" applyProtection="0">
      <alignment vertical="bottom"/>
    </xf>
    <xf numFmtId="0" fontId="0" fillId="2" borderId="18"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0" fillId="2" borderId="1" applyNumberFormat="0" applyFont="1" applyFill="1" applyBorder="1" applyAlignment="1" applyProtection="0">
      <alignment vertical="center" wrapText="1"/>
    </xf>
    <xf numFmtId="0" fontId="3" fillId="2" borderId="1" applyNumberFormat="1" applyFont="1" applyFill="1" applyBorder="1" applyAlignment="1" applyProtection="0">
      <alignment horizontal="center" vertical="center" wrapText="1"/>
    </xf>
    <xf numFmtId="0" fontId="3" fillId="2" borderId="1" applyNumberFormat="0" applyFont="1" applyFill="1" applyBorder="1" applyAlignment="1" applyProtection="0">
      <alignment horizontal="center" vertical="center" wrapText="1"/>
    </xf>
    <xf numFmtId="0" fontId="3" fillId="3" borderId="1" applyNumberFormat="0" applyFont="1" applyFill="1" applyBorder="1" applyAlignment="1" applyProtection="0">
      <alignment horizontal="center" vertical="center" wrapText="1"/>
    </xf>
    <xf numFmtId="0" fontId="0" fillId="2" borderId="1" applyNumberFormat="1" applyFont="1" applyFill="1" applyBorder="1" applyAlignment="1" applyProtection="0">
      <alignment vertical="center" wrapText="1"/>
    </xf>
    <xf numFmtId="49" fontId="4" fillId="2" borderId="1" applyNumberFormat="1" applyFont="1" applyFill="1" applyBorder="1" applyAlignment="1" applyProtection="0">
      <alignment vertical="top" wrapText="1"/>
    </xf>
    <xf numFmtId="0" fontId="0" fillId="2" borderId="3" applyNumberFormat="1" applyFont="1" applyFill="1" applyBorder="1" applyAlignment="1" applyProtection="0">
      <alignment vertical="bottom"/>
    </xf>
    <xf numFmtId="0" fontId="5" fillId="2" borderId="1" applyNumberFormat="1" applyFont="1" applyFill="1" applyBorder="1" applyAlignment="1" applyProtection="0">
      <alignment horizontal="center" vertical="center"/>
    </xf>
    <xf numFmtId="0" fontId="3" fillId="8" borderId="1" applyNumberFormat="1" applyFont="1" applyFill="1" applyBorder="1" applyAlignment="1" applyProtection="0">
      <alignment horizontal="center" vertical="center" wrapText="1"/>
    </xf>
    <xf numFmtId="0" fontId="0" fillId="2" borderId="6" applyNumberFormat="1" applyFont="1" applyFill="1" applyBorder="1" applyAlignment="1" applyProtection="0">
      <alignment vertical="bottom"/>
    </xf>
    <xf numFmtId="49" fontId="4" fillId="5" borderId="1" applyNumberFormat="1" applyFont="1" applyFill="1" applyBorder="1" applyAlignment="1" applyProtection="0">
      <alignment vertical="top"/>
    </xf>
    <xf numFmtId="0" fontId="0" fillId="2" borderId="18" applyNumberFormat="1" applyFont="1" applyFill="1" applyBorder="1" applyAlignment="1" applyProtection="0">
      <alignment vertical="bottom"/>
    </xf>
    <xf numFmtId="49" fontId="4" fillId="7" borderId="1" applyNumberFormat="1" applyFont="1" applyFill="1" applyBorder="1" applyAlignment="1" applyProtection="0">
      <alignment horizontal="left" vertical="top" wrapText="1"/>
    </xf>
    <xf numFmtId="49" fontId="4" fillId="2" borderId="1" applyNumberFormat="1" applyFont="1" applyFill="1" applyBorder="1" applyAlignment="1" applyProtection="0">
      <alignment horizontal="left" vertical="bottom" readingOrder="2"/>
    </xf>
    <xf numFmtId="49" fontId="0" fillId="7" borderId="1" applyNumberFormat="1" applyFont="1" applyFill="1" applyBorder="1" applyAlignment="1" applyProtection="0">
      <alignment vertical="top" wrapText="1"/>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49" fontId="6" fillId="2" borderId="1" applyNumberFormat="1" applyFont="1" applyFill="1" applyBorder="1" applyAlignment="1" applyProtection="0">
      <alignment vertical="top" wrapText="1"/>
    </xf>
    <xf numFmtId="49" fontId="4" fillId="5" borderId="1" applyNumberFormat="1" applyFont="1" applyFill="1" applyBorder="1" applyAlignment="1" applyProtection="0">
      <alignment horizontal="left" vertical="top" wrapText="1" readingOrder="2"/>
    </xf>
    <xf numFmtId="49" fontId="4" fillId="9" borderId="1" applyNumberFormat="1" applyFont="1" applyFill="1" applyBorder="1" applyAlignment="1" applyProtection="0">
      <alignment vertical="top" wrapText="1"/>
    </xf>
    <xf numFmtId="49" fontId="6" fillId="10" borderId="1" applyNumberFormat="1" applyFont="1" applyFill="1" applyBorder="1" applyAlignment="1" applyProtection="0">
      <alignment horizontal="center" vertical="center" wrapText="1"/>
    </xf>
    <xf numFmtId="49" fontId="10" fillId="2" borderId="1" applyNumberFormat="1" applyFont="1" applyFill="1" applyBorder="1" applyAlignment="1" applyProtection="0">
      <alignment vertical="top" wrapText="1"/>
    </xf>
    <xf numFmtId="49" fontId="10" fillId="2" borderId="1" applyNumberFormat="1" applyFont="1" applyFill="1" applyBorder="1" applyAlignment="1" applyProtection="0">
      <alignment horizontal="left" vertical="top" wrapText="1"/>
    </xf>
    <xf numFmtId="49" fontId="4" fillId="2" borderId="1" applyNumberFormat="1" applyFont="1" applyFill="1" applyBorder="1" applyAlignment="1" applyProtection="0">
      <alignment vertical="top"/>
    </xf>
    <xf numFmtId="49" fontId="4" fillId="7" borderId="1" applyNumberFormat="1" applyFont="1" applyFill="1" applyBorder="1" applyAlignment="1" applyProtection="0">
      <alignment vertical="top"/>
    </xf>
    <xf numFmtId="0" fontId="0" fillId="2" borderId="3" applyNumberFormat="1" applyFont="1" applyFill="1" applyBorder="1" applyAlignment="1" applyProtection="0">
      <alignment vertical="center" wrapText="1"/>
    </xf>
    <xf numFmtId="49" fontId="4" fillId="2" borderId="1" applyNumberFormat="1" applyFont="1" applyFill="1" applyBorder="1" applyAlignment="1" applyProtection="0">
      <alignment horizontal="justify" vertical="top" wrapText="1"/>
    </xf>
    <xf numFmtId="0" fontId="0" fillId="7" borderId="17" applyNumberFormat="1" applyFont="1" applyFill="1" applyBorder="1" applyAlignment="1" applyProtection="0">
      <alignment vertical="center" wrapText="1"/>
    </xf>
    <xf numFmtId="0" fontId="0" fillId="2" borderId="21" applyNumberFormat="0" applyFont="1" applyFill="1" applyBorder="1" applyAlignment="1" applyProtection="0">
      <alignment vertical="bottom"/>
    </xf>
    <xf numFmtId="0" fontId="0" fillId="2" borderId="22" applyNumberFormat="1" applyFont="1" applyFill="1" applyBorder="1" applyAlignment="1" applyProtection="0">
      <alignment vertical="bottom"/>
    </xf>
    <xf numFmtId="49" fontId="4" fillId="10" borderId="1" applyNumberFormat="1" applyFont="1" applyFill="1" applyBorder="1" applyAlignment="1" applyProtection="0">
      <alignment vertical="top" wrapText="1"/>
    </xf>
    <xf numFmtId="0" fontId="3" fillId="5" borderId="1" applyNumberFormat="0" applyFont="1" applyFill="1" applyBorder="1" applyAlignment="1" applyProtection="0">
      <alignment horizontal="center" vertical="center" wrapText="1"/>
    </xf>
    <xf numFmtId="0" fontId="0" fillId="5" borderId="1" applyNumberFormat="0" applyFont="1" applyFill="1" applyBorder="1" applyAlignment="1" applyProtection="0">
      <alignment vertical="center" wrapText="1"/>
    </xf>
    <xf numFmtId="0" fontId="0" fillId="2" borderId="6" applyNumberFormat="1" applyFont="1" applyFill="1" applyBorder="1" applyAlignment="1" applyProtection="0">
      <alignment vertical="center" wrapText="1"/>
    </xf>
    <xf numFmtId="49" fontId="4" fillId="9" borderId="1" applyNumberFormat="1" applyFont="1" applyFill="1" applyBorder="1" applyAlignment="1" applyProtection="0">
      <alignment vertical="top"/>
    </xf>
    <xf numFmtId="49" fontId="4" fillId="9" borderId="1" applyNumberFormat="1" applyFont="1" applyFill="1" applyBorder="1" applyAlignment="1" applyProtection="0">
      <alignment horizontal="left" vertical="top"/>
    </xf>
    <xf numFmtId="49" fontId="4" fillId="9" borderId="1" applyNumberFormat="1" applyFont="1" applyFill="1" applyBorder="1" applyAlignment="1" applyProtection="0">
      <alignment horizontal="left" vertical="top" wrapText="1" readingOrder="2"/>
    </xf>
    <xf numFmtId="49" fontId="4" fillId="2" borderId="1" applyNumberFormat="1" applyFont="1" applyFill="1" applyBorder="1" applyAlignment="1" applyProtection="0">
      <alignment vertical="top" wrapText="1" readingOrder="1"/>
    </xf>
    <xf numFmtId="49" fontId="4" fillId="7" borderId="1" applyNumberFormat="1" applyFont="1" applyFill="1" applyBorder="1" applyAlignment="1" applyProtection="0">
      <alignment vertical="top" wrapText="1" readingOrder="1"/>
    </xf>
    <xf numFmtId="0" fontId="0" fillId="7" borderId="1" applyNumberFormat="0" applyFont="1" applyFill="1" applyBorder="1" applyAlignment="1" applyProtection="0">
      <alignment vertical="center" wrapText="1"/>
    </xf>
    <xf numFmtId="49" fontId="4" fillId="9" borderId="1" applyNumberFormat="1" applyFont="1" applyFill="1" applyBorder="1" applyAlignment="1" applyProtection="0">
      <alignment horizontal="left" vertical="top" wrapText="1"/>
    </xf>
    <xf numFmtId="49" fontId="4" fillId="3" borderId="1" applyNumberFormat="1" applyFont="1" applyFill="1" applyBorder="1" applyAlignment="1" applyProtection="0">
      <alignment vertical="bottom" wrapText="1"/>
    </xf>
    <xf numFmtId="0" fontId="4" fillId="3" borderId="10" applyNumberFormat="1" applyFont="1" applyFill="1" applyBorder="1" applyAlignment="1" applyProtection="0">
      <alignment horizontal="center" vertical="center" wrapText="1"/>
    </xf>
    <xf numFmtId="0" fontId="5" fillId="3" borderId="11" applyNumberFormat="1" applyFont="1" applyFill="1" applyBorder="1" applyAlignment="1" applyProtection="0">
      <alignment horizontal="center" vertical="center"/>
    </xf>
    <xf numFmtId="0" fontId="0" fillId="3" borderId="1" applyNumberFormat="1" applyFont="1" applyFill="1" applyBorder="1" applyAlignment="1" applyProtection="0">
      <alignment vertical="center" wrapText="1"/>
    </xf>
    <xf numFmtId="0" fontId="3" fillId="3" borderId="1" applyNumberFormat="1" applyFont="1" applyFill="1" applyBorder="1" applyAlignment="1" applyProtection="0">
      <alignment horizontal="center" vertical="center" wrapText="1"/>
    </xf>
    <xf numFmtId="49" fontId="4" fillId="3" borderId="1" applyNumberFormat="1" applyFont="1" applyFill="1" applyBorder="1" applyAlignment="1" applyProtection="0">
      <alignment vertical="top" wrapText="1"/>
    </xf>
    <xf numFmtId="49" fontId="4" fillId="3" borderId="1" applyNumberFormat="1" applyFont="1" applyFill="1" applyBorder="1" applyAlignment="1" applyProtection="0">
      <alignment vertical="top"/>
    </xf>
    <xf numFmtId="0" fontId="4" fillId="3" borderId="1" applyNumberFormat="0" applyFont="1" applyFill="1" applyBorder="1" applyAlignment="1" applyProtection="0">
      <alignment horizontal="center" vertical="center" wrapText="1"/>
    </xf>
    <xf numFmtId="0" fontId="5" fillId="3" borderId="1" applyNumberFormat="0" applyFont="1" applyFill="1" applyBorder="1" applyAlignment="1" applyProtection="0">
      <alignment horizontal="center" vertical="center"/>
    </xf>
    <xf numFmtId="49" fontId="8" fillId="5" borderId="1" applyNumberFormat="1" applyFont="1" applyFill="1" applyBorder="1" applyAlignment="1" applyProtection="0">
      <alignment horizontal="left" vertical="top" wrapText="1"/>
    </xf>
    <xf numFmtId="49" fontId="11" fillId="2" borderId="1" applyNumberFormat="1" applyFont="1" applyFill="1" applyBorder="1" applyAlignment="1" applyProtection="0">
      <alignment horizontal="left" vertical="top" wrapText="1"/>
    </xf>
    <xf numFmtId="49" fontId="11" fillId="7" borderId="1" applyNumberFormat="1" applyFont="1" applyFill="1" applyBorder="1" applyAlignment="1" applyProtection="0">
      <alignment horizontal="left" vertical="top" wrapText="1"/>
    </xf>
    <xf numFmtId="49" fontId="4" fillId="5" borderId="1" applyNumberFormat="1" applyFont="1" applyFill="1" applyBorder="1" applyAlignment="1" applyProtection="0">
      <alignment horizontal="center" vertical="center" wrapText="1"/>
    </xf>
    <xf numFmtId="0" fontId="0" fillId="5" borderId="17" applyNumberFormat="1" applyFont="1" applyFill="1" applyBorder="1" applyAlignment="1" applyProtection="0">
      <alignment vertical="center" wrapText="1"/>
    </xf>
    <xf numFmtId="49" fontId="4" fillId="5" borderId="1" applyNumberFormat="1" applyFont="1" applyFill="1" applyBorder="1" applyAlignment="1" applyProtection="0">
      <alignment horizontal="left" vertical="top" wrapText="1"/>
    </xf>
    <xf numFmtId="0" fontId="0" fillId="2" borderId="23"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0" fillId="2" borderId="15" applyNumberFormat="0" applyFont="1" applyFill="1" applyBorder="1" applyAlignment="1" applyProtection="0">
      <alignment vertical="bottom"/>
    </xf>
    <xf numFmtId="0" fontId="0" fillId="7" borderId="16"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49" fontId="4" fillId="9" borderId="1" applyNumberFormat="1" applyFont="1" applyFill="1" applyBorder="1" applyAlignment="1" applyProtection="0">
      <alignment vertical="bottom" wrapText="1"/>
    </xf>
    <xf numFmtId="49" fontId="4" fillId="2" borderId="1" applyNumberFormat="1" applyFont="1" applyFill="1" applyBorder="1" applyAlignment="1" applyProtection="0">
      <alignment horizontal="center" vertical="top" wrapText="1"/>
    </xf>
    <xf numFmtId="49" fontId="12" fillId="2" borderId="1" applyNumberFormat="1" applyFont="1" applyFill="1" applyBorder="1" applyAlignment="1" applyProtection="0">
      <alignment vertical="top" wrapText="1"/>
    </xf>
    <xf numFmtId="0" fontId="4" fillId="2" borderId="10" applyNumberFormat="1" applyFont="1" applyFill="1" applyBorder="1" applyAlignment="1" applyProtection="0">
      <alignment horizontal="center" vertical="center" wrapText="1"/>
    </xf>
    <xf numFmtId="0" fontId="5" fillId="2" borderId="11" applyNumberFormat="1" applyFont="1" applyFill="1" applyBorder="1" applyAlignment="1" applyProtection="0">
      <alignment horizontal="center" vertical="center"/>
    </xf>
    <xf numFmtId="49" fontId="10" fillId="7" borderId="1" applyNumberFormat="1" applyFont="1" applyFill="1" applyBorder="1" applyAlignment="1" applyProtection="0">
      <alignment vertical="top" wrapText="1"/>
    </xf>
    <xf numFmtId="49" fontId="10" fillId="5" borderId="1" applyNumberFormat="1" applyFont="1" applyFill="1" applyBorder="1" applyAlignment="1" applyProtection="0">
      <alignment horizontal="left" vertical="top" wrapText="1"/>
    </xf>
    <xf numFmtId="49" fontId="3" fillId="2" borderId="1" applyNumberFormat="1" applyFont="1" applyFill="1" applyBorder="1" applyAlignment="1" applyProtection="0">
      <alignment horizontal="left" vertical="top" wrapText="1"/>
    </xf>
    <xf numFmtId="0" fontId="0" fillId="2" borderId="22" applyNumberFormat="0" applyFont="1" applyFill="1" applyBorder="1" applyAlignment="1" applyProtection="0">
      <alignment vertical="bottom"/>
    </xf>
    <xf numFmtId="49" fontId="6" fillId="10" borderId="1" applyNumberFormat="1" applyFont="1" applyFill="1" applyBorder="1" applyAlignment="1" applyProtection="0">
      <alignment vertical="top" wrapText="1"/>
    </xf>
    <xf numFmtId="0" fontId="0" fillId="2" borderId="25" applyNumberFormat="0" applyFont="1" applyFill="1" applyBorder="1" applyAlignment="1" applyProtection="0">
      <alignment vertical="bottom"/>
    </xf>
    <xf numFmtId="0" fontId="0" fillId="2" borderId="26" applyNumberFormat="0" applyFont="1" applyFill="1" applyBorder="1" applyAlignment="1" applyProtection="0">
      <alignment vertical="bottom"/>
    </xf>
    <xf numFmtId="0" fontId="0" fillId="2" borderId="27" applyNumberFormat="1" applyFont="1" applyFill="1" applyBorder="1" applyAlignment="1" applyProtection="0">
      <alignment vertical="bottom"/>
    </xf>
    <xf numFmtId="0" fontId="0" fillId="2" borderId="27" applyNumberFormat="0" applyFont="1" applyFill="1" applyBorder="1" applyAlignment="1" applyProtection="0">
      <alignment vertical="bottom"/>
    </xf>
    <xf numFmtId="0" fontId="0" fillId="2" borderId="28" applyNumberFormat="0" applyFont="1" applyFill="1" applyBorder="1" applyAlignment="1" applyProtection="0">
      <alignment vertical="bottom"/>
    </xf>
    <xf numFmtId="49" fontId="4" fillId="5" borderId="1" applyNumberFormat="1" applyFont="1" applyFill="1" applyBorder="1" applyAlignment="1" applyProtection="0">
      <alignment horizontal="right" vertical="top" wrapText="1"/>
    </xf>
    <xf numFmtId="0" fontId="3" fillId="2" borderId="1" applyNumberFormat="0" applyFont="1" applyFill="1" applyBorder="1" applyAlignment="1" applyProtection="0">
      <alignment horizontal="left" vertical="center" wrapText="1"/>
    </xf>
    <xf numFmtId="0" fontId="3" fillId="2" borderId="1" applyNumberFormat="1" applyFont="1" applyFill="1" applyBorder="1" applyAlignment="1" applyProtection="0">
      <alignment horizontal="left" vertical="center" wrapText="1"/>
    </xf>
    <xf numFmtId="0" fontId="3" fillId="2" borderId="1" applyNumberFormat="1" applyFont="1" applyFill="1" applyBorder="1" applyAlignment="1" applyProtection="0">
      <alignment horizontal="right" vertical="center" wrapText="1"/>
    </xf>
    <xf numFmtId="0" fontId="3" fillId="7" borderId="1" applyNumberFormat="1" applyFont="1" applyFill="1" applyBorder="1" applyAlignment="1" applyProtection="0">
      <alignment horizontal="left" vertical="center" wrapText="1"/>
    </xf>
    <xf numFmtId="49" fontId="5" fillId="5" borderId="1" applyNumberFormat="1" applyFont="1" applyFill="1" applyBorder="1" applyAlignment="1" applyProtection="0">
      <alignment horizontal="center" vertical="center" wrapText="1"/>
    </xf>
    <xf numFmtId="49" fontId="4" fillId="2" borderId="1" applyNumberFormat="1" applyFont="1" applyFill="1" applyBorder="1" applyAlignment="1" applyProtection="0">
      <alignment horizontal="left" vertical="top" wrapText="1"/>
    </xf>
    <xf numFmtId="0" fontId="0" fillId="2" borderId="29" applyNumberFormat="0" applyFont="1" applyFill="1" applyBorder="1" applyAlignment="1" applyProtection="0">
      <alignment vertical="bottom"/>
    </xf>
    <xf numFmtId="49" fontId="5" fillId="2" borderId="1" applyNumberFormat="1" applyFont="1" applyFill="1" applyBorder="1" applyAlignment="1" applyProtection="0">
      <alignment horizontal="center" vertical="center" wrapText="1"/>
    </xf>
    <xf numFmtId="49" fontId="16" fillId="2" borderId="1" applyNumberFormat="1" applyFont="1" applyFill="1" applyBorder="1" applyAlignment="1" applyProtection="0">
      <alignment horizontal="center" vertical="center" wrapText="1"/>
    </xf>
    <xf numFmtId="49" fontId="8" fillId="2" borderId="1" applyNumberFormat="1" applyFont="1" applyFill="1" applyBorder="1" applyAlignment="1" applyProtection="0">
      <alignment horizontal="center" vertical="center" wrapText="1"/>
    </xf>
    <xf numFmtId="49" fontId="17" fillId="5" borderId="1" applyNumberFormat="1" applyFont="1" applyFill="1" applyBorder="1" applyAlignment="1" applyProtection="0">
      <alignment horizontal="left" vertical="top" wrapText="1"/>
    </xf>
    <xf numFmtId="49" fontId="17" fillId="9" borderId="1" applyNumberFormat="1" applyFont="1" applyFill="1" applyBorder="1" applyAlignment="1" applyProtection="0">
      <alignment vertical="top" wrapText="1"/>
    </xf>
    <xf numFmtId="49" fontId="17" fillId="2" borderId="1" applyNumberFormat="1" applyFont="1" applyFill="1" applyBorder="1" applyAlignment="1" applyProtection="0">
      <alignment vertical="top" wrapText="1"/>
    </xf>
    <xf numFmtId="49" fontId="17" fillId="10" borderId="1" applyNumberFormat="1" applyFont="1" applyFill="1" applyBorder="1" applyAlignment="1" applyProtection="0">
      <alignment vertical="top" wrapText="1"/>
    </xf>
    <xf numFmtId="49" fontId="17" fillId="7" borderId="1" applyNumberFormat="1" applyFont="1" applyFill="1" applyBorder="1" applyAlignment="1" applyProtection="0">
      <alignment vertical="top" wrapText="1"/>
    </xf>
    <xf numFmtId="0" fontId="3" fillId="7" borderId="1" applyNumberFormat="0" applyFont="1" applyFill="1" applyBorder="1" applyAlignment="1" applyProtection="0">
      <alignment horizontal="center" vertical="center" wrapText="1"/>
    </xf>
    <xf numFmtId="0" fontId="0" fillId="5" borderId="1" applyNumberFormat="1" applyFont="1" applyFill="1" applyBorder="1" applyAlignment="1" applyProtection="0">
      <alignment vertical="bottom"/>
    </xf>
    <xf numFmtId="0" fontId="0" fillId="2" borderId="30" applyNumberFormat="1" applyFont="1" applyFill="1" applyBorder="1" applyAlignment="1" applyProtection="0">
      <alignment vertical="bottom"/>
    </xf>
    <xf numFmtId="0" fontId="0" fillId="2" borderId="26" applyNumberFormat="1" applyFont="1" applyFill="1" applyBorder="1" applyAlignment="1" applyProtection="0">
      <alignment vertical="bottom"/>
    </xf>
    <xf numFmtId="0" fontId="0" fillId="2" borderId="31" applyNumberFormat="1" applyFont="1" applyFill="1" applyBorder="1" applyAlignment="1" applyProtection="0">
      <alignment vertical="bottom"/>
    </xf>
    <xf numFmtId="49" fontId="0" fillId="9" borderId="1" applyNumberFormat="1" applyFont="1" applyFill="1" applyBorder="1" applyAlignment="1" applyProtection="0">
      <alignment vertical="top"/>
    </xf>
    <xf numFmtId="49" fontId="21" fillId="10" borderId="1" applyNumberFormat="1" applyFont="1" applyFill="1" applyBorder="1" applyAlignment="1" applyProtection="0">
      <alignment horizontal="left" vertical="top" wrapText="1"/>
    </xf>
    <xf numFmtId="49" fontId="21" fillId="10" borderId="1" applyNumberFormat="1" applyFont="1" applyFill="1" applyBorder="1" applyAlignment="1" applyProtection="0">
      <alignment vertical="bottom" wrapText="1"/>
    </xf>
    <xf numFmtId="49" fontId="21" fillId="10" borderId="1" applyNumberFormat="1" applyFont="1" applyFill="1" applyBorder="1" applyAlignment="1" applyProtection="0">
      <alignment vertical="bottom"/>
    </xf>
    <xf numFmtId="0" fontId="0" fillId="4" borderId="18" applyNumberFormat="0" applyFont="1" applyFill="1" applyBorder="1" applyAlignment="1" applyProtection="0">
      <alignment vertical="bottom"/>
    </xf>
    <xf numFmtId="0" fontId="0" applyNumberFormat="1" applyFont="1" applyFill="0" applyBorder="0" applyAlignment="1" applyProtection="0">
      <alignment vertical="bottom"/>
    </xf>
    <xf numFmtId="0" fontId="0" fillId="2" borderId="32" applyNumberFormat="0" applyFont="1" applyFill="1" applyBorder="1" applyAlignment="1" applyProtection="0">
      <alignment vertical="bottom"/>
    </xf>
    <xf numFmtId="0" fontId="0" fillId="2" borderId="33" applyNumberFormat="0" applyFont="1" applyFill="1" applyBorder="1" applyAlignment="1" applyProtection="0">
      <alignment vertical="bottom"/>
    </xf>
    <xf numFmtId="0" fontId="0" fillId="2" borderId="34" applyNumberFormat="0" applyFont="1" applyFill="1" applyBorder="1" applyAlignment="1" applyProtection="0">
      <alignment vertical="bottom"/>
    </xf>
    <xf numFmtId="0" fontId="0" fillId="2" borderId="35" applyNumberFormat="0" applyFont="1" applyFill="1" applyBorder="1" applyAlignment="1" applyProtection="0">
      <alignment vertical="bottom"/>
    </xf>
    <xf numFmtId="0" fontId="0" fillId="2" borderId="36" applyNumberFormat="0" applyFont="1" applyFill="1" applyBorder="1" applyAlignment="1" applyProtection="0">
      <alignment vertical="bottom"/>
    </xf>
    <xf numFmtId="0" fontId="0" fillId="2" borderId="37" applyNumberFormat="0" applyFont="1" applyFill="1" applyBorder="1" applyAlignment="1" applyProtection="0">
      <alignment vertical="bottom"/>
    </xf>
    <xf numFmtId="0" fontId="0" fillId="2" borderId="38" applyNumberFormat="0" applyFont="1" applyFill="1" applyBorder="1" applyAlignment="1" applyProtection="0">
      <alignment vertical="bottom"/>
    </xf>
    <xf numFmtId="0" fontId="0" fillId="2" borderId="39"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horizontal="center" vertical="center"/>
    </xf>
    <xf numFmtId="49" fontId="3" fillId="11" borderId="22" applyNumberFormat="1" applyFont="1" applyFill="1" applyBorder="1" applyAlignment="1" applyProtection="0">
      <alignment horizontal="center" vertical="center" readingOrder="2"/>
    </xf>
    <xf numFmtId="49" fontId="3" fillId="3" borderId="22" applyNumberFormat="1" applyFont="1" applyFill="1" applyBorder="1" applyAlignment="1" applyProtection="0">
      <alignment horizontal="center" vertical="center" wrapText="1" readingOrder="2"/>
    </xf>
    <xf numFmtId="49" fontId="3" fillId="4" borderId="22" applyNumberFormat="1" applyFont="1" applyFill="1" applyBorder="1" applyAlignment="1" applyProtection="0">
      <alignment horizontal="center" vertical="center" wrapText="1" readingOrder="2"/>
    </xf>
    <xf numFmtId="0" fontId="0" fillId="3" borderId="6"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3" fillId="2" borderId="5" applyNumberFormat="0" applyFont="1" applyFill="1" applyBorder="1" applyAlignment="1" applyProtection="0">
      <alignment horizontal="center" vertical="bottom"/>
    </xf>
    <xf numFmtId="49" fontId="21" fillId="3" borderId="1" applyNumberFormat="1" applyFont="1" applyFill="1" applyBorder="1" applyAlignment="1" applyProtection="0">
      <alignment horizontal="center" vertical="center" wrapText="1"/>
    </xf>
    <xf numFmtId="49" fontId="21" fillId="3" borderId="1" applyNumberFormat="1" applyFont="1" applyFill="1" applyBorder="1" applyAlignment="1" applyProtection="0">
      <alignment horizontal="center" vertical="center" wrapText="1" readingOrder="2"/>
    </xf>
    <xf numFmtId="0" fontId="3" fillId="11" borderId="19" applyNumberFormat="0" applyFont="1" applyFill="1" applyBorder="1" applyAlignment="1" applyProtection="0">
      <alignment horizontal="center" vertical="center"/>
    </xf>
    <xf numFmtId="0" fontId="3" fillId="3" borderId="19" applyNumberFormat="0" applyFont="1" applyFill="1" applyBorder="1" applyAlignment="1" applyProtection="0">
      <alignment horizontal="center" vertical="center" wrapText="1"/>
    </xf>
    <xf numFmtId="0" fontId="3" fillId="4" borderId="19" applyNumberFormat="0" applyFont="1" applyFill="1" applyBorder="1" applyAlignment="1" applyProtection="0">
      <alignment horizontal="center" vertical="center" wrapText="1"/>
    </xf>
    <xf numFmtId="0" fontId="0" fillId="3" borderId="19" applyNumberFormat="0" applyFont="1" applyFill="1" applyBorder="1" applyAlignment="1" applyProtection="0">
      <alignment vertical="bottom"/>
    </xf>
    <xf numFmtId="49" fontId="3" fillId="2" borderId="4" applyNumberFormat="1" applyFont="1" applyFill="1" applyBorder="1" applyAlignment="1" applyProtection="0">
      <alignment horizontal="right" vertical="bottom" readingOrder="2"/>
    </xf>
    <xf numFmtId="49" fontId="3" fillId="2" borderId="8" applyNumberFormat="1" applyFont="1" applyFill="1" applyBorder="1" applyAlignment="1" applyProtection="0">
      <alignment horizontal="right" vertical="bottom" readingOrder="2"/>
    </xf>
    <xf numFmtId="0" fontId="12" fillId="5" borderId="1" applyNumberFormat="1" applyFont="1" applyFill="1" applyBorder="1" applyAlignment="1" applyProtection="0">
      <alignment horizontal="left" vertical="top" wrapText="1"/>
    </xf>
    <xf numFmtId="0" fontId="4" fillId="5" borderId="1" applyNumberFormat="0" applyFont="1" applyFill="1" applyBorder="1" applyAlignment="1" applyProtection="0">
      <alignment horizontal="left" vertical="top" wrapText="1"/>
    </xf>
    <xf numFmtId="0" fontId="5" fillId="5" borderId="1" applyNumberFormat="0" applyFont="1" applyFill="1" applyBorder="1" applyAlignment="1" applyProtection="0">
      <alignment horizontal="center" vertical="center" wrapText="1"/>
    </xf>
    <xf numFmtId="0" fontId="5" fillId="2" borderId="1" applyNumberFormat="1" applyFont="1" applyFill="1" applyBorder="1" applyAlignment="1" applyProtection="0">
      <alignment horizontal="center" vertical="center" wrapText="1"/>
    </xf>
    <xf numFmtId="0" fontId="5" fillId="11" borderId="1" applyNumberFormat="0" applyFont="1" applyFill="1" applyBorder="1" applyAlignment="1" applyProtection="0">
      <alignment horizontal="center" vertical="center" wrapText="1"/>
    </xf>
    <xf numFmtId="0" fontId="22" fillId="11" borderId="1" applyNumberFormat="0" applyFont="1" applyFill="1" applyBorder="1" applyAlignment="1" applyProtection="0">
      <alignment horizontal="center" vertical="center" wrapText="1"/>
    </xf>
    <xf numFmtId="0" fontId="0" fillId="4" borderId="17" applyNumberFormat="0" applyFont="1" applyFill="1" applyBorder="1" applyAlignment="1" applyProtection="0">
      <alignment vertical="center" wrapText="1"/>
    </xf>
    <xf numFmtId="0" fontId="0" fillId="2" borderId="40" applyNumberFormat="0" applyFont="1" applyFill="1" applyBorder="1" applyAlignment="1" applyProtection="0">
      <alignment vertical="bottom"/>
    </xf>
    <xf numFmtId="49" fontId="4" fillId="6" borderId="1" applyNumberFormat="1" applyFont="1" applyFill="1" applyBorder="1" applyAlignment="1" applyProtection="0">
      <alignment horizontal="left" vertical="top" wrapText="1"/>
    </xf>
    <xf numFmtId="0" fontId="4" fillId="6" borderId="1" applyNumberFormat="0" applyFont="1" applyFill="1" applyBorder="1" applyAlignment="1" applyProtection="0">
      <alignment horizontal="left" vertical="top" wrapText="1"/>
    </xf>
    <xf numFmtId="0" fontId="5" fillId="2" borderId="1" applyNumberFormat="0" applyFont="1" applyFill="1" applyBorder="1" applyAlignment="1" applyProtection="0">
      <alignment horizontal="center" vertical="center" wrapText="1"/>
    </xf>
    <xf numFmtId="49" fontId="4" fillId="7" borderId="1" applyNumberFormat="1" applyFont="1" applyFill="1" applyBorder="1" applyAlignment="1" applyProtection="0">
      <alignment horizontal="left" vertical="top" wrapText="1" readingOrder="2"/>
    </xf>
    <xf numFmtId="0" fontId="5" fillId="7" borderId="1" applyNumberFormat="0" applyFont="1" applyFill="1" applyBorder="1" applyAlignment="1" applyProtection="0">
      <alignment horizontal="center" vertical="center" wrapText="1"/>
    </xf>
    <xf numFmtId="49" fontId="4" fillId="7" borderId="1" applyNumberFormat="1" applyFont="1" applyFill="1" applyBorder="1" applyAlignment="1" applyProtection="0">
      <alignment horizontal="center" vertical="center" wrapText="1"/>
    </xf>
    <xf numFmtId="0" fontId="4" fillId="7" borderId="1" applyNumberFormat="0" applyFont="1" applyFill="1" applyBorder="1" applyAlignment="1" applyProtection="0">
      <alignment horizontal="center" vertical="center" wrapText="1"/>
    </xf>
    <xf numFmtId="0" fontId="4" fillId="7" borderId="1" applyNumberFormat="1" applyFont="1" applyFill="1" applyBorder="1" applyAlignment="1" applyProtection="0">
      <alignment horizontal="center" vertical="center" wrapText="1"/>
    </xf>
    <xf numFmtId="0" fontId="0" fillId="7" borderId="10" applyNumberFormat="1" applyFont="1" applyFill="1" applyBorder="1" applyAlignment="1" applyProtection="0">
      <alignment vertical="center" wrapText="1"/>
    </xf>
    <xf numFmtId="0" fontId="0" fillId="2" borderId="41" applyNumberFormat="0" applyFont="1" applyFill="1" applyBorder="1" applyAlignment="1" applyProtection="0">
      <alignment vertical="bottom"/>
    </xf>
    <xf numFmtId="0" fontId="0" fillId="2" borderId="42" applyNumberFormat="0" applyFont="1" applyFill="1" applyBorder="1" applyAlignment="1" applyProtection="0">
      <alignment vertical="bottom"/>
    </xf>
    <xf numFmtId="0" fontId="0" fillId="2" borderId="43" applyNumberFormat="1" applyFont="1" applyFill="1" applyBorder="1" applyAlignment="1" applyProtection="0">
      <alignment vertical="bottom"/>
    </xf>
    <xf numFmtId="0" fontId="0" fillId="2" borderId="41" applyNumberFormat="1" applyFont="1" applyFill="1" applyBorder="1" applyAlignment="1" applyProtection="0">
      <alignment vertical="bottom"/>
    </xf>
    <xf numFmtId="0" fontId="0" fillId="2" borderId="11" applyNumberFormat="1" applyFont="1" applyFill="1" applyBorder="1" applyAlignment="1" applyProtection="0">
      <alignment vertical="bottom"/>
    </xf>
    <xf numFmtId="0" fontId="0" fillId="2" borderId="44" applyNumberFormat="1" applyFont="1" applyFill="1" applyBorder="1" applyAlignment="1" applyProtection="0">
      <alignment vertical="bottom"/>
    </xf>
    <xf numFmtId="0" fontId="0" fillId="2" borderId="43" applyNumberFormat="0" applyFont="1" applyFill="1" applyBorder="1" applyAlignment="1" applyProtection="0">
      <alignment vertical="bottom"/>
    </xf>
    <xf numFmtId="0" fontId="4" fillId="5" borderId="1" applyNumberFormat="0" applyFont="1" applyFill="1" applyBorder="1" applyAlignment="1" applyProtection="0">
      <alignment horizontal="center" vertical="center" wrapText="1"/>
    </xf>
    <xf numFmtId="0" fontId="4" fillId="5" borderId="1" applyNumberFormat="1" applyFont="1" applyFill="1" applyBorder="1" applyAlignment="1" applyProtection="0">
      <alignment horizontal="center" vertical="center" wrapText="1"/>
    </xf>
    <xf numFmtId="0" fontId="0" fillId="5" borderId="10" applyNumberFormat="1" applyFont="1" applyFill="1" applyBorder="1" applyAlignment="1" applyProtection="0">
      <alignment vertical="center" wrapText="1"/>
    </xf>
    <xf numFmtId="0" fontId="0" fillId="2" borderId="42" applyNumberFormat="1" applyFont="1" applyFill="1" applyBorder="1" applyAlignment="1" applyProtection="0">
      <alignment vertical="bottom"/>
    </xf>
    <xf numFmtId="0" fontId="0" fillId="4" borderId="1" applyNumberFormat="1" applyFont="1" applyFill="1" applyBorder="1" applyAlignment="1" applyProtection="0">
      <alignment vertical="center" wrapText="1"/>
    </xf>
    <xf numFmtId="0" fontId="4" fillId="2" borderId="1" applyNumberFormat="0" applyFont="1" applyFill="1" applyBorder="1" applyAlignment="1" applyProtection="0">
      <alignment horizontal="left" vertical="top" wrapText="1"/>
    </xf>
    <xf numFmtId="49" fontId="4" fillId="2" borderId="1" applyNumberFormat="1" applyFont="1" applyFill="1" applyBorder="1" applyAlignment="1" applyProtection="0">
      <alignment horizontal="left" vertical="top" wrapText="1" readingOrder="2"/>
    </xf>
    <xf numFmtId="49" fontId="4" fillId="2" borderId="1" applyNumberFormat="1" applyFont="1" applyFill="1" applyBorder="1" applyAlignment="1" applyProtection="0">
      <alignment horizontal="center" vertical="center" wrapText="1"/>
    </xf>
    <xf numFmtId="0" fontId="4" fillId="11" borderId="1" applyNumberFormat="0" applyFont="1" applyFill="1" applyBorder="1" applyAlignment="1" applyProtection="0">
      <alignment horizontal="center" vertical="center" wrapText="1"/>
    </xf>
    <xf numFmtId="0" fontId="0" fillId="2" borderId="4" applyNumberFormat="1" applyFont="1" applyFill="1" applyBorder="1" applyAlignment="1" applyProtection="0">
      <alignment vertical="bottom"/>
    </xf>
    <xf numFmtId="0" fontId="3" fillId="12" borderId="1" applyNumberFormat="1" applyFont="1" applyFill="1" applyBorder="1" applyAlignment="1" applyProtection="0">
      <alignment horizontal="center" vertical="center" wrapText="1"/>
    </xf>
    <xf numFmtId="49" fontId="4" fillId="7" borderId="1" applyNumberFormat="1" applyFont="1" applyFill="1" applyBorder="1" applyAlignment="1" applyProtection="0">
      <alignment horizontal="left" vertical="top"/>
    </xf>
    <xf numFmtId="0" fontId="5" fillId="7" borderId="1" applyNumberFormat="1" applyFont="1" applyFill="1" applyBorder="1" applyAlignment="1" applyProtection="0">
      <alignment horizontal="center" vertical="center" wrapText="1"/>
    </xf>
    <xf numFmtId="49" fontId="5" fillId="7" borderId="1" applyNumberFormat="1" applyFont="1" applyFill="1" applyBorder="1" applyAlignment="1" applyProtection="0">
      <alignment horizontal="center" vertical="center" wrapText="1" readingOrder="2"/>
    </xf>
    <xf numFmtId="49" fontId="5" fillId="2" borderId="1" applyNumberFormat="1" applyFont="1" applyFill="1" applyBorder="1" applyAlignment="1" applyProtection="0">
      <alignment horizontal="center" vertical="center" wrapText="1" readingOrder="2"/>
    </xf>
    <xf numFmtId="49" fontId="4" fillId="5" borderId="1" applyNumberFormat="1" applyFont="1" applyFill="1" applyBorder="1" applyAlignment="1" applyProtection="0">
      <alignment horizontal="left" vertical="top"/>
    </xf>
    <xf numFmtId="49" fontId="5" fillId="5" borderId="1" applyNumberFormat="1" applyFont="1" applyFill="1" applyBorder="1" applyAlignment="1" applyProtection="0">
      <alignment horizontal="center" vertical="center" wrapText="1" readingOrder="2"/>
    </xf>
    <xf numFmtId="49" fontId="4" fillId="2" borderId="1" applyNumberFormat="1" applyFont="1" applyFill="1" applyBorder="1" applyAlignment="1" applyProtection="0">
      <alignment horizontal="left" vertical="top"/>
    </xf>
    <xf numFmtId="0" fontId="5" fillId="5" borderId="1" applyNumberFormat="1" applyFont="1" applyFill="1" applyBorder="1" applyAlignment="1" applyProtection="0">
      <alignment horizontal="center" vertical="center" wrapText="1"/>
    </xf>
    <xf numFmtId="49" fontId="6" fillId="7" borderId="1" applyNumberFormat="1" applyFont="1" applyFill="1" applyBorder="1" applyAlignment="1" applyProtection="0">
      <alignment horizontal="center" vertical="center" wrapText="1" readingOrder="2"/>
    </xf>
    <xf numFmtId="49" fontId="5" fillId="7" borderId="1" applyNumberFormat="1" applyFont="1" applyFill="1" applyBorder="1" applyAlignment="1" applyProtection="0">
      <alignment horizontal="center" vertical="center" wrapText="1"/>
    </xf>
    <xf numFmtId="49" fontId="4" fillId="5" borderId="1" applyNumberFormat="1" applyFont="1" applyFill="1" applyBorder="1" applyAlignment="1" applyProtection="0">
      <alignment horizontal="right" vertical="top" wrapText="1" readingOrder="2"/>
    </xf>
    <xf numFmtId="49" fontId="12" fillId="6" borderId="1" applyNumberFormat="1" applyFont="1" applyFill="1" applyBorder="1" applyAlignment="1" applyProtection="0">
      <alignment horizontal="left" vertical="top" wrapText="1"/>
    </xf>
    <xf numFmtId="49" fontId="3" fillId="7" borderId="1" applyNumberFormat="1" applyFont="1" applyFill="1" applyBorder="1" applyAlignment="1" applyProtection="0">
      <alignment horizontal="left" vertical="top"/>
    </xf>
    <xf numFmtId="0" fontId="4" fillId="5" borderId="1" applyNumberFormat="1" applyFont="1" applyFill="1" applyBorder="1" applyAlignment="1" applyProtection="0">
      <alignment horizontal="left" vertical="top" wrapText="1"/>
    </xf>
    <xf numFmtId="0" fontId="4" fillId="9" borderId="1" applyNumberFormat="0" applyFont="1" applyFill="1" applyBorder="1" applyAlignment="1" applyProtection="0">
      <alignment horizontal="left" vertical="top" wrapText="1"/>
    </xf>
    <xf numFmtId="49" fontId="6" fillId="10" borderId="1" applyNumberFormat="1" applyFont="1" applyFill="1" applyBorder="1" applyAlignment="1" applyProtection="0">
      <alignment horizontal="center" vertical="center" wrapText="1" readingOrder="2"/>
    </xf>
    <xf numFmtId="0" fontId="6" fillId="11" borderId="1" applyNumberFormat="0" applyFont="1" applyFill="1" applyBorder="1" applyAlignment="1" applyProtection="0">
      <alignment horizontal="center" vertical="center" wrapText="1"/>
    </xf>
    <xf numFmtId="49" fontId="12" fillId="9" borderId="1" applyNumberFormat="1" applyFont="1" applyFill="1" applyBorder="1" applyAlignment="1" applyProtection="0">
      <alignment horizontal="left" vertical="top" wrapText="1"/>
    </xf>
    <xf numFmtId="49" fontId="4" fillId="11" borderId="1" applyNumberFormat="1" applyFont="1" applyFill="1" applyBorder="1" applyAlignment="1" applyProtection="0">
      <alignment horizontal="center" vertical="center" wrapText="1" readingOrder="2"/>
    </xf>
    <xf numFmtId="49" fontId="4" fillId="2" borderId="1" applyNumberFormat="1" applyFont="1" applyFill="1" applyBorder="1" applyAlignment="1" applyProtection="0">
      <alignment horizontal="left" vertical="top" readingOrder="2"/>
    </xf>
    <xf numFmtId="0" fontId="0" fillId="7" borderId="3" applyNumberFormat="1" applyFont="1" applyFill="1" applyBorder="1" applyAlignment="1" applyProtection="0">
      <alignment vertical="center" wrapText="1"/>
    </xf>
    <xf numFmtId="49" fontId="4" fillId="7" borderId="1" applyNumberFormat="1" applyFont="1" applyFill="1" applyBorder="1" applyAlignment="1" applyProtection="0">
      <alignment horizontal="center" vertical="center" wrapText="1" readingOrder="2"/>
    </xf>
    <xf numFmtId="49" fontId="4" fillId="2" borderId="1" applyNumberFormat="1" applyFont="1" applyFill="1" applyBorder="1" applyAlignment="1" applyProtection="0">
      <alignment horizontal="right" vertical="top" wrapText="1"/>
    </xf>
    <xf numFmtId="49" fontId="4" fillId="2" borderId="1" applyNumberFormat="1" applyFont="1" applyFill="1" applyBorder="1" applyAlignment="1" applyProtection="0">
      <alignment horizontal="right" vertical="top" wrapText="1" readingOrder="2"/>
    </xf>
    <xf numFmtId="49" fontId="23" fillId="5" borderId="1" applyNumberFormat="1" applyFont="1" applyFill="1" applyBorder="1" applyAlignment="1" applyProtection="0">
      <alignment horizontal="left" vertical="top" wrapText="1"/>
    </xf>
    <xf numFmtId="49" fontId="23" fillId="5" borderId="1" applyNumberFormat="1" applyFont="1" applyFill="1" applyBorder="1" applyAlignment="1" applyProtection="0">
      <alignment horizontal="left" vertical="top" wrapText="1" readingOrder="2"/>
    </xf>
    <xf numFmtId="0" fontId="8" fillId="2" borderId="1" applyNumberFormat="1" applyFont="1" applyFill="1" applyBorder="1" applyAlignment="1" applyProtection="0">
      <alignment horizontal="right" vertical="top"/>
    </xf>
    <xf numFmtId="49" fontId="4" fillId="10" borderId="1" applyNumberFormat="1" applyFont="1" applyFill="1" applyBorder="1" applyAlignment="1" applyProtection="0">
      <alignment horizontal="left" vertical="top" wrapText="1"/>
    </xf>
    <xf numFmtId="49" fontId="4" fillId="10" borderId="1" applyNumberFormat="1" applyFont="1" applyFill="1" applyBorder="1" applyAlignment="1" applyProtection="0">
      <alignment horizontal="left" vertical="top" wrapText="1" readingOrder="2"/>
    </xf>
    <xf numFmtId="49" fontId="4" fillId="10" borderId="1" applyNumberFormat="1" applyFont="1" applyFill="1" applyBorder="1" applyAlignment="1" applyProtection="0">
      <alignment horizontal="right" vertical="top" wrapText="1" readingOrder="2"/>
    </xf>
    <xf numFmtId="49" fontId="4" fillId="10" borderId="1" applyNumberFormat="1" applyFont="1" applyFill="1" applyBorder="1" applyAlignment="1" applyProtection="0">
      <alignment horizontal="center" vertical="center" wrapText="1"/>
    </xf>
    <xf numFmtId="49" fontId="6" fillId="5" borderId="1" applyNumberFormat="1" applyFont="1" applyFill="1" applyBorder="1" applyAlignment="1" applyProtection="0">
      <alignment horizontal="right" vertical="top" wrapText="1" readingOrder="2"/>
    </xf>
    <xf numFmtId="0" fontId="4" fillId="7" borderId="1" applyNumberFormat="0" applyFont="1" applyFill="1" applyBorder="1" applyAlignment="1" applyProtection="0">
      <alignment horizontal="left" vertical="top" wrapText="1"/>
    </xf>
    <xf numFmtId="0" fontId="4" fillId="2" borderId="1" applyNumberFormat="0" applyFont="1" applyFill="1" applyBorder="1" applyAlignment="1" applyProtection="0">
      <alignment horizontal="center" vertical="center" wrapText="1"/>
    </xf>
    <xf numFmtId="49" fontId="4" fillId="5" borderId="1" applyNumberFormat="1" applyFont="1" applyFill="1" applyBorder="1" applyAlignment="1" applyProtection="0">
      <alignment horizontal="left" vertical="top" readingOrder="2"/>
    </xf>
    <xf numFmtId="0" fontId="23" fillId="9" borderId="1" applyNumberFormat="0" applyFont="1" applyFill="1" applyBorder="1" applyAlignment="1" applyProtection="0">
      <alignment horizontal="left" vertical="top" wrapText="1"/>
    </xf>
    <xf numFmtId="0" fontId="4" fillId="9" borderId="1" applyNumberFormat="0" applyFont="1" applyFill="1" applyBorder="1" applyAlignment="1" applyProtection="0">
      <alignment horizontal="left" vertical="top"/>
    </xf>
    <xf numFmtId="49" fontId="8" fillId="5" borderId="1" applyNumberFormat="1" applyFont="1" applyFill="1" applyBorder="1" applyAlignment="1" applyProtection="0">
      <alignment horizontal="right" vertical="top" wrapText="1" readingOrder="2"/>
    </xf>
    <xf numFmtId="49" fontId="4" fillId="9" borderId="1" applyNumberFormat="1" applyFont="1" applyFill="1" applyBorder="1" applyAlignment="1" applyProtection="0">
      <alignment horizontal="right" vertical="top" wrapText="1" readingOrder="2"/>
    </xf>
    <xf numFmtId="49" fontId="4" fillId="7" borderId="1" applyNumberFormat="1" applyFont="1" applyFill="1" applyBorder="1" applyAlignment="1" applyProtection="0">
      <alignment horizontal="right" vertical="top" wrapText="1"/>
    </xf>
    <xf numFmtId="49" fontId="4" fillId="7" borderId="1" applyNumberFormat="1" applyFont="1" applyFill="1" applyBorder="1" applyAlignment="1" applyProtection="0">
      <alignment horizontal="left" vertical="top" readingOrder="2"/>
    </xf>
    <xf numFmtId="49" fontId="4" fillId="3" borderId="1" applyNumberFormat="1" applyFont="1" applyFill="1" applyBorder="1" applyAlignment="1" applyProtection="0">
      <alignment horizontal="left" vertical="top"/>
    </xf>
    <xf numFmtId="49" fontId="4" fillId="3" borderId="1" applyNumberFormat="1" applyFont="1" applyFill="1" applyBorder="1" applyAlignment="1" applyProtection="0">
      <alignment horizontal="left" vertical="top" readingOrder="2"/>
    </xf>
    <xf numFmtId="49" fontId="5" fillId="3" borderId="1" applyNumberFormat="1" applyFont="1" applyFill="1" applyBorder="1" applyAlignment="1" applyProtection="0">
      <alignment horizontal="center" vertical="center" wrapText="1" readingOrder="2"/>
    </xf>
    <xf numFmtId="49" fontId="4" fillId="3" borderId="1" applyNumberFormat="1" applyFont="1" applyFill="1" applyBorder="1" applyAlignment="1" applyProtection="0">
      <alignment horizontal="center" vertical="center" wrapText="1"/>
    </xf>
    <xf numFmtId="0" fontId="0" fillId="3" borderId="10" applyNumberFormat="1" applyFont="1" applyFill="1" applyBorder="1" applyAlignment="1" applyProtection="0">
      <alignment vertical="center" wrapText="1"/>
    </xf>
    <xf numFmtId="49" fontId="4" fillId="3" borderId="1" applyNumberFormat="1" applyFont="1" applyFill="1" applyBorder="1" applyAlignment="1" applyProtection="0">
      <alignment horizontal="left" vertical="top" wrapText="1"/>
    </xf>
    <xf numFmtId="49" fontId="4" fillId="3" borderId="1" applyNumberFormat="1" applyFont="1" applyFill="1" applyBorder="1" applyAlignment="1" applyProtection="0">
      <alignment horizontal="left" vertical="top" wrapText="1" readingOrder="2"/>
    </xf>
    <xf numFmtId="0" fontId="5" fillId="3" borderId="1" applyNumberFormat="1" applyFont="1" applyFill="1" applyBorder="1" applyAlignment="1" applyProtection="0">
      <alignment horizontal="center" vertical="center" wrapText="1"/>
    </xf>
    <xf numFmtId="49" fontId="5" fillId="3" borderId="1" applyNumberFormat="1" applyFont="1" applyFill="1" applyBorder="1" applyAlignment="1" applyProtection="0">
      <alignment horizontal="center" vertical="center" wrapText="1"/>
    </xf>
    <xf numFmtId="0" fontId="4" fillId="3" borderId="1" applyNumberFormat="0" applyFont="1" applyFill="1" applyBorder="1" applyAlignment="1" applyProtection="0">
      <alignment horizontal="left" vertical="top" wrapText="1"/>
    </xf>
    <xf numFmtId="49" fontId="4" fillId="2" borderId="20" applyNumberFormat="1" applyFont="1" applyFill="1" applyBorder="1" applyAlignment="1" applyProtection="0">
      <alignment horizontal="left" vertical="top" readingOrder="2"/>
    </xf>
    <xf numFmtId="49" fontId="5" fillId="2" borderId="22" applyNumberFormat="1" applyFont="1" applyFill="1" applyBorder="1" applyAlignment="1" applyProtection="0">
      <alignment horizontal="center" vertical="center" wrapText="1" readingOrder="2"/>
    </xf>
    <xf numFmtId="49" fontId="4" fillId="2" borderId="2" applyNumberFormat="1" applyFont="1" applyFill="1" applyBorder="1" applyAlignment="1" applyProtection="0">
      <alignment horizontal="left" vertical="top" readingOrder="2"/>
    </xf>
    <xf numFmtId="0" fontId="5" fillId="2" borderId="19" applyNumberFormat="0" applyFont="1" applyFill="1" applyBorder="1" applyAlignment="1" applyProtection="0">
      <alignment horizontal="center" vertical="center" wrapText="1"/>
    </xf>
    <xf numFmtId="49" fontId="6" fillId="7" borderId="1" applyNumberFormat="1" applyFont="1" applyFill="1" applyBorder="1" applyAlignment="1" applyProtection="0">
      <alignment horizontal="right" vertical="top" wrapText="1" readingOrder="2"/>
    </xf>
    <xf numFmtId="49" fontId="6" fillId="5" borderId="1" applyNumberFormat="1" applyFont="1" applyFill="1" applyBorder="1" applyAlignment="1" applyProtection="0">
      <alignment horizontal="right" vertical="top" wrapText="1"/>
    </xf>
    <xf numFmtId="0" fontId="4" fillId="5" borderId="1" applyNumberFormat="1" applyFont="1" applyFill="1" applyBorder="1" applyAlignment="1" applyProtection="0">
      <alignment horizontal="right" vertical="top" wrapText="1"/>
    </xf>
    <xf numFmtId="49" fontId="10" fillId="7" borderId="1" applyNumberFormat="1" applyFont="1" applyFill="1" applyBorder="1" applyAlignment="1" applyProtection="0">
      <alignment horizontal="left" vertical="top" wrapText="1"/>
    </xf>
    <xf numFmtId="49" fontId="6" fillId="2" borderId="1" applyNumberFormat="1" applyFont="1" applyFill="1" applyBorder="1" applyAlignment="1" applyProtection="0">
      <alignment horizontal="right" vertical="top" wrapText="1" readingOrder="2"/>
    </xf>
    <xf numFmtId="49" fontId="4" fillId="5" borderId="1" applyNumberFormat="1" applyFont="1" applyFill="1" applyBorder="1" applyAlignment="1" applyProtection="0">
      <alignment horizontal="center" vertical="center" wrapText="1" readingOrder="2"/>
    </xf>
    <xf numFmtId="0" fontId="0" fillId="5" borderId="3" applyNumberFormat="1" applyFont="1" applyFill="1" applyBorder="1" applyAlignment="1" applyProtection="0">
      <alignment vertical="center" wrapText="1"/>
    </xf>
    <xf numFmtId="49" fontId="4" fillId="9" borderId="1" applyNumberFormat="1" applyFont="1" applyFill="1" applyBorder="1" applyAlignment="1" applyProtection="0">
      <alignment horizontal="right" vertical="top" wrapText="1"/>
    </xf>
    <xf numFmtId="0" fontId="0" fillId="2" borderId="45" applyNumberFormat="0" applyFont="1" applyFill="1" applyBorder="1" applyAlignment="1" applyProtection="0">
      <alignment vertical="bottom"/>
    </xf>
    <xf numFmtId="0" fontId="0" fillId="7" borderId="11" applyNumberFormat="1" applyFont="1" applyFill="1" applyBorder="1" applyAlignment="1" applyProtection="0">
      <alignment vertical="bottom"/>
    </xf>
    <xf numFmtId="0" fontId="0" fillId="2" borderId="44" applyNumberFormat="0" applyFont="1" applyFill="1" applyBorder="1" applyAlignment="1" applyProtection="0">
      <alignment vertical="bottom"/>
    </xf>
    <xf numFmtId="0" fontId="4" fillId="2" borderId="1" applyNumberFormat="1" applyFont="1" applyFill="1" applyBorder="1" applyAlignment="1" applyProtection="0">
      <alignment horizontal="right" vertical="top" wrapText="1"/>
    </xf>
    <xf numFmtId="0" fontId="4" fillId="7" borderId="1" applyNumberFormat="1" applyFont="1" applyFill="1" applyBorder="1" applyAlignment="1" applyProtection="0">
      <alignment horizontal="right" vertical="top" wrapText="1"/>
    </xf>
    <xf numFmtId="49" fontId="4" fillId="2" borderId="1" applyNumberFormat="1" applyFont="1" applyFill="1" applyBorder="1" applyAlignment="1" applyProtection="0">
      <alignment horizontal="center" vertical="top"/>
    </xf>
    <xf numFmtId="49" fontId="4" fillId="2" borderId="1" applyNumberFormat="1" applyFont="1" applyFill="1" applyBorder="1" applyAlignment="1" applyProtection="0">
      <alignment horizontal="center" vertical="top" readingOrder="2"/>
    </xf>
    <xf numFmtId="49" fontId="4" fillId="7" borderId="1" applyNumberFormat="1" applyFont="1" applyFill="1" applyBorder="1" applyAlignment="1" applyProtection="0">
      <alignment horizontal="center" vertical="top" wrapText="1"/>
    </xf>
    <xf numFmtId="49" fontId="4" fillId="7" borderId="1" applyNumberFormat="1" applyFont="1" applyFill="1" applyBorder="1" applyAlignment="1" applyProtection="0">
      <alignment horizontal="center" vertical="top" wrapText="1" readingOrder="2"/>
    </xf>
    <xf numFmtId="0" fontId="4" fillId="2" borderId="1" applyNumberFormat="1" applyFont="1" applyFill="1" applyBorder="1" applyAlignment="1" applyProtection="0">
      <alignment horizontal="center" vertical="center" wrapText="1"/>
    </xf>
    <xf numFmtId="0" fontId="0" fillId="2" borderId="10" applyNumberFormat="1" applyFont="1" applyFill="1" applyBorder="1" applyAlignment="1" applyProtection="0">
      <alignment vertical="center" wrapText="1"/>
    </xf>
    <xf numFmtId="49" fontId="6" fillId="10" borderId="1" applyNumberFormat="1" applyFont="1" applyFill="1" applyBorder="1" applyAlignment="1" applyProtection="0">
      <alignment horizontal="left" vertical="top" wrapText="1"/>
    </xf>
    <xf numFmtId="49" fontId="6" fillId="10" borderId="22" applyNumberFormat="1" applyFont="1" applyFill="1" applyBorder="1" applyAlignment="1" applyProtection="0">
      <alignment horizontal="left" vertical="top" wrapText="1" readingOrder="2"/>
    </xf>
    <xf numFmtId="49" fontId="6" fillId="10" borderId="22" applyNumberFormat="1" applyFont="1" applyFill="1" applyBorder="1" applyAlignment="1" applyProtection="0">
      <alignment horizontal="center" vertical="top" wrapText="1" readingOrder="2"/>
    </xf>
    <xf numFmtId="0" fontId="0" fillId="2" borderId="46" applyNumberFormat="0" applyFont="1" applyFill="1" applyBorder="1" applyAlignment="1" applyProtection="0">
      <alignment vertical="bottom"/>
    </xf>
    <xf numFmtId="49" fontId="6" fillId="10" borderId="19" applyNumberFormat="1" applyFont="1" applyFill="1" applyBorder="1" applyAlignment="1" applyProtection="0">
      <alignment horizontal="left" vertical="top" wrapText="1" readingOrder="2"/>
    </xf>
    <xf numFmtId="0" fontId="6" fillId="10" borderId="19" applyNumberFormat="0" applyFont="1" applyFill="1" applyBorder="1" applyAlignment="1" applyProtection="0">
      <alignment horizontal="center" vertical="top" wrapText="1" readingOrder="2"/>
    </xf>
    <xf numFmtId="0" fontId="0" fillId="2" borderId="8" applyNumberFormat="1" applyFont="1" applyFill="1" applyBorder="1" applyAlignment="1" applyProtection="0">
      <alignment vertical="bottom"/>
    </xf>
    <xf numFmtId="0" fontId="0" fillId="2" borderId="28" applyNumberFormat="1" applyFont="1" applyFill="1" applyBorder="1" applyAlignment="1" applyProtection="0">
      <alignment vertical="bottom"/>
    </xf>
    <xf numFmtId="0" fontId="0" fillId="2" borderId="40" applyNumberFormat="1" applyFont="1" applyFill="1" applyBorder="1" applyAlignment="1" applyProtection="0">
      <alignment vertical="bottom"/>
    </xf>
    <xf numFmtId="0" fontId="0" fillId="2" borderId="21" applyNumberFormat="1" applyFont="1" applyFill="1" applyBorder="1" applyAlignment="1" applyProtection="0">
      <alignment vertical="bottom"/>
    </xf>
    <xf numFmtId="49" fontId="3" fillId="7" borderId="1" applyNumberFormat="1" applyFont="1" applyFill="1" applyBorder="1" applyAlignment="1" applyProtection="0">
      <alignment horizontal="left" vertical="top" wrapText="1"/>
    </xf>
    <xf numFmtId="49" fontId="5" fillId="5" borderId="1" applyNumberFormat="1" applyFont="1" applyFill="1" applyBorder="1" applyAlignment="1" applyProtection="0">
      <alignment horizontal="center" vertical="center"/>
    </xf>
    <xf numFmtId="49" fontId="5" fillId="5" borderId="1" applyNumberFormat="1" applyFont="1" applyFill="1" applyBorder="1" applyAlignment="1" applyProtection="0">
      <alignment horizontal="center" vertical="center" readingOrder="2"/>
    </xf>
    <xf numFmtId="49" fontId="6" fillId="10" borderId="1" applyNumberFormat="1" applyFont="1" applyFill="1" applyBorder="1" applyAlignment="1" applyProtection="0">
      <alignment horizontal="left" vertical="top" wrapText="1" readingOrder="2"/>
    </xf>
    <xf numFmtId="49" fontId="6" fillId="10" borderId="1" applyNumberFormat="1" applyFont="1" applyFill="1" applyBorder="1" applyAlignment="1" applyProtection="0">
      <alignment horizontal="right" vertical="top" wrapText="1"/>
    </xf>
    <xf numFmtId="49" fontId="3" fillId="9" borderId="1" applyNumberFormat="1" applyFont="1" applyFill="1" applyBorder="1" applyAlignment="1" applyProtection="0">
      <alignment horizontal="left" vertical="top" wrapText="1"/>
    </xf>
    <xf numFmtId="0" fontId="3" fillId="9" borderId="1" applyNumberFormat="0" applyFont="1" applyFill="1" applyBorder="1" applyAlignment="1" applyProtection="0">
      <alignment horizontal="left" vertical="top" wrapText="1"/>
    </xf>
    <xf numFmtId="49" fontId="3" fillId="10" borderId="1" applyNumberFormat="1" applyFont="1" applyFill="1" applyBorder="1" applyAlignment="1" applyProtection="0">
      <alignment horizontal="left" vertical="top" wrapText="1"/>
    </xf>
    <xf numFmtId="49" fontId="3" fillId="2" borderId="1" applyNumberFormat="1" applyFont="1" applyFill="1" applyBorder="1" applyAlignment="1" applyProtection="0">
      <alignment horizontal="right" vertical="top" wrapText="1"/>
    </xf>
    <xf numFmtId="0" fontId="4" fillId="7" borderId="1" applyNumberFormat="1" applyFont="1" applyFill="1" applyBorder="1" applyAlignment="1" applyProtection="0">
      <alignment horizontal="right" vertical="top"/>
    </xf>
    <xf numFmtId="49" fontId="5" fillId="2" borderId="1" applyNumberFormat="1" applyFont="1" applyFill="1" applyBorder="1" applyAlignment="1" applyProtection="0">
      <alignment horizontal="center" vertical="center"/>
    </xf>
    <xf numFmtId="1" fontId="5" fillId="11" borderId="1" applyNumberFormat="1" applyFont="1" applyFill="1" applyBorder="1" applyAlignment="1" applyProtection="0">
      <alignment horizontal="center" vertical="center"/>
    </xf>
    <xf numFmtId="1" fontId="5" fillId="2" borderId="1" applyNumberFormat="1" applyFont="1" applyFill="1" applyBorder="1" applyAlignment="1" applyProtection="0">
      <alignment horizontal="center" vertical="center" wrapText="1"/>
    </xf>
    <xf numFmtId="0" fontId="17" fillId="5" borderId="1" applyNumberFormat="1" applyFont="1" applyFill="1" applyBorder="1" applyAlignment="1" applyProtection="0">
      <alignment horizontal="left" vertical="top" wrapText="1"/>
    </xf>
    <xf numFmtId="0" fontId="17" fillId="5" borderId="1" applyNumberFormat="0" applyFont="1" applyFill="1" applyBorder="1" applyAlignment="1" applyProtection="0">
      <alignment horizontal="left" vertical="top" wrapText="1"/>
    </xf>
    <xf numFmtId="49" fontId="17" fillId="9" borderId="1" applyNumberFormat="1" applyFont="1" applyFill="1" applyBorder="1" applyAlignment="1" applyProtection="0">
      <alignment horizontal="left" vertical="top" wrapText="1"/>
    </xf>
    <xf numFmtId="0" fontId="17" fillId="9" borderId="1" applyNumberFormat="0" applyFont="1" applyFill="1" applyBorder="1" applyAlignment="1" applyProtection="0">
      <alignment horizontal="left" vertical="top" wrapText="1"/>
    </xf>
    <xf numFmtId="49" fontId="17" fillId="2" borderId="1" applyNumberFormat="1" applyFont="1" applyFill="1" applyBorder="1" applyAlignment="1" applyProtection="0">
      <alignment horizontal="left" vertical="top" wrapText="1"/>
    </xf>
    <xf numFmtId="49" fontId="17" fillId="2" borderId="1" applyNumberFormat="1" applyFont="1" applyFill="1" applyBorder="1" applyAlignment="1" applyProtection="0">
      <alignment horizontal="left" vertical="top" wrapText="1" readingOrder="2"/>
    </xf>
    <xf numFmtId="49" fontId="17" fillId="10" borderId="1" applyNumberFormat="1" applyFont="1" applyFill="1" applyBorder="1" applyAlignment="1" applyProtection="0">
      <alignment horizontal="left" vertical="top" wrapText="1"/>
    </xf>
    <xf numFmtId="0" fontId="17" fillId="10" borderId="1" applyNumberFormat="0" applyFont="1" applyFill="1" applyBorder="1" applyAlignment="1" applyProtection="0">
      <alignment horizontal="left" vertical="top" wrapText="1"/>
    </xf>
    <xf numFmtId="0" fontId="0" fillId="2" borderId="31" applyNumberFormat="0" applyFont="1" applyFill="1" applyBorder="1" applyAlignment="1" applyProtection="0">
      <alignment vertical="bottom"/>
    </xf>
    <xf numFmtId="0" fontId="0" fillId="2" borderId="7" applyNumberFormat="1" applyFont="1" applyFill="1" applyBorder="1" applyAlignment="1" applyProtection="0">
      <alignment vertical="bottom"/>
    </xf>
    <xf numFmtId="49" fontId="17" fillId="7" borderId="1" applyNumberFormat="1" applyFont="1" applyFill="1" applyBorder="1" applyAlignment="1" applyProtection="0">
      <alignment horizontal="left" vertical="top" wrapText="1"/>
    </xf>
    <xf numFmtId="49" fontId="17" fillId="7" borderId="1" applyNumberFormat="1" applyFont="1" applyFill="1" applyBorder="1" applyAlignment="1" applyProtection="0">
      <alignment horizontal="left" vertical="top" wrapText="1" readingOrder="2"/>
    </xf>
    <xf numFmtId="0" fontId="0" fillId="2" borderId="13" applyNumberFormat="1" applyFont="1" applyFill="1" applyBorder="1" applyAlignment="1" applyProtection="0">
      <alignment vertical="bottom"/>
    </xf>
    <xf numFmtId="49" fontId="17" fillId="7" borderId="22" applyNumberFormat="1" applyFont="1" applyFill="1" applyBorder="1" applyAlignment="1" applyProtection="0">
      <alignment horizontal="left" vertical="top" wrapText="1" readingOrder="2"/>
    </xf>
    <xf numFmtId="49" fontId="4" fillId="2" borderId="20" applyNumberFormat="1" applyFont="1" applyFill="1" applyBorder="1" applyAlignment="1" applyProtection="0">
      <alignment horizontal="right" vertical="top" wrapText="1" readingOrder="2"/>
    </xf>
    <xf numFmtId="49" fontId="17" fillId="2" borderId="19" applyNumberFormat="1" applyFont="1" applyFill="1" applyBorder="1" applyAlignment="1" applyProtection="0">
      <alignment horizontal="left" vertical="top" wrapText="1" readingOrder="2"/>
    </xf>
    <xf numFmtId="0" fontId="4" fillId="2" borderId="2" applyNumberFormat="0" applyFont="1" applyFill="1" applyBorder="1" applyAlignment="1" applyProtection="0">
      <alignment horizontal="right" vertical="top" wrapText="1"/>
    </xf>
    <xf numFmtId="0" fontId="0" fillId="2" borderId="30" applyNumberFormat="0" applyFont="1" applyFill="1" applyBorder="1" applyAlignment="1" applyProtection="0">
      <alignment vertical="bottom"/>
    </xf>
    <xf numFmtId="0" fontId="0" fillId="2" borderId="23" applyNumberFormat="1" applyFont="1" applyFill="1" applyBorder="1" applyAlignment="1" applyProtection="0">
      <alignment vertical="bottom"/>
    </xf>
    <xf numFmtId="0" fontId="0" fillId="2" borderId="25" applyNumberFormat="1" applyFont="1" applyFill="1" applyBorder="1" applyAlignment="1" applyProtection="0">
      <alignment vertical="bottom"/>
    </xf>
    <xf numFmtId="0" fontId="17" fillId="2" borderId="1" applyNumberFormat="0" applyFont="1" applyFill="1" applyBorder="1" applyAlignment="1" applyProtection="0">
      <alignment horizontal="left" vertical="top" wrapText="1"/>
    </xf>
    <xf numFmtId="49" fontId="17" fillId="2" borderId="20" applyNumberFormat="1" applyFont="1" applyFill="1" applyBorder="1" applyAlignment="1" applyProtection="0">
      <alignment horizontal="left" vertical="top" wrapText="1" readingOrder="2"/>
    </xf>
    <xf numFmtId="49" fontId="17" fillId="2" borderId="2" applyNumberFormat="1" applyFont="1" applyFill="1" applyBorder="1" applyAlignment="1" applyProtection="0">
      <alignment horizontal="left" vertical="top" wrapText="1" readingOrder="2"/>
    </xf>
    <xf numFmtId="49" fontId="17" fillId="2" borderId="1" applyNumberFormat="1" applyFont="1" applyFill="1" applyBorder="1" applyAlignment="1" applyProtection="0">
      <alignment horizontal="left" vertical="top"/>
    </xf>
    <xf numFmtId="0" fontId="17" fillId="2" borderId="1" applyNumberFormat="0" applyFont="1" applyFill="1" applyBorder="1" applyAlignment="1" applyProtection="0">
      <alignment horizontal="left" vertical="top"/>
    </xf>
    <xf numFmtId="0" fontId="4" fillId="9" borderId="1" applyNumberFormat="1" applyFont="1" applyFill="1" applyBorder="1" applyAlignment="1" applyProtection="0">
      <alignment horizontal="left" vertical="top" wrapText="1"/>
    </xf>
    <xf numFmtId="49" fontId="3" fillId="9" borderId="1" applyNumberFormat="1" applyFont="1" applyFill="1" applyBorder="1" applyAlignment="1" applyProtection="0">
      <alignment horizontal="left" vertical="top"/>
    </xf>
    <xf numFmtId="0" fontId="3" fillId="9" borderId="1" applyNumberFormat="0" applyFont="1" applyFill="1" applyBorder="1" applyAlignment="1" applyProtection="0">
      <alignment horizontal="left" vertical="top"/>
    </xf>
    <xf numFmtId="0" fontId="3" fillId="9" borderId="1" applyNumberFormat="1" applyFont="1" applyFill="1" applyBorder="1" applyAlignment="1" applyProtection="0">
      <alignment horizontal="left" vertical="top"/>
    </xf>
    <xf numFmtId="0" fontId="21" fillId="10" borderId="1" applyNumberFormat="1" applyFont="1" applyFill="1" applyBorder="1" applyAlignment="1" applyProtection="0">
      <alignment horizontal="right" vertical="top"/>
    </xf>
    <xf numFmtId="0" fontId="0" fillId="2" borderId="47" applyNumberFormat="0" applyFont="1" applyFill="1" applyBorder="1" applyAlignment="1" applyProtection="0">
      <alignment vertical="bottom"/>
    </xf>
    <xf numFmtId="0" fontId="0" fillId="11" borderId="48" applyNumberFormat="0" applyFont="1" applyFill="1" applyBorder="1" applyAlignment="1" applyProtection="0">
      <alignment vertical="bottom"/>
    </xf>
    <xf numFmtId="0" fontId="0" fillId="3" borderId="48" applyNumberFormat="0" applyFont="1" applyFill="1" applyBorder="1" applyAlignment="1" applyProtection="0">
      <alignment vertical="bottom"/>
    </xf>
    <xf numFmtId="0" fontId="0" fillId="4" borderId="38" applyNumberFormat="0" applyFont="1" applyFill="1" applyBorder="1" applyAlignment="1" applyProtection="0">
      <alignment vertical="bottom"/>
    </xf>
    <xf numFmtId="0" fontId="0" fillId="2" borderId="49"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ffff00"/>
      <rgbColor rgb="ffaaaaaa"/>
      <rgbColor rgb="fffbe4d5"/>
      <rgbColor rgb="ffff0000"/>
      <rgbColor rgb="ffbdd6ee"/>
      <rgbColor rgb="ffbf9000"/>
      <rgbColor rgb="ffffd965"/>
      <rgbColor rgb="ffb4bac3"/>
      <rgbColor rgb="ff00b050"/>
      <rgbColor rgb="ff7030a0"/>
      <rgbColor rgb="fff2f2f2"/>
      <rgbColor rgb="ffdadad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V664"/>
  <sheetViews>
    <sheetView workbookViewId="0" showGridLines="0" defaultGridColor="1"/>
  </sheetViews>
  <sheetFormatPr defaultColWidth="8.83333" defaultRowHeight="15.75" customHeight="1" outlineLevelRow="0" outlineLevelCol="0"/>
  <cols>
    <col min="1" max="1" width="39.1719" style="1" customWidth="1"/>
    <col min="2" max="2" width="16.3516" style="1" customWidth="1"/>
    <col min="3" max="6" hidden="1" width="8.83333" style="1" customWidth="1"/>
    <col min="7" max="7" width="14.1719" style="1" customWidth="1"/>
    <col min="8" max="8" width="13.8516" style="1" customWidth="1"/>
    <col min="9" max="9" width="15.3516" style="1" customWidth="1"/>
    <col min="10" max="10" width="15.8516" style="1" customWidth="1"/>
    <col min="11" max="14" width="18.5" style="1" customWidth="1"/>
    <col min="15" max="15" width="21.1719" style="1" customWidth="1"/>
    <col min="16" max="17" width="18.5" style="1" customWidth="1"/>
    <col min="18" max="19" width="15.6719" style="1" customWidth="1"/>
    <col min="20" max="20" width="12.8516" style="1" customWidth="1"/>
    <col min="21" max="21" width="15.6719" style="1" customWidth="1"/>
    <col min="22" max="22" width="18.5" style="1" customWidth="1"/>
    <col min="23" max="16384" width="8.85156" style="1" customWidth="1"/>
  </cols>
  <sheetData>
    <row r="1" ht="53.25" customHeight="1">
      <c r="A1" t="s" s="2">
        <v>0</v>
      </c>
      <c r="B1" t="s" s="3">
        <v>1</v>
      </c>
      <c r="C1" s="4"/>
      <c r="D1" s="5"/>
      <c r="E1" s="6"/>
      <c r="F1" s="6"/>
      <c r="G1" t="s" s="7">
        <v>2</v>
      </c>
      <c r="H1" t="s" s="8">
        <v>3</v>
      </c>
      <c r="I1" t="s" s="9">
        <v>4</v>
      </c>
      <c r="J1" t="s" s="8">
        <v>5</v>
      </c>
      <c r="K1" t="s" s="8">
        <v>6</v>
      </c>
      <c r="L1" t="s" s="8">
        <v>7</v>
      </c>
      <c r="M1" t="s" s="8">
        <v>8</v>
      </c>
      <c r="N1" t="s" s="8">
        <v>9</v>
      </c>
      <c r="O1" t="s" s="8">
        <v>10</v>
      </c>
      <c r="P1" t="s" s="8">
        <v>11</v>
      </c>
      <c r="Q1" t="s" s="8">
        <v>12</v>
      </c>
      <c r="R1" t="s" s="8">
        <v>13</v>
      </c>
      <c r="S1" t="s" s="8">
        <v>14</v>
      </c>
      <c r="T1" t="s" s="8">
        <v>15</v>
      </c>
      <c r="U1" t="s" s="8">
        <v>16</v>
      </c>
      <c r="V1" t="s" s="8">
        <v>17</v>
      </c>
    </row>
    <row r="2" ht="19.5" customHeight="1">
      <c r="A2" t="s" s="10">
        <v>18</v>
      </c>
      <c r="B2" s="11"/>
      <c r="C2" s="12"/>
      <c r="D2" s="13"/>
      <c r="E2" s="6"/>
      <c r="F2" s="6"/>
      <c r="G2" s="14"/>
      <c r="H2" s="15"/>
      <c r="I2" s="15"/>
      <c r="J2" s="15"/>
      <c r="K2" s="15"/>
      <c r="L2" s="15"/>
      <c r="M2" s="15"/>
      <c r="N2" s="15"/>
      <c r="O2" s="15"/>
      <c r="P2" s="15"/>
      <c r="Q2" s="15"/>
      <c r="R2" s="15"/>
      <c r="S2" s="15"/>
      <c r="T2" s="15"/>
      <c r="U2" s="15"/>
      <c r="V2" s="15"/>
    </row>
    <row r="3" ht="19.5" customHeight="1">
      <c r="A3" t="s" s="16">
        <v>19</v>
      </c>
      <c r="B3" s="11"/>
      <c r="C3" s="12"/>
      <c r="D3" s="13"/>
      <c r="E3" s="6"/>
      <c r="F3" s="6"/>
      <c r="G3" s="14"/>
      <c r="H3" s="15"/>
      <c r="I3" s="15"/>
      <c r="J3" s="15"/>
      <c r="K3" s="15"/>
      <c r="L3" s="15"/>
      <c r="M3" s="15"/>
      <c r="N3" s="15"/>
      <c r="O3" s="15"/>
      <c r="P3" s="15"/>
      <c r="Q3" s="15"/>
      <c r="R3" s="15"/>
      <c r="S3" s="15"/>
      <c r="T3" s="15"/>
      <c r="U3" s="15"/>
      <c r="V3" s="15"/>
    </row>
    <row r="4" ht="19.5" customHeight="1">
      <c r="A4" t="s" s="16">
        <v>20</v>
      </c>
      <c r="B4" s="11"/>
      <c r="C4" s="12"/>
      <c r="D4" s="13"/>
      <c r="E4" s="17"/>
      <c r="F4" s="17"/>
      <c r="G4" s="18"/>
      <c r="H4" s="19"/>
      <c r="I4" s="19"/>
      <c r="J4" s="19"/>
      <c r="K4" s="19"/>
      <c r="L4" s="19"/>
      <c r="M4" s="19"/>
      <c r="N4" s="19"/>
      <c r="O4" s="19"/>
      <c r="P4" s="20"/>
      <c r="Q4" s="20"/>
      <c r="R4" s="19"/>
      <c r="S4" s="20"/>
      <c r="T4" s="19"/>
      <c r="U4" s="19"/>
      <c r="V4" s="19"/>
    </row>
    <row r="5" ht="31.5" customHeight="1">
      <c r="A5" t="s" s="21">
        <v>21</v>
      </c>
      <c r="B5" s="22">
        <f>SUM(C5,G5)</f>
        <v>1500</v>
      </c>
      <c r="C5" s="23">
        <f>SUM(H5,I5,J5,K5,L5,M5,N5,O5,P5,Q5,R5,S5,T5,U5,V5)</f>
        <v>1500</v>
      </c>
      <c r="D5" s="24"/>
      <c r="E5" s="25"/>
      <c r="F5" s="25"/>
      <c r="G5" s="26"/>
      <c r="H5" s="27">
        <v>1000</v>
      </c>
      <c r="I5" s="28">
        <v>0</v>
      </c>
      <c r="J5" s="28">
        <v>300</v>
      </c>
      <c r="K5" s="29">
        <v>200</v>
      </c>
      <c r="L5" s="28">
        <v>0</v>
      </c>
      <c r="M5" s="30">
        <v>0</v>
      </c>
      <c r="N5" s="30">
        <v>0</v>
      </c>
      <c r="O5" s="30">
        <v>0</v>
      </c>
      <c r="P5" s="31">
        <v>0</v>
      </c>
      <c r="Q5" s="32">
        <v>0</v>
      </c>
      <c r="R5" s="28">
        <v>0</v>
      </c>
      <c r="S5" s="33"/>
      <c r="T5" s="28">
        <v>0</v>
      </c>
      <c r="U5" s="28">
        <v>0</v>
      </c>
      <c r="V5" s="28">
        <v>0</v>
      </c>
    </row>
    <row r="6" ht="34.5" customHeight="1">
      <c r="A6" t="s" s="10">
        <v>22</v>
      </c>
      <c r="B6" s="34">
        <f>SUM(C6,G6)</f>
        <v>1170</v>
      </c>
      <c r="C6" s="35">
        <f>SUM(H6,I6,J6,K6,L6,M6,N6,O6,P6,Q6,R6,S6,T6,U6,V6)</f>
        <v>1150</v>
      </c>
      <c r="D6" s="36"/>
      <c r="E6" s="25"/>
      <c r="F6" s="25"/>
      <c r="G6" s="37">
        <v>20</v>
      </c>
      <c r="H6" s="27">
        <v>1000</v>
      </c>
      <c r="I6" s="38">
        <v>10</v>
      </c>
      <c r="J6" s="38">
        <v>40</v>
      </c>
      <c r="K6" s="39">
        <v>100</v>
      </c>
      <c r="L6" s="38">
        <v>0</v>
      </c>
      <c r="M6" s="40">
        <v>0</v>
      </c>
      <c r="N6" s="40">
        <v>0</v>
      </c>
      <c r="O6" s="40">
        <v>0</v>
      </c>
      <c r="P6" s="41">
        <v>0</v>
      </c>
      <c r="Q6" s="38">
        <v>0</v>
      </c>
      <c r="R6" s="38">
        <v>0</v>
      </c>
      <c r="S6" s="33"/>
      <c r="T6" s="38">
        <v>0</v>
      </c>
      <c r="U6" s="38">
        <v>0</v>
      </c>
      <c r="V6" s="38">
        <v>0</v>
      </c>
    </row>
    <row r="7" ht="19.5" customHeight="1">
      <c r="A7" t="s" s="16">
        <v>23</v>
      </c>
      <c r="B7" s="42">
        <f>SUM(C7,G7)</f>
        <v>0</v>
      </c>
      <c r="C7" s="43">
        <f>SUM(H7,I7,J7,K7,L7,M7,N7,O7,P7,Q7,R7,S7,T7,U7,V7)</f>
        <v>0</v>
      </c>
      <c r="D7" s="44"/>
      <c r="E7" s="45"/>
      <c r="F7" s="45"/>
      <c r="G7" s="45"/>
      <c r="H7" s="46"/>
      <c r="I7" s="47"/>
      <c r="J7" s="47"/>
      <c r="K7" s="47"/>
      <c r="L7" s="47"/>
      <c r="M7" s="48">
        <v>0</v>
      </c>
      <c r="N7" s="49"/>
      <c r="O7" s="50"/>
      <c r="P7" s="45"/>
      <c r="Q7" s="51">
        <v>0</v>
      </c>
      <c r="R7" s="47"/>
      <c r="S7" s="45"/>
      <c r="T7" s="47"/>
      <c r="U7" s="47"/>
      <c r="V7" s="51">
        <v>0</v>
      </c>
    </row>
    <row r="8" ht="47.25" customHeight="1">
      <c r="A8" t="s" s="52">
        <v>24</v>
      </c>
      <c r="B8" s="42">
        <f>SUM(C8,G8)</f>
        <v>57806</v>
      </c>
      <c r="C8" s="43">
        <f>SUM(H8,I8,J8,K8,L8,M8,N8,O8,P8,Q8,R8,S8,T8,U8,V8)</f>
        <v>56806</v>
      </c>
      <c r="D8" s="44"/>
      <c r="E8" s="6"/>
      <c r="F8" s="6"/>
      <c r="G8" s="53">
        <v>1000</v>
      </c>
      <c r="H8" s="27">
        <v>28000</v>
      </c>
      <c r="I8" s="51">
        <v>1600</v>
      </c>
      <c r="J8" s="51">
        <v>15000</v>
      </c>
      <c r="K8" s="54">
        <v>4000</v>
      </c>
      <c r="L8" s="51">
        <v>1650</v>
      </c>
      <c r="M8" s="48">
        <v>1300</v>
      </c>
      <c r="N8" s="48">
        <v>1461</v>
      </c>
      <c r="O8" s="55">
        <v>1050</v>
      </c>
      <c r="P8" s="53">
        <v>1500</v>
      </c>
      <c r="Q8" s="51">
        <v>1245</v>
      </c>
      <c r="R8" s="51">
        <v>0</v>
      </c>
      <c r="S8" s="6"/>
      <c r="T8" s="51">
        <v>0</v>
      </c>
      <c r="U8" s="51">
        <v>0</v>
      </c>
      <c r="V8" s="51">
        <v>0</v>
      </c>
    </row>
    <row r="9" ht="31.5" customHeight="1">
      <c r="A9" t="s" s="52">
        <v>25</v>
      </c>
      <c r="B9" s="42">
        <f>SUM(C9,G9)</f>
        <v>73630</v>
      </c>
      <c r="C9" s="43">
        <f>SUM(H9,I9,J9,K9,L9,M9,N9,O9,P9,Q9,R9,S9,T9,U9,V9)</f>
        <v>73630</v>
      </c>
      <c r="D9" s="44"/>
      <c r="E9" s="6"/>
      <c r="F9" s="6"/>
      <c r="G9" s="6"/>
      <c r="H9" s="27">
        <v>4000</v>
      </c>
      <c r="I9" s="51">
        <v>0</v>
      </c>
      <c r="J9" s="51">
        <v>3000</v>
      </c>
      <c r="K9" s="51">
        <v>300</v>
      </c>
      <c r="L9" s="51">
        <v>4000</v>
      </c>
      <c r="M9" s="48">
        <v>10600</v>
      </c>
      <c r="N9" s="48">
        <v>18450</v>
      </c>
      <c r="O9" s="55">
        <v>12750</v>
      </c>
      <c r="P9" s="53">
        <v>7500</v>
      </c>
      <c r="Q9" s="51">
        <v>13030</v>
      </c>
      <c r="R9" s="51">
        <v>0</v>
      </c>
      <c r="S9" s="6"/>
      <c r="T9" s="51">
        <v>0</v>
      </c>
      <c r="U9" s="51">
        <v>0</v>
      </c>
      <c r="V9" s="51">
        <v>0</v>
      </c>
    </row>
    <row r="10" ht="31.5" customHeight="1">
      <c r="A10" t="s" s="52">
        <v>26</v>
      </c>
      <c r="B10" s="42">
        <f>SUM(C10,G10)</f>
        <v>6250</v>
      </c>
      <c r="C10" s="43">
        <f>SUM(H10,I10,J10,K10,L10,M10,N10,O10,P10,Q10,R10,S10,T10,U10,V10)</f>
        <v>6250</v>
      </c>
      <c r="D10" s="44"/>
      <c r="E10" s="17"/>
      <c r="F10" s="17"/>
      <c r="G10" s="17"/>
      <c r="H10" s="27">
        <v>200</v>
      </c>
      <c r="I10" s="51">
        <v>0</v>
      </c>
      <c r="J10" s="51">
        <v>1600</v>
      </c>
      <c r="K10" s="54">
        <v>400</v>
      </c>
      <c r="L10" s="51">
        <v>0</v>
      </c>
      <c r="M10" s="48">
        <v>0</v>
      </c>
      <c r="N10" s="48">
        <v>1850</v>
      </c>
      <c r="O10" s="55">
        <v>0</v>
      </c>
      <c r="P10" s="56">
        <v>1000</v>
      </c>
      <c r="Q10" s="51">
        <v>0</v>
      </c>
      <c r="R10" s="51">
        <v>1200</v>
      </c>
      <c r="S10" s="17"/>
      <c r="T10" s="51">
        <v>0</v>
      </c>
      <c r="U10" s="51">
        <v>0</v>
      </c>
      <c r="V10" s="51">
        <v>0</v>
      </c>
    </row>
    <row r="11" ht="19.5" customHeight="1">
      <c r="A11" t="s" s="21">
        <v>27</v>
      </c>
      <c r="B11" s="22">
        <f>SUM(C11,G11)</f>
        <v>9500</v>
      </c>
      <c r="C11" s="23">
        <f>SUM(H11,I11,J11,K11,L11,M11,N11,O11,P11,Q11,R11,S11,T11,U11,V11)</f>
        <v>9500</v>
      </c>
      <c r="D11" s="36"/>
      <c r="E11" s="25"/>
      <c r="F11" s="25"/>
      <c r="G11" s="26"/>
      <c r="H11" s="27">
        <v>6000</v>
      </c>
      <c r="I11" s="28">
        <v>0</v>
      </c>
      <c r="J11" s="28">
        <v>2000</v>
      </c>
      <c r="K11" s="29">
        <v>500</v>
      </c>
      <c r="L11" s="28">
        <v>0</v>
      </c>
      <c r="M11" s="30">
        <v>0</v>
      </c>
      <c r="N11" s="30">
        <v>0</v>
      </c>
      <c r="O11" s="30">
        <v>0</v>
      </c>
      <c r="P11" s="41">
        <v>0</v>
      </c>
      <c r="Q11" s="28">
        <v>0</v>
      </c>
      <c r="R11" s="28">
        <v>1000</v>
      </c>
      <c r="S11" s="33"/>
      <c r="T11" s="28">
        <v>0</v>
      </c>
      <c r="U11" s="28">
        <v>0</v>
      </c>
      <c r="V11" s="28">
        <v>0</v>
      </c>
    </row>
    <row r="12" ht="31.5" customHeight="1">
      <c r="A12" t="s" s="16">
        <v>28</v>
      </c>
      <c r="B12" s="42">
        <f>SUM(C12,G12)</f>
        <v>0</v>
      </c>
      <c r="C12" s="43">
        <f>SUM(H12,I12,J12,K12,L12,M12,N12,O12,P12,Q12,R12,S12,T12,U12,V12)</f>
        <v>0</v>
      </c>
      <c r="D12" s="44"/>
      <c r="E12" s="33"/>
      <c r="F12" s="33"/>
      <c r="G12" s="33"/>
      <c r="H12" s="46"/>
      <c r="I12" s="47"/>
      <c r="J12" s="47"/>
      <c r="K12" s="47"/>
      <c r="L12" s="47"/>
      <c r="M12" s="48">
        <v>0</v>
      </c>
      <c r="N12" s="49"/>
      <c r="O12" s="50"/>
      <c r="P12" s="33"/>
      <c r="Q12" s="51">
        <v>0</v>
      </c>
      <c r="R12" s="47"/>
      <c r="S12" s="33"/>
      <c r="T12" s="47"/>
      <c r="U12" s="47"/>
      <c r="V12" s="51">
        <v>0</v>
      </c>
    </row>
    <row r="13" ht="19.5" customHeight="1">
      <c r="A13" t="s" s="21">
        <v>29</v>
      </c>
      <c r="B13" s="22">
        <f>SUM(C13,G13)</f>
        <v>7100</v>
      </c>
      <c r="C13" s="23">
        <f>SUM(H13,I13,J13,K13,L13,M13,N13,O13,P13,Q13,R13,S13,T13,U13,V13)</f>
        <v>7100</v>
      </c>
      <c r="D13" s="36"/>
      <c r="E13" s="25"/>
      <c r="F13" s="25"/>
      <c r="G13" s="26"/>
      <c r="H13" s="27">
        <v>2000</v>
      </c>
      <c r="I13" s="28">
        <v>0</v>
      </c>
      <c r="J13" s="28">
        <v>3000</v>
      </c>
      <c r="K13" s="28">
        <v>2000</v>
      </c>
      <c r="L13" s="28">
        <v>100</v>
      </c>
      <c r="M13" s="30">
        <v>0</v>
      </c>
      <c r="N13" s="30">
        <v>0</v>
      </c>
      <c r="O13" s="30">
        <v>0</v>
      </c>
      <c r="P13" s="41">
        <v>0</v>
      </c>
      <c r="Q13" s="28">
        <v>0</v>
      </c>
      <c r="R13" s="28">
        <v>0</v>
      </c>
      <c r="S13" s="33"/>
      <c r="T13" s="28">
        <v>0</v>
      </c>
      <c r="U13" s="28">
        <v>0</v>
      </c>
      <c r="V13" s="28">
        <v>0</v>
      </c>
    </row>
    <row r="14" ht="58.5" customHeight="1">
      <c r="A14" t="s" s="21">
        <v>30</v>
      </c>
      <c r="B14" s="22">
        <f>SUM(C14,G14)</f>
        <v>310</v>
      </c>
      <c r="C14" s="23">
        <f>SUM(H14,I14,J14,K14,L14,M14,N14,O14,P14,Q14,R14,S14,T14,U14,V14)</f>
        <v>310</v>
      </c>
      <c r="D14" s="36"/>
      <c r="E14" s="25"/>
      <c r="F14" s="25"/>
      <c r="G14" s="26"/>
      <c r="H14" s="27">
        <v>50</v>
      </c>
      <c r="I14" s="28">
        <v>10</v>
      </c>
      <c r="J14" s="28">
        <v>50</v>
      </c>
      <c r="K14" s="28">
        <v>200</v>
      </c>
      <c r="L14" s="28">
        <v>0</v>
      </c>
      <c r="M14" s="30">
        <v>0</v>
      </c>
      <c r="N14" s="30">
        <v>0</v>
      </c>
      <c r="O14" s="30">
        <v>0</v>
      </c>
      <c r="P14" s="41">
        <v>0</v>
      </c>
      <c r="Q14" s="28">
        <v>0</v>
      </c>
      <c r="R14" s="28">
        <v>0</v>
      </c>
      <c r="S14" s="33"/>
      <c r="T14" s="28">
        <v>0</v>
      </c>
      <c r="U14" s="28">
        <v>0</v>
      </c>
      <c r="V14" s="28">
        <v>0</v>
      </c>
    </row>
    <row r="15" ht="39" customHeight="1">
      <c r="A15" t="s" s="52">
        <v>31</v>
      </c>
      <c r="B15" s="42">
        <f>SUM(C15,G15)</f>
        <v>5700</v>
      </c>
      <c r="C15" s="43">
        <f>SUM(H15,I15,J15,K15,L15,M15,N15,O15,P15,Q15,R15,S15,T15,U15,V15)</f>
        <v>5700</v>
      </c>
      <c r="D15" s="44"/>
      <c r="E15" s="33"/>
      <c r="F15" s="33"/>
      <c r="G15" s="33"/>
      <c r="H15" s="27">
        <v>500</v>
      </c>
      <c r="I15" s="51">
        <v>0</v>
      </c>
      <c r="J15" s="51">
        <v>3000</v>
      </c>
      <c r="K15" s="51">
        <v>1000</v>
      </c>
      <c r="L15" s="51">
        <v>0</v>
      </c>
      <c r="M15" s="48">
        <v>0</v>
      </c>
      <c r="N15" s="48">
        <v>0</v>
      </c>
      <c r="O15" s="55">
        <v>0</v>
      </c>
      <c r="P15" s="41">
        <v>0</v>
      </c>
      <c r="Q15" s="51">
        <v>0</v>
      </c>
      <c r="R15" s="51">
        <v>1200</v>
      </c>
      <c r="S15" s="33"/>
      <c r="T15" s="51">
        <v>0</v>
      </c>
      <c r="U15" s="51">
        <v>0</v>
      </c>
      <c r="V15" s="51">
        <v>0</v>
      </c>
    </row>
    <row r="16" ht="52.05" customHeight="1">
      <c r="A16" t="s" s="10">
        <v>32</v>
      </c>
      <c r="B16" s="34">
        <f>SUM(C16,G16)</f>
        <v>1330</v>
      </c>
      <c r="C16" s="35">
        <f>SUM(H16,I16,J16,K16,L16,M16,N16,O16,P16,Q16,R16,S16,T16,U16,V16)</f>
        <v>1330</v>
      </c>
      <c r="D16" s="36"/>
      <c r="E16" s="25"/>
      <c r="F16" s="25"/>
      <c r="G16" s="26"/>
      <c r="H16" s="27">
        <v>1000</v>
      </c>
      <c r="I16" s="38">
        <v>100</v>
      </c>
      <c r="J16" s="38">
        <v>120</v>
      </c>
      <c r="K16" s="38">
        <v>100</v>
      </c>
      <c r="L16" s="38">
        <v>10</v>
      </c>
      <c r="M16" s="40">
        <v>0</v>
      </c>
      <c r="N16" s="40">
        <v>0</v>
      </c>
      <c r="O16" s="40">
        <v>0</v>
      </c>
      <c r="P16" s="41">
        <v>0</v>
      </c>
      <c r="Q16" s="38">
        <v>0</v>
      </c>
      <c r="R16" s="38">
        <v>0</v>
      </c>
      <c r="S16" s="33"/>
      <c r="T16" s="38">
        <v>0</v>
      </c>
      <c r="U16" s="38">
        <v>0</v>
      </c>
      <c r="V16" s="38">
        <v>0</v>
      </c>
    </row>
    <row r="17" ht="39" customHeight="1">
      <c r="A17" t="s" s="52">
        <v>33</v>
      </c>
      <c r="B17" s="42">
        <f>SUM(C17,G17)</f>
        <v>1760</v>
      </c>
      <c r="C17" s="43">
        <f>SUM(H17,I17,J17,K17,L17,M17,N17,O17,P17,Q17,R17,S17,T17,U17,V17)</f>
        <v>1760</v>
      </c>
      <c r="D17" s="44"/>
      <c r="E17" s="33"/>
      <c r="F17" s="33"/>
      <c r="G17" s="33"/>
      <c r="H17" s="27">
        <v>600</v>
      </c>
      <c r="I17" s="51">
        <v>100</v>
      </c>
      <c r="J17" s="51">
        <v>50</v>
      </c>
      <c r="K17" s="51">
        <v>1000</v>
      </c>
      <c r="L17" s="51">
        <v>10</v>
      </c>
      <c r="M17" s="48">
        <v>0</v>
      </c>
      <c r="N17" s="48">
        <v>0</v>
      </c>
      <c r="O17" s="55">
        <v>0</v>
      </c>
      <c r="P17" s="41">
        <v>0</v>
      </c>
      <c r="Q17" s="51">
        <v>0</v>
      </c>
      <c r="R17" s="51">
        <v>0</v>
      </c>
      <c r="S17" s="33"/>
      <c r="T17" s="51">
        <v>0</v>
      </c>
      <c r="U17" s="51">
        <v>0</v>
      </c>
      <c r="V17" s="51">
        <v>0</v>
      </c>
    </row>
    <row r="18" ht="78" customHeight="1" hidden="1">
      <c r="A18" t="s" s="52">
        <v>34</v>
      </c>
      <c r="B18" s="42">
        <f>SUM(C18,G18)</f>
        <v>22520</v>
      </c>
      <c r="C18" s="43">
        <f>SUM(H18,I18,J18,K18,L18,M18,N18,O18,P18,Q18,R18,S18,T18,U18,V18)</f>
        <v>22520</v>
      </c>
      <c r="D18" s="44"/>
      <c r="E18" s="33"/>
      <c r="F18" s="33"/>
      <c r="G18" s="33"/>
      <c r="H18" s="27">
        <v>3000</v>
      </c>
      <c r="I18" s="51">
        <v>0</v>
      </c>
      <c r="J18" s="51">
        <v>3200</v>
      </c>
      <c r="K18" s="51">
        <v>2000</v>
      </c>
      <c r="L18" s="51">
        <v>100</v>
      </c>
      <c r="M18" s="48">
        <v>1500</v>
      </c>
      <c r="N18" s="48">
        <v>10450</v>
      </c>
      <c r="O18" s="55">
        <v>550</v>
      </c>
      <c r="P18" s="41">
        <v>1000</v>
      </c>
      <c r="Q18" s="51">
        <v>0</v>
      </c>
      <c r="R18" s="51">
        <v>720</v>
      </c>
      <c r="S18" s="33"/>
      <c r="T18" s="51">
        <v>0</v>
      </c>
      <c r="U18" s="51">
        <v>0</v>
      </c>
      <c r="V18" s="51">
        <v>0</v>
      </c>
    </row>
    <row r="19" ht="97.5" customHeight="1" hidden="1">
      <c r="A19" t="s" s="52">
        <v>35</v>
      </c>
      <c r="B19" s="42">
        <f>SUM(C19,G19)</f>
        <v>1100</v>
      </c>
      <c r="C19" s="43">
        <f>SUM(H19,I19,J19,K19,L19,M19,N19,O19,P19,Q19,R19,S19,T19,U19,V19)</f>
        <v>1100</v>
      </c>
      <c r="D19" s="44"/>
      <c r="E19" s="33"/>
      <c r="F19" s="33"/>
      <c r="G19" s="33"/>
      <c r="H19" s="27">
        <v>0</v>
      </c>
      <c r="I19" s="51">
        <v>0</v>
      </c>
      <c r="J19" s="51">
        <v>800</v>
      </c>
      <c r="K19" s="51">
        <v>200</v>
      </c>
      <c r="L19" s="51">
        <v>100</v>
      </c>
      <c r="M19" s="48">
        <v>0</v>
      </c>
      <c r="N19" s="48">
        <v>0</v>
      </c>
      <c r="O19" s="55">
        <v>0</v>
      </c>
      <c r="P19" s="41">
        <v>0</v>
      </c>
      <c r="Q19" s="51">
        <v>0</v>
      </c>
      <c r="R19" s="51">
        <v>0</v>
      </c>
      <c r="S19" s="33"/>
      <c r="T19" s="51">
        <v>0</v>
      </c>
      <c r="U19" s="51">
        <v>0</v>
      </c>
      <c r="V19" s="51">
        <v>0</v>
      </c>
    </row>
    <row r="20" ht="75.1" customHeight="1">
      <c r="A20" t="s" s="57">
        <v>36</v>
      </c>
      <c r="B20" s="34">
        <f>SUM(C20,G20)</f>
        <v>1200</v>
      </c>
      <c r="C20" s="35">
        <f>SUM(H20,I20,J20,K20,L20,M20,N20,O20,P20,Q20,R20,S20,T20,U20,V20)</f>
        <v>1200</v>
      </c>
      <c r="D20" s="36"/>
      <c r="E20" s="25"/>
      <c r="F20" s="25"/>
      <c r="G20" s="26"/>
      <c r="H20" s="27">
        <v>100</v>
      </c>
      <c r="I20" s="38">
        <v>0</v>
      </c>
      <c r="J20" s="38">
        <v>1000</v>
      </c>
      <c r="K20" s="38">
        <v>100</v>
      </c>
      <c r="L20" s="38">
        <v>0</v>
      </c>
      <c r="M20" s="40">
        <v>0</v>
      </c>
      <c r="N20" s="40">
        <v>0</v>
      </c>
      <c r="O20" s="40">
        <v>0</v>
      </c>
      <c r="P20" s="41">
        <v>0</v>
      </c>
      <c r="Q20" s="38">
        <v>0</v>
      </c>
      <c r="R20" s="38">
        <v>0</v>
      </c>
      <c r="S20" s="33"/>
      <c r="T20" s="38">
        <v>0</v>
      </c>
      <c r="U20" s="38">
        <v>0</v>
      </c>
      <c r="V20" s="38">
        <v>0</v>
      </c>
    </row>
    <row r="21" ht="19.5" customHeight="1">
      <c r="A21" t="s" s="16">
        <v>37</v>
      </c>
      <c r="B21" s="42">
        <f>SUM(C21,G21)</f>
        <v>0</v>
      </c>
      <c r="C21" s="43">
        <f>SUM(H21,I21,J21,K21,L21,M21,N21,O21,P21,Q21,R21,S21,T21,U21,V21)</f>
        <v>0</v>
      </c>
      <c r="D21" s="44"/>
      <c r="E21" s="45"/>
      <c r="F21" s="45"/>
      <c r="G21" s="45"/>
      <c r="H21" s="46"/>
      <c r="I21" s="47"/>
      <c r="J21" s="47"/>
      <c r="K21" s="47"/>
      <c r="L21" s="47"/>
      <c r="M21" s="48">
        <v>0</v>
      </c>
      <c r="N21" s="49"/>
      <c r="O21" s="50"/>
      <c r="P21" s="45"/>
      <c r="Q21" s="51">
        <v>0</v>
      </c>
      <c r="R21" s="47"/>
      <c r="S21" s="45"/>
      <c r="T21" s="47"/>
      <c r="U21" s="47"/>
      <c r="V21" s="51">
        <v>0</v>
      </c>
    </row>
    <row r="22" ht="31.5" customHeight="1">
      <c r="A22" t="s" s="52">
        <v>38</v>
      </c>
      <c r="B22" s="42">
        <f>SUM(C22,G22)</f>
        <v>600</v>
      </c>
      <c r="C22" s="43">
        <f>SUM(H22,I22,J22,K22,L22,M22,N22,O22,P22,Q22,R22,S22,T22,U22,V22)</f>
        <v>580</v>
      </c>
      <c r="D22" s="44"/>
      <c r="E22" s="6"/>
      <c r="F22" s="6"/>
      <c r="G22" s="53">
        <v>20</v>
      </c>
      <c r="H22" s="27">
        <v>400</v>
      </c>
      <c r="I22" s="51">
        <v>10</v>
      </c>
      <c r="J22" s="51">
        <v>70</v>
      </c>
      <c r="K22" s="51">
        <v>100</v>
      </c>
      <c r="L22" s="51">
        <v>0</v>
      </c>
      <c r="M22" s="48">
        <v>0</v>
      </c>
      <c r="N22" s="48">
        <v>0</v>
      </c>
      <c r="O22" s="55">
        <v>0</v>
      </c>
      <c r="P22" s="53">
        <v>0</v>
      </c>
      <c r="Q22" s="51">
        <v>0</v>
      </c>
      <c r="R22" s="51">
        <v>0</v>
      </c>
      <c r="S22" s="6"/>
      <c r="T22" s="51">
        <v>0</v>
      </c>
      <c r="U22" s="51">
        <v>0</v>
      </c>
      <c r="V22" s="51">
        <v>0</v>
      </c>
    </row>
    <row r="23" ht="39" customHeight="1">
      <c r="A23" t="s" s="52">
        <v>39</v>
      </c>
      <c r="B23" s="42">
        <f>SUM(C23,G23)</f>
        <v>4230</v>
      </c>
      <c r="C23" s="43">
        <f>SUM(H23,I23,J23,K23,L23,M23,N23,O23,P23,Q23,R23,S23,T23,U23,V23)</f>
        <v>4210</v>
      </c>
      <c r="D23" s="44"/>
      <c r="E23" s="6"/>
      <c r="F23" s="6"/>
      <c r="G23" s="53">
        <v>20</v>
      </c>
      <c r="H23" s="27">
        <v>3000</v>
      </c>
      <c r="I23" s="51">
        <v>10</v>
      </c>
      <c r="J23" s="51">
        <v>1000</v>
      </c>
      <c r="K23" s="51">
        <v>200</v>
      </c>
      <c r="L23" s="51">
        <v>0</v>
      </c>
      <c r="M23" s="48">
        <v>0</v>
      </c>
      <c r="N23" s="48">
        <v>0</v>
      </c>
      <c r="O23" s="55">
        <v>0</v>
      </c>
      <c r="P23" s="53">
        <v>0</v>
      </c>
      <c r="Q23" s="51">
        <v>0</v>
      </c>
      <c r="R23" s="51">
        <v>0</v>
      </c>
      <c r="S23" s="6"/>
      <c r="T23" s="51">
        <v>0</v>
      </c>
      <c r="U23" s="51">
        <v>0</v>
      </c>
      <c r="V23" s="51">
        <v>0</v>
      </c>
    </row>
    <row r="24" ht="31.5" customHeight="1">
      <c r="A24" t="s" s="52">
        <v>40</v>
      </c>
      <c r="B24" s="42">
        <f>SUM(C24,G24)</f>
        <v>1100</v>
      </c>
      <c r="C24" s="43">
        <f>SUM(H24,I24,J24,K24,L24,M24,N24,O24,P24,Q24,R24,S24,T24,U24,V24)</f>
        <v>1100</v>
      </c>
      <c r="D24" s="44"/>
      <c r="E24" s="17"/>
      <c r="F24" s="17"/>
      <c r="G24" s="17"/>
      <c r="H24" s="27">
        <v>500</v>
      </c>
      <c r="I24" s="51">
        <v>0</v>
      </c>
      <c r="J24" s="51">
        <v>500</v>
      </c>
      <c r="K24" s="51">
        <v>100</v>
      </c>
      <c r="L24" s="51">
        <v>0</v>
      </c>
      <c r="M24" s="48">
        <v>0</v>
      </c>
      <c r="N24" s="48">
        <v>0</v>
      </c>
      <c r="O24" s="55">
        <v>0</v>
      </c>
      <c r="P24" s="56">
        <v>0</v>
      </c>
      <c r="Q24" s="51">
        <v>0</v>
      </c>
      <c r="R24" s="51">
        <v>0</v>
      </c>
      <c r="S24" s="17"/>
      <c r="T24" s="51">
        <v>0</v>
      </c>
      <c r="U24" s="51">
        <v>0</v>
      </c>
      <c r="V24" s="51">
        <v>0</v>
      </c>
    </row>
    <row r="25" ht="47.25" customHeight="1">
      <c r="A25" t="s" s="10">
        <v>41</v>
      </c>
      <c r="B25" s="34">
        <f>SUM(C25,G25)</f>
        <v>1120</v>
      </c>
      <c r="C25" s="35">
        <f>SUM(H25,I25,J25,K25,L25,M25,N25,O25,P25,Q25,R25,S25,T25,U25,V25)</f>
        <v>1120</v>
      </c>
      <c r="D25" s="36"/>
      <c r="E25" s="25"/>
      <c r="F25" s="25"/>
      <c r="G25" s="26"/>
      <c r="H25" s="27">
        <v>800</v>
      </c>
      <c r="I25" s="38">
        <v>0</v>
      </c>
      <c r="J25" s="38">
        <v>120</v>
      </c>
      <c r="K25" s="38">
        <v>200</v>
      </c>
      <c r="L25" s="38">
        <v>0</v>
      </c>
      <c r="M25" s="40">
        <v>0</v>
      </c>
      <c r="N25" s="40">
        <v>0</v>
      </c>
      <c r="O25" s="40">
        <v>0</v>
      </c>
      <c r="P25" s="41">
        <v>0</v>
      </c>
      <c r="Q25" s="38">
        <v>0</v>
      </c>
      <c r="R25" s="38">
        <v>0</v>
      </c>
      <c r="S25" s="33"/>
      <c r="T25" s="38">
        <v>0</v>
      </c>
      <c r="U25" s="38">
        <v>0</v>
      </c>
      <c r="V25" s="38">
        <v>0</v>
      </c>
    </row>
    <row r="26" ht="78" customHeight="1">
      <c r="A26" t="s" s="52">
        <v>42</v>
      </c>
      <c r="B26" s="42">
        <f>SUM(C26,G26)</f>
        <v>4920</v>
      </c>
      <c r="C26" s="43">
        <f>SUM(H26,I26,J26,K26,L26,M26,N26,O26,P26,Q26,R26,S26,T26,U26,V26)</f>
        <v>4900</v>
      </c>
      <c r="D26" s="44"/>
      <c r="E26" s="45"/>
      <c r="F26" s="45"/>
      <c r="G26" s="58">
        <v>20</v>
      </c>
      <c r="H26" s="27">
        <v>0</v>
      </c>
      <c r="I26" s="51">
        <v>1200</v>
      </c>
      <c r="J26" s="51">
        <v>3500</v>
      </c>
      <c r="K26" s="51">
        <v>200</v>
      </c>
      <c r="L26" s="51">
        <v>0</v>
      </c>
      <c r="M26" s="48">
        <v>0</v>
      </c>
      <c r="N26" s="48">
        <v>0</v>
      </c>
      <c r="O26" s="55">
        <v>0</v>
      </c>
      <c r="P26" s="58">
        <v>0</v>
      </c>
      <c r="Q26" s="51">
        <v>0</v>
      </c>
      <c r="R26" s="51">
        <v>0</v>
      </c>
      <c r="S26" s="45"/>
      <c r="T26" s="51">
        <v>0</v>
      </c>
      <c r="U26" s="51">
        <v>0</v>
      </c>
      <c r="V26" s="51">
        <v>0</v>
      </c>
    </row>
    <row r="27" ht="19.5" customHeight="1">
      <c r="A27" t="s" s="16">
        <v>43</v>
      </c>
      <c r="B27" s="42">
        <f>SUM(C27,G27)</f>
        <v>0</v>
      </c>
      <c r="C27" s="43">
        <f>SUM(H27,I27,J27,K27,L27,M27,N27,O27,P27,Q27,R27,S27,T27,U27,V27)</f>
        <v>0</v>
      </c>
      <c r="D27" s="44"/>
      <c r="E27" s="17"/>
      <c r="F27" s="17"/>
      <c r="G27" s="17"/>
      <c r="H27" s="46"/>
      <c r="I27" s="47"/>
      <c r="J27" s="47"/>
      <c r="K27" s="47"/>
      <c r="L27" s="47"/>
      <c r="M27" s="48">
        <v>0</v>
      </c>
      <c r="N27" s="49"/>
      <c r="O27" s="50"/>
      <c r="P27" s="17"/>
      <c r="Q27" s="51">
        <v>0</v>
      </c>
      <c r="R27" s="47"/>
      <c r="S27" s="17"/>
      <c r="T27" s="47"/>
      <c r="U27" s="47"/>
      <c r="V27" s="51">
        <v>0</v>
      </c>
    </row>
    <row r="28" ht="39" customHeight="1">
      <c r="A28" t="s" s="59">
        <v>44</v>
      </c>
      <c r="B28" s="22">
        <f>SUM(C28,G28)</f>
        <v>152090</v>
      </c>
      <c r="C28" s="23">
        <f>SUM(H28,I28,J28,K28,L28,M28,N28,O28,P28,Q28,R28,S28,T28,U28,V28)</f>
        <v>152090</v>
      </c>
      <c r="D28" s="36"/>
      <c r="E28" s="25"/>
      <c r="F28" s="25"/>
      <c r="G28" s="26"/>
      <c r="H28" s="27">
        <v>80000</v>
      </c>
      <c r="I28" s="28">
        <v>600</v>
      </c>
      <c r="J28" s="28">
        <v>18000</v>
      </c>
      <c r="K28" s="29">
        <v>18000</v>
      </c>
      <c r="L28" s="28">
        <v>11000</v>
      </c>
      <c r="M28" s="30">
        <v>8500</v>
      </c>
      <c r="N28" s="30">
        <v>14000</v>
      </c>
      <c r="O28" s="30">
        <v>750</v>
      </c>
      <c r="P28" s="41">
        <v>1000</v>
      </c>
      <c r="Q28" s="28">
        <v>0</v>
      </c>
      <c r="R28" s="28">
        <v>240</v>
      </c>
      <c r="S28" s="33"/>
      <c r="T28" s="28">
        <v>0</v>
      </c>
      <c r="U28" s="28">
        <v>0</v>
      </c>
      <c r="V28" s="28">
        <v>0</v>
      </c>
    </row>
    <row r="29" ht="47.25" customHeight="1">
      <c r="A29" t="s" s="10">
        <v>45</v>
      </c>
      <c r="B29" s="34">
        <f>SUM(C29,G29)</f>
        <v>2200</v>
      </c>
      <c r="C29" s="35">
        <f>SUM(H29,I29,J29,K29,L29,M29,N29,O29,P29,Q29,R29,S29,T29,U29,V29)</f>
        <v>2180</v>
      </c>
      <c r="D29" s="36"/>
      <c r="E29" s="25"/>
      <c r="F29" s="25"/>
      <c r="G29" s="37">
        <v>20</v>
      </c>
      <c r="H29" s="27">
        <v>1200</v>
      </c>
      <c r="I29" s="38">
        <v>800</v>
      </c>
      <c r="J29" s="38">
        <v>60</v>
      </c>
      <c r="K29" s="38">
        <v>100</v>
      </c>
      <c r="L29" s="38">
        <v>20</v>
      </c>
      <c r="M29" s="40">
        <v>0</v>
      </c>
      <c r="N29" s="40">
        <v>0</v>
      </c>
      <c r="O29" s="40">
        <v>0</v>
      </c>
      <c r="P29" s="41">
        <v>0</v>
      </c>
      <c r="Q29" s="38">
        <v>0</v>
      </c>
      <c r="R29" s="38">
        <v>0</v>
      </c>
      <c r="S29" s="33"/>
      <c r="T29" s="38">
        <v>0</v>
      </c>
      <c r="U29" s="38">
        <v>0</v>
      </c>
      <c r="V29" s="38">
        <v>0</v>
      </c>
    </row>
    <row r="30" ht="39" customHeight="1">
      <c r="A30" t="s" s="52">
        <v>46</v>
      </c>
      <c r="B30" s="42">
        <f>SUM(C30,G30)</f>
        <v>60000</v>
      </c>
      <c r="C30" s="43">
        <f>SUM(H30,I30,J30,K30,L30,M30,N30,O30,P30,Q30,R30,S30,T30,U30,V30)</f>
        <v>60000</v>
      </c>
      <c r="D30" s="44"/>
      <c r="E30" s="33"/>
      <c r="F30" s="33"/>
      <c r="G30" s="33"/>
      <c r="H30" s="27">
        <v>0</v>
      </c>
      <c r="I30" s="51">
        <v>1000</v>
      </c>
      <c r="J30" s="51">
        <v>20000</v>
      </c>
      <c r="K30" s="51">
        <v>2000</v>
      </c>
      <c r="L30" s="51">
        <v>1000</v>
      </c>
      <c r="M30" s="48">
        <v>18500</v>
      </c>
      <c r="N30" s="48">
        <v>11300</v>
      </c>
      <c r="O30" s="55">
        <v>4200</v>
      </c>
      <c r="P30" s="41">
        <v>2000</v>
      </c>
      <c r="Q30" s="51">
        <v>0</v>
      </c>
      <c r="R30" s="51">
        <v>0</v>
      </c>
      <c r="S30" s="33"/>
      <c r="T30" s="51">
        <v>0</v>
      </c>
      <c r="U30" s="51">
        <v>0</v>
      </c>
      <c r="V30" s="51">
        <v>0</v>
      </c>
    </row>
    <row r="31" ht="31.5" customHeight="1">
      <c r="A31" t="s" s="21">
        <v>47</v>
      </c>
      <c r="B31" s="22">
        <f>SUM(C31,G31)</f>
        <v>35300</v>
      </c>
      <c r="C31" s="23">
        <f>SUM(H31,I31,J31,K31,L31,M31,N31,O31,P31,Q31,R31,S31,T31,U31,V31)</f>
        <v>35300</v>
      </c>
      <c r="D31" s="36"/>
      <c r="E31" s="25"/>
      <c r="F31" s="25"/>
      <c r="G31" s="26"/>
      <c r="H31" s="27">
        <v>20000</v>
      </c>
      <c r="I31" s="28">
        <v>0</v>
      </c>
      <c r="J31" s="28">
        <v>4000</v>
      </c>
      <c r="K31" s="28">
        <v>4000</v>
      </c>
      <c r="L31" s="28">
        <v>7000</v>
      </c>
      <c r="M31" s="30">
        <v>0</v>
      </c>
      <c r="N31" s="30">
        <v>0</v>
      </c>
      <c r="O31" s="30">
        <v>0</v>
      </c>
      <c r="P31" s="41">
        <v>0</v>
      </c>
      <c r="Q31" s="28">
        <v>0</v>
      </c>
      <c r="R31" s="28">
        <v>300</v>
      </c>
      <c r="S31" s="33"/>
      <c r="T31" s="28">
        <v>0</v>
      </c>
      <c r="U31" s="28">
        <v>0</v>
      </c>
      <c r="V31" s="28">
        <v>0</v>
      </c>
    </row>
    <row r="32" ht="214.5" customHeight="1">
      <c r="A32" t="s" s="52">
        <v>48</v>
      </c>
      <c r="B32" s="42">
        <f>SUM(C32,G32)</f>
        <v>200</v>
      </c>
      <c r="C32" s="43">
        <f>SUM(H32,I32,J32,K32,L32,M32,N32,O32,P32,Q32,R32,S32,T32,U32,V32)</f>
        <v>200</v>
      </c>
      <c r="D32" s="44"/>
      <c r="E32" s="33"/>
      <c r="F32" s="33"/>
      <c r="G32" s="33"/>
      <c r="H32" s="27">
        <v>200</v>
      </c>
      <c r="I32" s="51">
        <v>0</v>
      </c>
      <c r="J32" s="51">
        <v>0</v>
      </c>
      <c r="K32" s="51">
        <v>0</v>
      </c>
      <c r="L32" s="51">
        <v>0</v>
      </c>
      <c r="M32" s="48">
        <v>0</v>
      </c>
      <c r="N32" s="48">
        <v>0</v>
      </c>
      <c r="O32" s="55">
        <v>0</v>
      </c>
      <c r="P32" s="41">
        <v>0</v>
      </c>
      <c r="Q32" s="51">
        <v>0</v>
      </c>
      <c r="R32" s="51">
        <v>0</v>
      </c>
      <c r="S32" s="33"/>
      <c r="T32" s="51">
        <v>0</v>
      </c>
      <c r="U32" s="51">
        <v>0</v>
      </c>
      <c r="V32" s="51">
        <v>0</v>
      </c>
    </row>
    <row r="33" ht="63" customHeight="1">
      <c r="A33" t="s" s="21">
        <v>49</v>
      </c>
      <c r="B33" s="22">
        <f>SUM(C33,G33)</f>
        <v>29620</v>
      </c>
      <c r="C33" s="23">
        <f>SUM(H33,I33,J33,K33,L33,M33,N33,O33,P33,Q33,R33,S33,T33,U33,V33)</f>
        <v>29620</v>
      </c>
      <c r="D33" s="36"/>
      <c r="E33" s="25"/>
      <c r="F33" s="25"/>
      <c r="G33" s="26"/>
      <c r="H33" s="27">
        <v>5000</v>
      </c>
      <c r="I33" s="28">
        <v>0</v>
      </c>
      <c r="J33" s="28">
        <v>5000</v>
      </c>
      <c r="K33" s="28">
        <v>10000</v>
      </c>
      <c r="L33" s="28">
        <v>5000</v>
      </c>
      <c r="M33" s="30">
        <v>0</v>
      </c>
      <c r="N33" s="30">
        <v>2820</v>
      </c>
      <c r="O33" s="30">
        <v>800</v>
      </c>
      <c r="P33" s="41">
        <v>1000</v>
      </c>
      <c r="Q33" s="28">
        <v>0</v>
      </c>
      <c r="R33" s="28">
        <v>0</v>
      </c>
      <c r="S33" s="33"/>
      <c r="T33" s="28">
        <v>0</v>
      </c>
      <c r="U33" s="28">
        <v>0</v>
      </c>
      <c r="V33" s="28">
        <v>0</v>
      </c>
    </row>
    <row r="34" ht="97.5" customHeight="1" hidden="1">
      <c r="A34" t="s" s="52">
        <v>50</v>
      </c>
      <c r="B34" s="42">
        <f>SUM(C34,G34)</f>
        <v>29200</v>
      </c>
      <c r="C34" s="43">
        <f>SUM(H34,I34,J34,K34,L34,M34,N34,O34,P34,Q34,R34,S34,T34,U34,V34)</f>
        <v>29200</v>
      </c>
      <c r="D34" s="44"/>
      <c r="E34" s="33"/>
      <c r="F34" s="33"/>
      <c r="G34" s="33"/>
      <c r="H34" s="27">
        <v>8000</v>
      </c>
      <c r="I34" s="51">
        <v>0</v>
      </c>
      <c r="J34" s="51">
        <v>6000</v>
      </c>
      <c r="K34" s="51">
        <v>6000</v>
      </c>
      <c r="L34" s="51">
        <v>8000</v>
      </c>
      <c r="M34" s="48">
        <v>0</v>
      </c>
      <c r="N34" s="48">
        <v>0</v>
      </c>
      <c r="O34" s="55">
        <v>0</v>
      </c>
      <c r="P34" s="41">
        <v>0</v>
      </c>
      <c r="Q34" s="51">
        <v>0</v>
      </c>
      <c r="R34" s="51">
        <v>1200</v>
      </c>
      <c r="S34" s="33"/>
      <c r="T34" s="51">
        <v>0</v>
      </c>
      <c r="U34" s="51">
        <v>0</v>
      </c>
      <c r="V34" s="51">
        <v>0</v>
      </c>
    </row>
    <row r="35" ht="19.5" customHeight="1">
      <c r="A35" t="s" s="16">
        <v>51</v>
      </c>
      <c r="B35" s="42">
        <f>SUM(C35,G35)</f>
        <v>0</v>
      </c>
      <c r="C35" s="43">
        <f>SUM(H35,I35,J35,K35,L35,M35,N35,O35,P35,Q35,R35,S35,T35,U35,V35)</f>
        <v>0</v>
      </c>
      <c r="D35" s="44"/>
      <c r="E35" s="33"/>
      <c r="F35" s="33"/>
      <c r="G35" s="33"/>
      <c r="H35" s="46"/>
      <c r="I35" s="47"/>
      <c r="J35" s="47"/>
      <c r="K35" s="47"/>
      <c r="L35" s="47"/>
      <c r="M35" s="48">
        <v>0</v>
      </c>
      <c r="N35" s="49"/>
      <c r="O35" s="50"/>
      <c r="P35" s="33"/>
      <c r="Q35" s="51">
        <v>0</v>
      </c>
      <c r="R35" s="47"/>
      <c r="S35" s="33"/>
      <c r="T35" s="47"/>
      <c r="U35" s="47"/>
      <c r="V35" s="51">
        <v>0</v>
      </c>
    </row>
    <row r="36" ht="39" customHeight="1">
      <c r="A36" t="s" s="60">
        <v>52</v>
      </c>
      <c r="B36" s="22">
        <f>SUM(C36,G36)</f>
        <v>63800</v>
      </c>
      <c r="C36" s="23">
        <f>SUM(H36,I36,J36,K36,L36,M36,N36,O36,P36,Q36,R36,S36,T36,U36,V36)</f>
        <v>63800</v>
      </c>
      <c r="D36" s="36"/>
      <c r="E36" s="25"/>
      <c r="F36" s="25"/>
      <c r="G36" s="26"/>
      <c r="H36" s="27">
        <v>20000</v>
      </c>
      <c r="I36" s="28">
        <v>0</v>
      </c>
      <c r="J36" s="28">
        <v>10000</v>
      </c>
      <c r="K36" s="28">
        <v>12000</v>
      </c>
      <c r="L36" s="28">
        <v>10000</v>
      </c>
      <c r="M36" s="30">
        <v>2000</v>
      </c>
      <c r="N36" s="30">
        <v>6700</v>
      </c>
      <c r="O36" s="30">
        <v>900</v>
      </c>
      <c r="P36" s="41">
        <v>1000</v>
      </c>
      <c r="Q36" s="28">
        <v>0</v>
      </c>
      <c r="R36" s="28">
        <v>1200</v>
      </c>
      <c r="S36" s="33"/>
      <c r="T36" s="28">
        <v>0</v>
      </c>
      <c r="U36" s="28">
        <v>0</v>
      </c>
      <c r="V36" s="28">
        <v>0</v>
      </c>
    </row>
    <row r="37" ht="39" customHeight="1">
      <c r="A37" t="s" s="60">
        <v>53</v>
      </c>
      <c r="B37" s="22">
        <f>SUM(C37,G37)</f>
        <v>5800</v>
      </c>
      <c r="C37" s="23">
        <f>SUM(H37,I37,J37,K37,L37,M37,N37,O37,P37,Q37,R37,S37,T37,U37,V37)</f>
        <v>5800</v>
      </c>
      <c r="D37" s="36"/>
      <c r="E37" s="25"/>
      <c r="F37" s="25"/>
      <c r="G37" s="26"/>
      <c r="H37" s="27">
        <v>200</v>
      </c>
      <c r="I37" s="28">
        <v>0</v>
      </c>
      <c r="J37" s="28">
        <v>2000</v>
      </c>
      <c r="K37" s="28">
        <v>1000</v>
      </c>
      <c r="L37" s="28">
        <v>2000</v>
      </c>
      <c r="M37" s="30">
        <v>0</v>
      </c>
      <c r="N37" s="30">
        <v>0</v>
      </c>
      <c r="O37" s="30">
        <v>0</v>
      </c>
      <c r="P37" s="41">
        <v>0</v>
      </c>
      <c r="Q37" s="28">
        <v>0</v>
      </c>
      <c r="R37" s="28">
        <v>600</v>
      </c>
      <c r="S37" s="33"/>
      <c r="T37" s="28">
        <v>0</v>
      </c>
      <c r="U37" s="28">
        <v>0</v>
      </c>
      <c r="V37" s="28">
        <v>0</v>
      </c>
    </row>
    <row r="38" ht="31.5" customHeight="1">
      <c r="A38" t="s" s="21">
        <v>54</v>
      </c>
      <c r="B38" s="22">
        <f>SUM(C38,G38)</f>
        <v>21700</v>
      </c>
      <c r="C38" s="23">
        <f>SUM(H38,I38,J38,K38,L38,M38,N38,O38,P38,Q38,R38,S38,T38,U38,V38)</f>
        <v>21200</v>
      </c>
      <c r="D38" s="36"/>
      <c r="E38" s="25"/>
      <c r="F38" s="25"/>
      <c r="G38" s="37">
        <v>500</v>
      </c>
      <c r="H38" s="27">
        <v>10000</v>
      </c>
      <c r="I38" s="28">
        <v>0</v>
      </c>
      <c r="J38" s="28">
        <v>2500</v>
      </c>
      <c r="K38" s="28">
        <v>6000</v>
      </c>
      <c r="L38" s="28">
        <v>700</v>
      </c>
      <c r="M38" s="30">
        <v>0</v>
      </c>
      <c r="N38" s="30">
        <v>1000</v>
      </c>
      <c r="O38" s="30">
        <v>0</v>
      </c>
      <c r="P38" s="41">
        <v>1000</v>
      </c>
      <c r="Q38" s="28">
        <v>0</v>
      </c>
      <c r="R38" s="28">
        <v>0</v>
      </c>
      <c r="S38" s="33"/>
      <c r="T38" s="28">
        <v>0</v>
      </c>
      <c r="U38" s="28">
        <v>0</v>
      </c>
      <c r="V38" s="28">
        <v>0</v>
      </c>
    </row>
    <row r="39" ht="31.5" customHeight="1">
      <c r="A39" t="s" s="52">
        <v>55</v>
      </c>
      <c r="B39" s="42">
        <f>SUM(C39,G39)</f>
        <v>2500</v>
      </c>
      <c r="C39" s="43">
        <f>SUM(H39,I39,J39,K39,L39,M39,N39,O39,P39,Q39,R39,S39,T39,U39,V39)</f>
        <v>2500</v>
      </c>
      <c r="D39" s="44"/>
      <c r="E39" s="45"/>
      <c r="F39" s="45"/>
      <c r="G39" s="45"/>
      <c r="H39" s="27">
        <v>0</v>
      </c>
      <c r="I39" s="51">
        <v>0</v>
      </c>
      <c r="J39" s="51">
        <v>2000</v>
      </c>
      <c r="K39" s="51">
        <v>500</v>
      </c>
      <c r="L39" s="51">
        <v>0</v>
      </c>
      <c r="M39" s="48">
        <v>0</v>
      </c>
      <c r="N39" s="48">
        <v>0</v>
      </c>
      <c r="O39" s="55">
        <v>0</v>
      </c>
      <c r="P39" s="58">
        <v>0</v>
      </c>
      <c r="Q39" s="51">
        <v>0</v>
      </c>
      <c r="R39" s="51">
        <v>0</v>
      </c>
      <c r="S39" s="45"/>
      <c r="T39" s="51">
        <v>0</v>
      </c>
      <c r="U39" s="51">
        <v>0</v>
      </c>
      <c r="V39" s="51">
        <v>0</v>
      </c>
    </row>
    <row r="40" ht="78" customHeight="1">
      <c r="A40" t="s" s="52">
        <v>56</v>
      </c>
      <c r="B40" s="42">
        <f>SUM(C40,G40)</f>
        <v>400</v>
      </c>
      <c r="C40" s="43">
        <f>SUM(H40,I40,J40,K40,L40,M40,N40,O40,P40,Q40,R40,S40,T40,U40,V40)</f>
        <v>400</v>
      </c>
      <c r="D40" s="44"/>
      <c r="E40" s="17"/>
      <c r="F40" s="17"/>
      <c r="G40" s="17"/>
      <c r="H40" s="27">
        <v>300</v>
      </c>
      <c r="I40" s="51">
        <v>0</v>
      </c>
      <c r="J40" s="51">
        <v>0</v>
      </c>
      <c r="K40" s="51">
        <v>100</v>
      </c>
      <c r="L40" s="51">
        <v>0</v>
      </c>
      <c r="M40" s="48">
        <v>0</v>
      </c>
      <c r="N40" s="48">
        <v>0</v>
      </c>
      <c r="O40" s="55">
        <v>0</v>
      </c>
      <c r="P40" s="56">
        <v>0</v>
      </c>
      <c r="Q40" s="51">
        <v>0</v>
      </c>
      <c r="R40" s="51">
        <v>0</v>
      </c>
      <c r="S40" s="17"/>
      <c r="T40" s="51">
        <v>0</v>
      </c>
      <c r="U40" s="51">
        <v>0</v>
      </c>
      <c r="V40" s="51">
        <v>0</v>
      </c>
    </row>
    <row r="41" ht="390" customHeight="1">
      <c r="A41" t="s" s="10">
        <v>57</v>
      </c>
      <c r="B41" s="34">
        <f>SUM(C41,G41)</f>
        <v>4270</v>
      </c>
      <c r="C41" s="35">
        <f>SUM(H41,I41,J41,K41,L41,M41,N41,O41,P41,Q41,R41,S41,T41,U41,V41)</f>
        <v>4270</v>
      </c>
      <c r="D41" s="36"/>
      <c r="E41" s="25"/>
      <c r="F41" s="25"/>
      <c r="G41" s="26"/>
      <c r="H41" s="27">
        <v>4000</v>
      </c>
      <c r="I41" s="38">
        <v>10</v>
      </c>
      <c r="J41" s="38">
        <v>150</v>
      </c>
      <c r="K41" s="38">
        <v>100</v>
      </c>
      <c r="L41" s="38">
        <v>10</v>
      </c>
      <c r="M41" s="40">
        <v>0</v>
      </c>
      <c r="N41" s="40">
        <v>0</v>
      </c>
      <c r="O41" s="40">
        <v>0</v>
      </c>
      <c r="P41" s="41">
        <v>0</v>
      </c>
      <c r="Q41" s="38">
        <v>0</v>
      </c>
      <c r="R41" s="38">
        <v>0</v>
      </c>
      <c r="S41" s="33"/>
      <c r="T41" s="38">
        <v>0</v>
      </c>
      <c r="U41" s="38">
        <v>0</v>
      </c>
      <c r="V41" s="38">
        <v>0</v>
      </c>
    </row>
    <row r="42" ht="283.5" customHeight="1">
      <c r="A42" t="s" s="10">
        <v>58</v>
      </c>
      <c r="B42" s="34">
        <f>SUM(C42,G42)</f>
        <v>4270</v>
      </c>
      <c r="C42" s="35">
        <f>SUM(H42,I42,J42,K42,L42,M42,N42,O42,P42,Q42,R42,S42,T42,U42,V42)</f>
        <v>4270</v>
      </c>
      <c r="D42" s="36"/>
      <c r="E42" s="25"/>
      <c r="F42" s="25"/>
      <c r="G42" s="26"/>
      <c r="H42" s="27">
        <v>4000</v>
      </c>
      <c r="I42" s="38">
        <v>10</v>
      </c>
      <c r="J42" s="38">
        <v>100</v>
      </c>
      <c r="K42" s="38">
        <v>140</v>
      </c>
      <c r="L42" s="38">
        <v>20</v>
      </c>
      <c r="M42" s="40">
        <v>0</v>
      </c>
      <c r="N42" s="40">
        <v>0</v>
      </c>
      <c r="O42" s="40">
        <v>0</v>
      </c>
      <c r="P42" s="41">
        <v>0</v>
      </c>
      <c r="Q42" s="38">
        <v>0</v>
      </c>
      <c r="R42" s="38">
        <v>0</v>
      </c>
      <c r="S42" s="33"/>
      <c r="T42" s="38">
        <v>0</v>
      </c>
      <c r="U42" s="38">
        <v>0</v>
      </c>
      <c r="V42" s="38">
        <v>0</v>
      </c>
    </row>
    <row r="43" ht="97.5" customHeight="1">
      <c r="A43" t="s" s="52">
        <v>59</v>
      </c>
      <c r="B43" s="42">
        <f>SUM(C43,G43)</f>
        <v>6500</v>
      </c>
      <c r="C43" s="43">
        <f>SUM(H43,I43,J43,K43,L43,M43,N43,O43,P43,Q43,R43,S43,T43,U43,V43)</f>
        <v>6500</v>
      </c>
      <c r="D43" s="44"/>
      <c r="E43" s="45"/>
      <c r="F43" s="45"/>
      <c r="G43" s="45"/>
      <c r="H43" s="27">
        <v>2000</v>
      </c>
      <c r="I43" s="51">
        <v>0</v>
      </c>
      <c r="J43" s="51">
        <v>2000</v>
      </c>
      <c r="K43" s="51">
        <v>500</v>
      </c>
      <c r="L43" s="51">
        <v>0</v>
      </c>
      <c r="M43" s="48">
        <v>1000</v>
      </c>
      <c r="N43" s="48">
        <v>0</v>
      </c>
      <c r="O43" s="55">
        <v>0</v>
      </c>
      <c r="P43" s="58">
        <v>1000</v>
      </c>
      <c r="Q43" s="51">
        <v>0</v>
      </c>
      <c r="R43" s="51">
        <v>0</v>
      </c>
      <c r="S43" s="45"/>
      <c r="T43" s="51">
        <v>0</v>
      </c>
      <c r="U43" s="51">
        <v>0</v>
      </c>
      <c r="V43" s="51">
        <v>0</v>
      </c>
    </row>
    <row r="44" ht="19.5" customHeight="1">
      <c r="A44" t="s" s="16">
        <v>60</v>
      </c>
      <c r="B44" s="42">
        <f>SUM(C44,G44)</f>
        <v>0</v>
      </c>
      <c r="C44" s="43">
        <f>SUM(H44,I44,J44,K44,L44,M44,N44,O44,P44,Q44,R44,S44,T44,U44,V44)</f>
        <v>0</v>
      </c>
      <c r="D44" s="44"/>
      <c r="E44" s="6"/>
      <c r="F44" s="6"/>
      <c r="G44" s="6"/>
      <c r="H44" s="46"/>
      <c r="I44" s="47"/>
      <c r="J44" s="47"/>
      <c r="K44" s="47"/>
      <c r="L44" s="47"/>
      <c r="M44" s="48">
        <v>0</v>
      </c>
      <c r="N44" s="49"/>
      <c r="O44" s="50"/>
      <c r="P44" s="6"/>
      <c r="Q44" s="51">
        <v>0</v>
      </c>
      <c r="R44" s="47"/>
      <c r="S44" s="6"/>
      <c r="T44" s="47"/>
      <c r="U44" s="47"/>
      <c r="V44" s="51">
        <v>0</v>
      </c>
    </row>
    <row r="45" ht="63" customHeight="1">
      <c r="A45" t="s" s="52">
        <v>61</v>
      </c>
      <c r="B45" s="42">
        <f>SUM(C45,G45)</f>
        <v>2170</v>
      </c>
      <c r="C45" s="43">
        <f>SUM(H45,I45,J45,K45,L45,M45,N45,O45,P45,Q45,R45,S45,T45,U45,V45)</f>
        <v>2170</v>
      </c>
      <c r="D45" s="44"/>
      <c r="E45" s="6"/>
      <c r="F45" s="6"/>
      <c r="G45" s="6"/>
      <c r="H45" s="27">
        <v>2000</v>
      </c>
      <c r="I45" s="51">
        <v>10</v>
      </c>
      <c r="J45" s="51">
        <v>150</v>
      </c>
      <c r="K45" s="51">
        <v>10</v>
      </c>
      <c r="L45" s="51">
        <v>0</v>
      </c>
      <c r="M45" s="48">
        <v>0</v>
      </c>
      <c r="N45" s="48">
        <v>0</v>
      </c>
      <c r="O45" s="55">
        <v>0</v>
      </c>
      <c r="P45" s="53">
        <v>0</v>
      </c>
      <c r="Q45" s="51">
        <v>0</v>
      </c>
      <c r="R45" s="51">
        <v>0</v>
      </c>
      <c r="S45" s="6"/>
      <c r="T45" s="51">
        <v>0</v>
      </c>
      <c r="U45" s="51">
        <v>0</v>
      </c>
      <c r="V45" s="51">
        <v>0</v>
      </c>
    </row>
    <row r="46" ht="78" customHeight="1">
      <c r="A46" t="s" s="52">
        <v>62</v>
      </c>
      <c r="B46" s="42">
        <f>SUM(C46,G46)</f>
        <v>3720</v>
      </c>
      <c r="C46" s="43">
        <f>SUM(H46,I46,J46,K46,L46,M46,N46,O46,P46,Q46,R46,S46,T46,U46,V46)</f>
        <v>3690</v>
      </c>
      <c r="D46" s="44"/>
      <c r="E46" s="17"/>
      <c r="F46" s="17"/>
      <c r="G46" s="56">
        <v>30</v>
      </c>
      <c r="H46" s="27">
        <v>3000</v>
      </c>
      <c r="I46" s="51">
        <v>10</v>
      </c>
      <c r="J46" s="51">
        <v>360</v>
      </c>
      <c r="K46" s="51">
        <v>300</v>
      </c>
      <c r="L46" s="51">
        <v>20</v>
      </c>
      <c r="M46" s="48">
        <v>0</v>
      </c>
      <c r="N46" s="48">
        <v>0</v>
      </c>
      <c r="O46" s="55">
        <v>0</v>
      </c>
      <c r="P46" s="56">
        <v>0</v>
      </c>
      <c r="Q46" s="51">
        <v>0</v>
      </c>
      <c r="R46" s="51">
        <v>0</v>
      </c>
      <c r="S46" s="17"/>
      <c r="T46" s="51">
        <v>0</v>
      </c>
      <c r="U46" s="51">
        <v>0</v>
      </c>
      <c r="V46" s="51">
        <v>0</v>
      </c>
    </row>
    <row r="47" ht="175.5" customHeight="1">
      <c r="A47" t="s" s="21">
        <v>63</v>
      </c>
      <c r="B47" s="22">
        <f>SUM(C47,G47)</f>
        <v>4030</v>
      </c>
      <c r="C47" s="23">
        <f>SUM(H47,I47,J47,K47,L47,M47,N47,O47,P47,Q47,R47,S47,T47,U47,V47)</f>
        <v>4030</v>
      </c>
      <c r="D47" s="36"/>
      <c r="E47" s="25"/>
      <c r="F47" s="25"/>
      <c r="G47" s="26"/>
      <c r="H47" s="27">
        <v>1000</v>
      </c>
      <c r="I47" s="28">
        <v>1000</v>
      </c>
      <c r="J47" s="28">
        <v>30</v>
      </c>
      <c r="K47" s="28">
        <v>2000</v>
      </c>
      <c r="L47" s="28">
        <v>0</v>
      </c>
      <c r="M47" s="30">
        <v>0</v>
      </c>
      <c r="N47" s="30">
        <v>0</v>
      </c>
      <c r="O47" s="30">
        <v>0</v>
      </c>
      <c r="P47" s="41">
        <v>0</v>
      </c>
      <c r="Q47" s="28">
        <v>0</v>
      </c>
      <c r="R47" s="28">
        <v>0</v>
      </c>
      <c r="S47" s="33"/>
      <c r="T47" s="28">
        <v>0</v>
      </c>
      <c r="U47" s="28">
        <v>0</v>
      </c>
      <c r="V47" s="28">
        <v>0</v>
      </c>
    </row>
    <row r="48" ht="409.5" customHeight="1">
      <c r="A48" t="s" s="21">
        <v>64</v>
      </c>
      <c r="B48" s="22">
        <f>SUM(C48,G48)</f>
        <v>12115</v>
      </c>
      <c r="C48" s="23">
        <f>SUM(H48,I48,J48,K48,L48,M48,N48,O48,P48,Q48,R48,S48,T48,U48,V48)</f>
        <v>12085</v>
      </c>
      <c r="D48" s="36"/>
      <c r="E48" s="25"/>
      <c r="F48" s="25"/>
      <c r="G48" s="37">
        <v>30</v>
      </c>
      <c r="H48" s="27">
        <v>12000</v>
      </c>
      <c r="I48" s="28">
        <v>10</v>
      </c>
      <c r="J48" s="28">
        <v>25</v>
      </c>
      <c r="K48" s="28">
        <v>50</v>
      </c>
      <c r="L48" s="28">
        <v>0</v>
      </c>
      <c r="M48" s="30">
        <v>0</v>
      </c>
      <c r="N48" s="30">
        <v>0</v>
      </c>
      <c r="O48" s="30">
        <v>0</v>
      </c>
      <c r="P48" s="41">
        <v>0</v>
      </c>
      <c r="Q48" s="28">
        <v>0</v>
      </c>
      <c r="R48" s="28">
        <v>0</v>
      </c>
      <c r="S48" s="33"/>
      <c r="T48" s="28">
        <v>0</v>
      </c>
      <c r="U48" s="28">
        <v>0</v>
      </c>
      <c r="V48" s="28">
        <v>0</v>
      </c>
    </row>
    <row r="49" ht="58.5" customHeight="1">
      <c r="A49" t="s" s="61">
        <v>65</v>
      </c>
      <c r="B49" s="22">
        <f>SUM(C49,G49)</f>
        <v>500</v>
      </c>
      <c r="C49" s="23">
        <f>SUM(H49,I49,J49,K49,L49,M49,N49,O49,P49,Q49,R49,S49,T49,U49,V49)</f>
        <v>500</v>
      </c>
      <c r="D49" s="36"/>
      <c r="E49" s="25"/>
      <c r="F49" s="25"/>
      <c r="G49" s="26"/>
      <c r="H49" s="27">
        <v>200</v>
      </c>
      <c r="I49" s="28">
        <v>100</v>
      </c>
      <c r="J49" s="28">
        <v>0</v>
      </c>
      <c r="K49" s="28">
        <v>200</v>
      </c>
      <c r="L49" s="28">
        <v>0</v>
      </c>
      <c r="M49" s="30">
        <v>0</v>
      </c>
      <c r="N49" s="30">
        <v>0</v>
      </c>
      <c r="O49" s="30">
        <v>0</v>
      </c>
      <c r="P49" s="41">
        <v>0</v>
      </c>
      <c r="Q49" s="28">
        <v>0</v>
      </c>
      <c r="R49" s="28">
        <v>0</v>
      </c>
      <c r="S49" s="33"/>
      <c r="T49" s="28">
        <v>0</v>
      </c>
      <c r="U49" s="28">
        <v>0</v>
      </c>
      <c r="V49" s="28">
        <v>0</v>
      </c>
    </row>
    <row r="50" ht="31.5" customHeight="1">
      <c r="A50" t="s" s="10">
        <v>66</v>
      </c>
      <c r="B50" s="42">
        <f>SUM(C50,G50)</f>
        <v>0</v>
      </c>
      <c r="C50" s="43">
        <f>SUM(H50,I50,J50,K50,L50,M50,N50,O50,P50,Q50,R50,S50,T50,U50,V50)</f>
        <v>0</v>
      </c>
      <c r="D50" s="44"/>
      <c r="E50" s="45"/>
      <c r="F50" s="45"/>
      <c r="G50" s="45"/>
      <c r="H50" s="46"/>
      <c r="I50" s="47"/>
      <c r="J50" s="47"/>
      <c r="K50" s="47"/>
      <c r="L50" s="47"/>
      <c r="M50" s="48">
        <v>0</v>
      </c>
      <c r="N50" s="49"/>
      <c r="O50" s="55">
        <v>0</v>
      </c>
      <c r="P50" s="45"/>
      <c r="Q50" s="51">
        <v>0</v>
      </c>
      <c r="R50" s="47"/>
      <c r="S50" s="45"/>
      <c r="T50" s="47"/>
      <c r="U50" s="47"/>
      <c r="V50" s="51">
        <v>0</v>
      </c>
    </row>
    <row r="51" ht="19.5" customHeight="1">
      <c r="A51" t="s" s="16">
        <v>67</v>
      </c>
      <c r="B51" s="42">
        <f>SUM(C51,G51)</f>
        <v>0</v>
      </c>
      <c r="C51" s="43">
        <f>SUM(H51,I51,J51,K51,L51,M51,N51,O51,P51,Q51,R51,S51,T51,U51,V51)</f>
        <v>0</v>
      </c>
      <c r="D51" s="44"/>
      <c r="E51" s="6"/>
      <c r="F51" s="6"/>
      <c r="G51" s="6"/>
      <c r="H51" s="46"/>
      <c r="I51" s="47"/>
      <c r="J51" s="47"/>
      <c r="K51" s="47"/>
      <c r="L51" s="47"/>
      <c r="M51" s="48">
        <v>0</v>
      </c>
      <c r="N51" s="49"/>
      <c r="O51" s="50"/>
      <c r="P51" s="6"/>
      <c r="Q51" s="51">
        <v>0</v>
      </c>
      <c r="R51" s="47"/>
      <c r="S51" s="6"/>
      <c r="T51" s="47"/>
      <c r="U51" s="47"/>
      <c r="V51" s="51">
        <v>0</v>
      </c>
    </row>
    <row r="52" ht="63" customHeight="1">
      <c r="A52" t="s" s="52">
        <v>68</v>
      </c>
      <c r="B52" s="42">
        <f>SUM(C52,G52)</f>
        <v>31495</v>
      </c>
      <c r="C52" s="43">
        <f>SUM(H52,I52,J52,K52,L52,M52,N52,O52,P52,Q52,R52,S52,T52,U52,V52)</f>
        <v>31495</v>
      </c>
      <c r="D52" s="44"/>
      <c r="E52" s="6"/>
      <c r="F52" s="6"/>
      <c r="G52" s="6"/>
      <c r="H52" s="27">
        <v>600</v>
      </c>
      <c r="I52" s="51">
        <v>0</v>
      </c>
      <c r="J52" s="51">
        <v>2500</v>
      </c>
      <c r="K52" s="51">
        <v>1200</v>
      </c>
      <c r="L52" s="51">
        <v>1000</v>
      </c>
      <c r="M52" s="48">
        <v>4300</v>
      </c>
      <c r="N52" s="48">
        <v>4935</v>
      </c>
      <c r="O52" s="55">
        <v>8955</v>
      </c>
      <c r="P52" s="53">
        <v>4200</v>
      </c>
      <c r="Q52" s="51">
        <v>3780</v>
      </c>
      <c r="R52" s="51">
        <v>0</v>
      </c>
      <c r="S52" s="6"/>
      <c r="T52" s="51">
        <v>0</v>
      </c>
      <c r="U52" s="51">
        <v>25</v>
      </c>
      <c r="V52" s="51">
        <v>0</v>
      </c>
    </row>
    <row r="53" ht="19.5" customHeight="1">
      <c r="A53" t="s" s="16">
        <v>69</v>
      </c>
      <c r="B53" s="42">
        <f>SUM(C53,G53)</f>
        <v>0</v>
      </c>
      <c r="C53" s="43">
        <f>SUM(H53,I53,J53,K53,L53,M53,N53,O53,P53,Q53,R53,S53,T53,U53,V53)</f>
        <v>0</v>
      </c>
      <c r="D53" s="44"/>
      <c r="E53" s="6"/>
      <c r="F53" s="6"/>
      <c r="G53" s="6"/>
      <c r="H53" s="46"/>
      <c r="I53" s="47"/>
      <c r="J53" s="47"/>
      <c r="K53" s="47"/>
      <c r="L53" s="47"/>
      <c r="M53" s="48">
        <v>0</v>
      </c>
      <c r="N53" s="49"/>
      <c r="O53" s="50"/>
      <c r="P53" s="6"/>
      <c r="Q53" s="51">
        <v>0</v>
      </c>
      <c r="R53" s="47"/>
      <c r="S53" s="6"/>
      <c r="T53" s="47"/>
      <c r="U53" s="47"/>
      <c r="V53" s="51">
        <v>0</v>
      </c>
    </row>
    <row r="54" ht="31.5" customHeight="1">
      <c r="A54" t="s" s="52">
        <v>70</v>
      </c>
      <c r="B54" s="42">
        <f>SUM(C54,G54)</f>
        <v>32715</v>
      </c>
      <c r="C54" s="43">
        <f>SUM(H54,I54,J54,K54,L54,M54,N54,O54,P54,Q54,R54,S54,T54,U54,V54)</f>
        <v>32715</v>
      </c>
      <c r="D54" s="44"/>
      <c r="E54" s="6"/>
      <c r="F54" s="6"/>
      <c r="G54" s="6"/>
      <c r="H54" s="27">
        <v>0</v>
      </c>
      <c r="I54" s="51">
        <v>240</v>
      </c>
      <c r="J54" s="51">
        <v>2500</v>
      </c>
      <c r="K54" s="51">
        <v>1500</v>
      </c>
      <c r="L54" s="51">
        <v>1200</v>
      </c>
      <c r="M54" s="48">
        <v>5800</v>
      </c>
      <c r="N54" s="48">
        <v>4640</v>
      </c>
      <c r="O54" s="55">
        <v>7325</v>
      </c>
      <c r="P54" s="53">
        <v>4550</v>
      </c>
      <c r="Q54" s="51">
        <v>4950</v>
      </c>
      <c r="R54" s="51">
        <v>0</v>
      </c>
      <c r="S54" s="6"/>
      <c r="T54" s="51">
        <v>10</v>
      </c>
      <c r="U54" s="51">
        <v>0</v>
      </c>
      <c r="V54" s="51">
        <v>0</v>
      </c>
    </row>
    <row r="55" ht="78" customHeight="1">
      <c r="A55" t="s" s="52">
        <v>71</v>
      </c>
      <c r="B55" s="42">
        <f>SUM(C55,G55)</f>
        <v>94611</v>
      </c>
      <c r="C55" s="43">
        <f>SUM(H55,I55,J55,K55,L55,M55,N55,O55,P55,Q55,R55,S55,T55,U55,V55)</f>
        <v>92611</v>
      </c>
      <c r="D55" s="44"/>
      <c r="E55" s="6"/>
      <c r="F55" s="6"/>
      <c r="G55" s="53">
        <v>2000</v>
      </c>
      <c r="H55" s="27">
        <v>8000</v>
      </c>
      <c r="I55" s="51">
        <v>15000</v>
      </c>
      <c r="J55" s="51">
        <v>30000</v>
      </c>
      <c r="K55" s="51">
        <v>14000</v>
      </c>
      <c r="L55" s="51">
        <v>10000</v>
      </c>
      <c r="M55" s="48">
        <v>3500</v>
      </c>
      <c r="N55" s="48">
        <v>2686</v>
      </c>
      <c r="O55" s="55">
        <v>3065</v>
      </c>
      <c r="P55" s="53">
        <v>3050</v>
      </c>
      <c r="Q55" s="51">
        <v>3310</v>
      </c>
      <c r="R55" s="51">
        <v>0</v>
      </c>
      <c r="S55" s="6"/>
      <c r="T55" s="51">
        <v>0</v>
      </c>
      <c r="U55" s="51">
        <v>0</v>
      </c>
      <c r="V55" s="51">
        <v>0</v>
      </c>
    </row>
    <row r="56" ht="78" customHeight="1">
      <c r="A56" t="s" s="52">
        <v>72</v>
      </c>
      <c r="B56" s="42">
        <f>SUM(C56,G56)</f>
        <v>370320</v>
      </c>
      <c r="C56" s="43">
        <f>SUM(H56,I56,J56,K56,L56,M56,N56,O56,P56,Q56,R56,S56,T56,U56,V56)</f>
        <v>370320</v>
      </c>
      <c r="D56" s="44"/>
      <c r="E56" s="6"/>
      <c r="F56" s="6"/>
      <c r="G56" s="6"/>
      <c r="H56" s="27">
        <v>6000</v>
      </c>
      <c r="I56" s="51">
        <v>25000</v>
      </c>
      <c r="J56" s="51">
        <v>27000</v>
      </c>
      <c r="K56" s="51">
        <v>36000</v>
      </c>
      <c r="L56" s="51">
        <v>30000</v>
      </c>
      <c r="M56" s="48">
        <v>50900</v>
      </c>
      <c r="N56" s="48">
        <v>47970</v>
      </c>
      <c r="O56" s="55">
        <v>70250</v>
      </c>
      <c r="P56" s="53">
        <v>33000</v>
      </c>
      <c r="Q56" s="51">
        <v>44000</v>
      </c>
      <c r="R56" s="51">
        <v>200</v>
      </c>
      <c r="S56" s="6"/>
      <c r="T56" s="51">
        <v>0</v>
      </c>
      <c r="U56" s="51">
        <v>0</v>
      </c>
      <c r="V56" s="51">
        <v>0</v>
      </c>
    </row>
    <row r="57" ht="47.25" customHeight="1">
      <c r="A57" t="s" s="16">
        <v>73</v>
      </c>
      <c r="B57" s="42">
        <f>SUM(C57,G57)</f>
        <v>0</v>
      </c>
      <c r="C57" s="43">
        <f>SUM(H57,I57,J57,K57,L57,M57,N57,O57,P57,Q57,R57,S57,T57,U57,V57)</f>
        <v>0</v>
      </c>
      <c r="D57" s="44"/>
      <c r="E57" s="17"/>
      <c r="F57" s="17"/>
      <c r="G57" s="17"/>
      <c r="H57" s="46"/>
      <c r="I57" s="47"/>
      <c r="J57" s="47"/>
      <c r="K57" s="47"/>
      <c r="L57" s="47"/>
      <c r="M57" s="48">
        <v>0</v>
      </c>
      <c r="N57" s="49"/>
      <c r="O57" s="50"/>
      <c r="P57" s="17"/>
      <c r="Q57" s="51">
        <v>0</v>
      </c>
      <c r="R57" s="47"/>
      <c r="S57" s="17"/>
      <c r="T57" s="47"/>
      <c r="U57" s="47"/>
      <c r="V57" s="51">
        <v>0</v>
      </c>
    </row>
    <row r="58" ht="234" customHeight="1">
      <c r="A58" t="s" s="21">
        <v>74</v>
      </c>
      <c r="B58" s="22">
        <f>SUM(C58,G58)</f>
        <v>104000</v>
      </c>
      <c r="C58" s="23">
        <f>SUM(H58,I58,J58,K58,L58,M58,N58,O58,P58,Q58,R58,S58,T58,U58,V58)</f>
        <v>103500</v>
      </c>
      <c r="D58" s="36"/>
      <c r="E58" s="25"/>
      <c r="F58" s="25"/>
      <c r="G58" s="37">
        <v>500</v>
      </c>
      <c r="H58" s="27">
        <v>80000</v>
      </c>
      <c r="I58" s="28">
        <v>1000</v>
      </c>
      <c r="J58" s="28">
        <v>10000</v>
      </c>
      <c r="K58" s="28">
        <v>10000</v>
      </c>
      <c r="L58" s="28">
        <v>2500</v>
      </c>
      <c r="M58" s="30">
        <v>0</v>
      </c>
      <c r="N58" s="30">
        <v>0</v>
      </c>
      <c r="O58" s="30">
        <v>0</v>
      </c>
      <c r="P58" s="41">
        <v>0</v>
      </c>
      <c r="Q58" s="28">
        <v>0</v>
      </c>
      <c r="R58" s="28">
        <v>0</v>
      </c>
      <c r="S58" s="33"/>
      <c r="T58" s="28">
        <v>0</v>
      </c>
      <c r="U58" s="28">
        <v>0</v>
      </c>
      <c r="V58" s="28">
        <v>0</v>
      </c>
    </row>
    <row r="59" ht="195" customHeight="1">
      <c r="A59" t="s" s="21">
        <v>75</v>
      </c>
      <c r="B59" s="22">
        <f>SUM(C59,G59)</f>
        <v>104000</v>
      </c>
      <c r="C59" s="23">
        <f>SUM(H59,I59,J59,K59,L59,M59,N59,O59,P59,Q59,R59,S59,T59,U59,V59)</f>
        <v>103500</v>
      </c>
      <c r="D59" s="36"/>
      <c r="E59" s="25"/>
      <c r="F59" s="25"/>
      <c r="G59" s="37">
        <v>500</v>
      </c>
      <c r="H59" s="27">
        <v>80000</v>
      </c>
      <c r="I59" s="28">
        <v>1000</v>
      </c>
      <c r="J59" s="28">
        <v>10000</v>
      </c>
      <c r="K59" s="28">
        <v>10000</v>
      </c>
      <c r="L59" s="28">
        <v>2500</v>
      </c>
      <c r="M59" s="30">
        <v>0</v>
      </c>
      <c r="N59" s="30">
        <v>0</v>
      </c>
      <c r="O59" s="30">
        <v>0</v>
      </c>
      <c r="P59" s="41">
        <v>0</v>
      </c>
      <c r="Q59" s="28">
        <v>0</v>
      </c>
      <c r="R59" s="28">
        <v>0</v>
      </c>
      <c r="S59" s="62"/>
      <c r="T59" s="28">
        <v>0</v>
      </c>
      <c r="U59" s="28">
        <v>0</v>
      </c>
      <c r="V59" s="28">
        <v>0</v>
      </c>
    </row>
    <row r="60" ht="175.5" customHeight="1">
      <c r="A60" t="s" s="21">
        <v>76</v>
      </c>
      <c r="B60" s="22">
        <f>SUM(C60,G60)</f>
        <v>594432</v>
      </c>
      <c r="C60" s="23">
        <f>SUM(H60,I60,J60,K60,L60,M60,N60,O60,P60,Q60,R60,S60,T60,U60,V60)</f>
        <v>594432</v>
      </c>
      <c r="D60" s="36"/>
      <c r="E60" s="25"/>
      <c r="F60" s="25"/>
      <c r="G60" s="26"/>
      <c r="H60" s="27">
        <v>120000</v>
      </c>
      <c r="I60" s="28">
        <v>0</v>
      </c>
      <c r="J60" s="28">
        <v>40000</v>
      </c>
      <c r="K60" s="28">
        <v>50000</v>
      </c>
      <c r="L60" s="28">
        <v>40000</v>
      </c>
      <c r="M60" s="30">
        <v>91000</v>
      </c>
      <c r="N60" s="30">
        <v>96970</v>
      </c>
      <c r="O60" s="30">
        <v>106700</v>
      </c>
      <c r="P60" s="41">
        <v>22000</v>
      </c>
      <c r="Q60" s="28">
        <v>11250</v>
      </c>
      <c r="R60" s="28">
        <v>1512</v>
      </c>
      <c r="S60" s="27">
        <v>15000</v>
      </c>
      <c r="T60" s="28">
        <v>0</v>
      </c>
      <c r="U60" s="28">
        <v>0</v>
      </c>
      <c r="V60" s="28">
        <v>0</v>
      </c>
    </row>
    <row r="61" ht="19.5" customHeight="1">
      <c r="A61" t="s" s="16">
        <v>77</v>
      </c>
      <c r="B61" s="42">
        <f>SUM(C61,G61)</f>
        <v>0</v>
      </c>
      <c r="C61" s="43">
        <f>SUM(H61,I61,J61,K61,L61,M61,N61,O61,P61,Q61,R61,S61,T61,U61,V61)</f>
        <v>0</v>
      </c>
      <c r="D61" s="44"/>
      <c r="E61" s="45"/>
      <c r="F61" s="45"/>
      <c r="G61" s="45"/>
      <c r="H61" s="46"/>
      <c r="I61" s="47"/>
      <c r="J61" s="47"/>
      <c r="K61" s="47"/>
      <c r="L61" s="47"/>
      <c r="M61" s="48">
        <v>0</v>
      </c>
      <c r="N61" s="49"/>
      <c r="O61" s="50"/>
      <c r="P61" s="45"/>
      <c r="Q61" s="51">
        <v>0</v>
      </c>
      <c r="R61" s="47"/>
      <c r="S61" s="63"/>
      <c r="T61" s="47"/>
      <c r="U61" s="47"/>
      <c r="V61" s="51">
        <v>0</v>
      </c>
    </row>
    <row r="62" ht="47.25" customHeight="1">
      <c r="A62" t="s" s="52">
        <v>78</v>
      </c>
      <c r="B62" s="42">
        <f>SUM(C62,G62)</f>
        <v>83200</v>
      </c>
      <c r="C62" s="43">
        <f>SUM(H62,I62,J62,K62,L62,M62,N62,O62,P62,Q62,R62,S62,T62,U62,V62)</f>
        <v>83200</v>
      </c>
      <c r="D62" s="44"/>
      <c r="E62" s="6"/>
      <c r="F62" s="6"/>
      <c r="G62" s="6"/>
      <c r="H62" s="27">
        <v>1000</v>
      </c>
      <c r="I62" s="51">
        <v>0</v>
      </c>
      <c r="J62" s="51">
        <v>4000</v>
      </c>
      <c r="K62" s="51">
        <v>400</v>
      </c>
      <c r="L62" s="51">
        <v>2000</v>
      </c>
      <c r="M62" s="48">
        <v>15000</v>
      </c>
      <c r="N62" s="48">
        <v>10000</v>
      </c>
      <c r="O62" s="55">
        <v>12100</v>
      </c>
      <c r="P62" s="53">
        <v>4500</v>
      </c>
      <c r="Q62" s="51">
        <v>34000</v>
      </c>
      <c r="R62" s="51">
        <v>200</v>
      </c>
      <c r="S62" s="6"/>
      <c r="T62" s="51">
        <v>0</v>
      </c>
      <c r="U62" s="51">
        <v>0</v>
      </c>
      <c r="V62" s="51">
        <v>0</v>
      </c>
    </row>
    <row r="63" ht="173.25" customHeight="1">
      <c r="A63" t="s" s="52">
        <v>79</v>
      </c>
      <c r="B63" s="42">
        <f>SUM(C63,G63)</f>
        <v>50385</v>
      </c>
      <c r="C63" s="43">
        <f>SUM(H63,I63,J63,K63,L63,M63,N63,O63,P63,Q63,R63,S63,T63,U63,V63)</f>
        <v>50385</v>
      </c>
      <c r="D63" s="44"/>
      <c r="E63" s="6"/>
      <c r="F63" s="6"/>
      <c r="G63" s="6"/>
      <c r="H63" s="27">
        <v>0</v>
      </c>
      <c r="I63" s="51">
        <v>6000</v>
      </c>
      <c r="J63" s="51">
        <v>2000</v>
      </c>
      <c r="K63" s="51">
        <v>6000</v>
      </c>
      <c r="L63" s="51">
        <v>800</v>
      </c>
      <c r="M63" s="48">
        <v>9700</v>
      </c>
      <c r="N63" s="48">
        <v>8060</v>
      </c>
      <c r="O63" s="55">
        <v>6575</v>
      </c>
      <c r="P63" s="53">
        <v>4850</v>
      </c>
      <c r="Q63" s="51">
        <v>6400</v>
      </c>
      <c r="R63" s="51">
        <v>0</v>
      </c>
      <c r="S63" s="6"/>
      <c r="T63" s="51">
        <v>0</v>
      </c>
      <c r="U63" s="51">
        <v>0</v>
      </c>
      <c r="V63" s="51">
        <v>0</v>
      </c>
    </row>
    <row r="64" ht="31.5" customHeight="1">
      <c r="A64" t="s" s="16">
        <v>80</v>
      </c>
      <c r="B64" s="42">
        <f>SUM(C64,G64)</f>
        <v>0</v>
      </c>
      <c r="C64" s="43">
        <f>SUM(H64,I64,J64,K64,L64,M64,N64,O64,P64,Q64,R64,S64,T64,U64,V64)</f>
        <v>0</v>
      </c>
      <c r="D64" s="44"/>
      <c r="E64" s="17"/>
      <c r="F64" s="17"/>
      <c r="G64" s="17"/>
      <c r="H64" s="46"/>
      <c r="I64" s="47"/>
      <c r="J64" s="47"/>
      <c r="K64" s="47"/>
      <c r="L64" s="47"/>
      <c r="M64" s="48">
        <v>0</v>
      </c>
      <c r="N64" s="49"/>
      <c r="O64" s="50"/>
      <c r="P64" s="17"/>
      <c r="Q64" s="51">
        <v>0</v>
      </c>
      <c r="R64" s="47"/>
      <c r="S64" s="17"/>
      <c r="T64" s="47"/>
      <c r="U64" s="47"/>
      <c r="V64" s="51">
        <v>0</v>
      </c>
    </row>
    <row r="65" ht="58.5" customHeight="1">
      <c r="A65" t="s" s="21">
        <v>81</v>
      </c>
      <c r="B65" s="22">
        <f>SUM(C65,G65)</f>
        <v>220</v>
      </c>
      <c r="C65" s="23">
        <f>SUM(H65,I65,J65,K65,L65,M65,N65,O65,P65,Q65,R65,S65,T65,U65,V65)</f>
        <v>220</v>
      </c>
      <c r="D65" s="36"/>
      <c r="E65" s="25"/>
      <c r="F65" s="25"/>
      <c r="G65" s="26"/>
      <c r="H65" s="27">
        <v>100</v>
      </c>
      <c r="I65" s="28">
        <v>0</v>
      </c>
      <c r="J65" s="28">
        <v>100</v>
      </c>
      <c r="K65" s="28">
        <v>20</v>
      </c>
      <c r="L65" s="28">
        <v>0</v>
      </c>
      <c r="M65" s="30">
        <v>0</v>
      </c>
      <c r="N65" s="30">
        <v>0</v>
      </c>
      <c r="O65" s="30">
        <v>0</v>
      </c>
      <c r="P65" s="41">
        <v>0</v>
      </c>
      <c r="Q65" s="28">
        <v>0</v>
      </c>
      <c r="R65" s="28">
        <v>0</v>
      </c>
      <c r="S65" s="33"/>
      <c r="T65" s="28">
        <v>0</v>
      </c>
      <c r="U65" s="28">
        <v>0</v>
      </c>
      <c r="V65" s="28">
        <v>0</v>
      </c>
    </row>
    <row r="66" ht="47.25" customHeight="1">
      <c r="A66" t="s" s="21">
        <v>82</v>
      </c>
      <c r="B66" s="22">
        <f>SUM(C66,G66)</f>
        <v>10400</v>
      </c>
      <c r="C66" s="23">
        <f>SUM(H66,I66,J66,K66,L66,M66,N66,O66,P66,Q66,R66,S66,T66,U66,V66)</f>
        <v>10400</v>
      </c>
      <c r="D66" s="36"/>
      <c r="E66" s="25"/>
      <c r="F66" s="25"/>
      <c r="G66" s="26"/>
      <c r="H66" s="27">
        <v>5000</v>
      </c>
      <c r="I66" s="28">
        <v>0</v>
      </c>
      <c r="J66" s="28">
        <v>5000</v>
      </c>
      <c r="K66" s="28">
        <v>400</v>
      </c>
      <c r="L66" s="28">
        <v>0</v>
      </c>
      <c r="M66" s="30">
        <v>0</v>
      </c>
      <c r="N66" s="30">
        <v>0</v>
      </c>
      <c r="O66" s="30">
        <v>0</v>
      </c>
      <c r="P66" s="41">
        <v>0</v>
      </c>
      <c r="Q66" s="28">
        <v>0</v>
      </c>
      <c r="R66" s="28">
        <v>0</v>
      </c>
      <c r="S66" s="33"/>
      <c r="T66" s="28">
        <v>0</v>
      </c>
      <c r="U66" s="28">
        <v>0</v>
      </c>
      <c r="V66" s="28">
        <v>0</v>
      </c>
    </row>
    <row r="67" ht="19.5" customHeight="1">
      <c r="A67" t="s" s="16">
        <v>83</v>
      </c>
      <c r="B67" s="42">
        <f>SUM(C67,G67)</f>
        <v>0</v>
      </c>
      <c r="C67" s="43">
        <f>SUM(H67,I67,J67,K67,L67,M67,N67,O67,P67,Q67,R67,S67,T67,U67,V67)</f>
        <v>0</v>
      </c>
      <c r="D67" s="44"/>
      <c r="E67" s="45"/>
      <c r="F67" s="45"/>
      <c r="G67" s="45"/>
      <c r="H67" s="46"/>
      <c r="I67" s="47"/>
      <c r="J67" s="47"/>
      <c r="K67" s="47"/>
      <c r="L67" s="47"/>
      <c r="M67" s="48">
        <v>0</v>
      </c>
      <c r="N67" s="49"/>
      <c r="O67" s="50"/>
      <c r="P67" s="45"/>
      <c r="Q67" s="51">
        <v>0</v>
      </c>
      <c r="R67" s="47"/>
      <c r="S67" s="45"/>
      <c r="T67" s="47"/>
      <c r="U67" s="47"/>
      <c r="V67" s="51">
        <v>0</v>
      </c>
    </row>
    <row r="68" ht="31.5" customHeight="1">
      <c r="A68" t="s" s="52">
        <v>84</v>
      </c>
      <c r="B68" s="42">
        <f>SUM(C68,G68)</f>
        <v>15730</v>
      </c>
      <c r="C68" s="43">
        <f>SUM(H68,I68,J68,K68,L68,M68,N68,O68,P68,Q68,R68,S68,T68,U68,V68)</f>
        <v>15730</v>
      </c>
      <c r="D68" s="44"/>
      <c r="E68" s="17"/>
      <c r="F68" s="17"/>
      <c r="G68" s="17"/>
      <c r="H68" s="27">
        <v>400</v>
      </c>
      <c r="I68" s="51">
        <v>1000</v>
      </c>
      <c r="J68" s="51">
        <v>750</v>
      </c>
      <c r="K68" s="51">
        <v>2000</v>
      </c>
      <c r="L68" s="51">
        <v>800</v>
      </c>
      <c r="M68" s="48">
        <v>1300</v>
      </c>
      <c r="N68" s="48">
        <v>2500</v>
      </c>
      <c r="O68" s="55">
        <v>4010</v>
      </c>
      <c r="P68" s="56">
        <v>550</v>
      </c>
      <c r="Q68" s="51">
        <v>2120</v>
      </c>
      <c r="R68" s="51">
        <v>300</v>
      </c>
      <c r="S68" s="17"/>
      <c r="T68" s="51">
        <v>0</v>
      </c>
      <c r="U68" s="51">
        <v>0</v>
      </c>
      <c r="V68" s="51">
        <v>0</v>
      </c>
    </row>
    <row r="69" ht="31.5" customHeight="1">
      <c r="A69" t="s" s="21">
        <v>85</v>
      </c>
      <c r="B69" s="22">
        <f>SUM(C69,G69)</f>
        <v>45710</v>
      </c>
      <c r="C69" s="23">
        <f>SUM(H69,I69,J69,K69,L69,M69,N69,O69,P69,Q69,R69,S69,T69,U69,V69)</f>
        <v>45710</v>
      </c>
      <c r="D69" s="36"/>
      <c r="E69" s="25"/>
      <c r="F69" s="25"/>
      <c r="G69" s="26"/>
      <c r="H69" s="27">
        <v>1000</v>
      </c>
      <c r="I69" s="28">
        <v>0</v>
      </c>
      <c r="J69" s="28">
        <v>5000</v>
      </c>
      <c r="K69" s="28">
        <v>1500</v>
      </c>
      <c r="L69" s="28">
        <v>100</v>
      </c>
      <c r="M69" s="30">
        <v>9800</v>
      </c>
      <c r="N69" s="30">
        <v>5000</v>
      </c>
      <c r="O69" s="30">
        <v>9300</v>
      </c>
      <c r="P69" s="41">
        <v>9000</v>
      </c>
      <c r="Q69" s="28">
        <v>4710</v>
      </c>
      <c r="R69" s="28">
        <v>300</v>
      </c>
      <c r="S69" s="33"/>
      <c r="T69" s="28">
        <v>0</v>
      </c>
      <c r="U69" s="28">
        <v>0</v>
      </c>
      <c r="V69" s="28">
        <v>0</v>
      </c>
    </row>
    <row r="70" ht="19.5" customHeight="1">
      <c r="A70" t="s" s="21">
        <v>86</v>
      </c>
      <c r="B70" s="22">
        <f>SUM(C70,G70)</f>
        <v>5840</v>
      </c>
      <c r="C70" s="23">
        <f>SUM(H70,I70,J70,K70,L70,M70,N70,O70,P70,Q70,R70,S70,T70,U70,V70)</f>
        <v>5840</v>
      </c>
      <c r="D70" s="36"/>
      <c r="E70" s="25"/>
      <c r="F70" s="25"/>
      <c r="G70" s="26"/>
      <c r="H70" s="27">
        <v>3000</v>
      </c>
      <c r="I70" s="28">
        <v>240</v>
      </c>
      <c r="J70" s="28">
        <v>1000</v>
      </c>
      <c r="K70" s="28">
        <v>1500</v>
      </c>
      <c r="L70" s="28">
        <v>100</v>
      </c>
      <c r="M70" s="30">
        <v>0</v>
      </c>
      <c r="N70" s="30">
        <v>0</v>
      </c>
      <c r="O70" s="30">
        <v>0</v>
      </c>
      <c r="P70" s="41">
        <v>0</v>
      </c>
      <c r="Q70" s="28">
        <v>0</v>
      </c>
      <c r="R70" s="28">
        <v>0</v>
      </c>
      <c r="S70" s="33"/>
      <c r="T70" s="28">
        <v>0</v>
      </c>
      <c r="U70" s="28">
        <v>0</v>
      </c>
      <c r="V70" s="28">
        <v>0</v>
      </c>
    </row>
    <row r="71" ht="31.5" customHeight="1">
      <c r="A71" t="s" s="16">
        <v>87</v>
      </c>
      <c r="B71" s="42">
        <f>SUM(C71,G71)</f>
        <v>0</v>
      </c>
      <c r="C71" s="43">
        <f>SUM(H71,I71,J71,K71,L71,M71,N71,O71,P71,Q71,R71,S71,T71,U71,V71)</f>
        <v>0</v>
      </c>
      <c r="D71" s="44"/>
      <c r="E71" s="45"/>
      <c r="F71" s="45"/>
      <c r="G71" s="45"/>
      <c r="H71" s="46"/>
      <c r="I71" s="47"/>
      <c r="J71" s="47"/>
      <c r="K71" s="47"/>
      <c r="L71" s="47"/>
      <c r="M71" s="48">
        <v>0</v>
      </c>
      <c r="N71" s="49"/>
      <c r="O71" s="50"/>
      <c r="P71" s="45"/>
      <c r="Q71" s="51">
        <v>0</v>
      </c>
      <c r="R71" s="47"/>
      <c r="S71" s="45"/>
      <c r="T71" s="47"/>
      <c r="U71" s="47"/>
      <c r="V71" s="51">
        <v>0</v>
      </c>
    </row>
    <row r="72" ht="214.5" customHeight="1">
      <c r="A72" t="s" s="52">
        <v>88</v>
      </c>
      <c r="B72" s="42">
        <f>SUM(C72,G72)</f>
        <v>1000</v>
      </c>
      <c r="C72" s="43">
        <f>SUM(H72,I72,J72,K72,L72,M72,N72,O72,P72,Q72,R72,S72,T72,U72,V72)</f>
        <v>1000</v>
      </c>
      <c r="D72" s="44"/>
      <c r="E72" s="6"/>
      <c r="F72" s="6"/>
      <c r="G72" s="6"/>
      <c r="H72" s="27">
        <v>0</v>
      </c>
      <c r="I72" s="51">
        <v>0</v>
      </c>
      <c r="J72" s="51">
        <v>0</v>
      </c>
      <c r="K72" s="51">
        <v>1000</v>
      </c>
      <c r="L72" s="51">
        <v>0</v>
      </c>
      <c r="M72" s="48">
        <v>0</v>
      </c>
      <c r="N72" s="48">
        <v>0</v>
      </c>
      <c r="O72" s="55">
        <v>0</v>
      </c>
      <c r="P72" s="53">
        <v>0</v>
      </c>
      <c r="Q72" s="51">
        <v>0</v>
      </c>
      <c r="R72" s="51">
        <v>0</v>
      </c>
      <c r="S72" s="6"/>
      <c r="T72" s="51">
        <v>0</v>
      </c>
      <c r="U72" s="51">
        <v>0</v>
      </c>
      <c r="V72" s="51">
        <v>0</v>
      </c>
    </row>
    <row r="73" ht="31.5" customHeight="1">
      <c r="A73" t="s" s="16">
        <v>89</v>
      </c>
      <c r="B73" s="42">
        <f>SUM(C73,G73)</f>
        <v>0</v>
      </c>
      <c r="C73" s="43">
        <f>SUM(H73,I73,J73,K73,L73,M73,N73,O73,P73,Q73,R73,S73,T73,U73,V73)</f>
        <v>0</v>
      </c>
      <c r="D73" s="44"/>
      <c r="E73" s="17"/>
      <c r="F73" s="17"/>
      <c r="G73" s="17"/>
      <c r="H73" s="46"/>
      <c r="I73" s="47"/>
      <c r="J73" s="47"/>
      <c r="K73" s="47"/>
      <c r="L73" s="47"/>
      <c r="M73" s="48">
        <v>0</v>
      </c>
      <c r="N73" s="49"/>
      <c r="O73" s="50"/>
      <c r="P73" s="17"/>
      <c r="Q73" s="51">
        <v>0</v>
      </c>
      <c r="R73" s="47"/>
      <c r="S73" s="64"/>
      <c r="T73" s="47"/>
      <c r="U73" s="47"/>
      <c r="V73" s="51">
        <v>0</v>
      </c>
    </row>
    <row r="74" ht="31.5" customHeight="1">
      <c r="A74" t="s" s="21">
        <v>90</v>
      </c>
      <c r="B74" s="22">
        <f>SUM(C74,G74)</f>
        <v>543900</v>
      </c>
      <c r="C74" s="23">
        <f>SUM(H74,I74,J74,K74,L74,M74,N74,O74,P74,Q74,R74,S74,T74,U74,V74)</f>
        <v>543900</v>
      </c>
      <c r="D74" s="36"/>
      <c r="E74" s="25"/>
      <c r="F74" s="25"/>
      <c r="G74" s="26"/>
      <c r="H74" s="27">
        <v>120000</v>
      </c>
      <c r="I74" s="28">
        <v>0</v>
      </c>
      <c r="J74" s="28">
        <v>40000</v>
      </c>
      <c r="K74" s="28">
        <v>38000</v>
      </c>
      <c r="L74" s="28">
        <v>55000</v>
      </c>
      <c r="M74" s="30">
        <v>15100</v>
      </c>
      <c r="N74" s="30">
        <v>85900</v>
      </c>
      <c r="O74" s="30">
        <v>92200</v>
      </c>
      <c r="P74" s="41">
        <v>40000</v>
      </c>
      <c r="Q74" s="28">
        <v>56200</v>
      </c>
      <c r="R74" s="28">
        <v>500</v>
      </c>
      <c r="S74" s="27">
        <v>1000</v>
      </c>
      <c r="T74" s="28">
        <v>0</v>
      </c>
      <c r="U74" s="28">
        <v>0</v>
      </c>
      <c r="V74" s="28">
        <v>0</v>
      </c>
    </row>
    <row r="75" ht="31.5" customHeight="1">
      <c r="A75" t="s" s="16">
        <v>91</v>
      </c>
      <c r="B75" s="42">
        <f>SUM(C75,G75)</f>
        <v>0</v>
      </c>
      <c r="C75" s="43">
        <f>SUM(H75,I75,J75,K75,L75,M75,N75,O75,P75,Q75,R75,S75,T75,U75,V75)</f>
        <v>0</v>
      </c>
      <c r="D75" s="44"/>
      <c r="E75" s="45"/>
      <c r="F75" s="45"/>
      <c r="G75" s="45"/>
      <c r="H75" s="46"/>
      <c r="I75" s="47"/>
      <c r="J75" s="47"/>
      <c r="K75" s="47"/>
      <c r="L75" s="47"/>
      <c r="M75" s="48">
        <v>0</v>
      </c>
      <c r="N75" s="49"/>
      <c r="O75" s="50"/>
      <c r="P75" s="45"/>
      <c r="Q75" s="51">
        <v>0</v>
      </c>
      <c r="R75" s="47"/>
      <c r="S75" s="63"/>
      <c r="T75" s="47"/>
      <c r="U75" s="47"/>
      <c r="V75" s="51">
        <v>0</v>
      </c>
    </row>
    <row r="76" ht="409.5" customHeight="1">
      <c r="A76" t="s" s="65">
        <v>92</v>
      </c>
      <c r="B76" s="42">
        <f>SUM(C76,G76)</f>
        <v>127149</v>
      </c>
      <c r="C76" s="43">
        <f>SUM(H76,I76,J76,K76,L76,M76,N76,O76,P76,Q76,R76,S76,T76,U76,V76)</f>
        <v>124149</v>
      </c>
      <c r="D76" s="44"/>
      <c r="E76" s="6"/>
      <c r="F76" s="6"/>
      <c r="G76" s="53">
        <v>3000</v>
      </c>
      <c r="H76" s="27">
        <v>40000</v>
      </c>
      <c r="I76" s="51">
        <v>13000</v>
      </c>
      <c r="J76" s="51">
        <v>30000</v>
      </c>
      <c r="K76" s="51">
        <v>20000</v>
      </c>
      <c r="L76" s="51">
        <v>8500</v>
      </c>
      <c r="M76" s="48">
        <v>3250</v>
      </c>
      <c r="N76" s="48">
        <v>3029</v>
      </c>
      <c r="O76" s="55">
        <v>1765</v>
      </c>
      <c r="P76" s="53">
        <v>1150</v>
      </c>
      <c r="Q76" s="51">
        <v>3455</v>
      </c>
      <c r="R76" s="51">
        <v>0</v>
      </c>
      <c r="S76" s="6"/>
      <c r="T76" s="51">
        <v>0</v>
      </c>
      <c r="U76" s="51">
        <v>0</v>
      </c>
      <c r="V76" s="51">
        <v>0</v>
      </c>
    </row>
    <row r="77" ht="409.5" customHeight="1">
      <c r="A77" t="s" s="52">
        <v>93</v>
      </c>
      <c r="B77" s="42">
        <f>SUM(C77,G77)</f>
        <v>140550</v>
      </c>
      <c r="C77" s="43">
        <f>SUM(H77,I77,J77,K77,L77,M77,N77,O77,P77,Q77,R77,S77,T77,U77,V77)</f>
        <v>140550</v>
      </c>
      <c r="D77" s="44"/>
      <c r="E77" s="6"/>
      <c r="F77" s="6"/>
      <c r="G77" s="6"/>
      <c r="H77" s="27">
        <v>5000</v>
      </c>
      <c r="I77" s="51">
        <v>1000</v>
      </c>
      <c r="J77" s="51">
        <v>10000</v>
      </c>
      <c r="K77" s="51">
        <v>20000</v>
      </c>
      <c r="L77" s="51">
        <v>15000</v>
      </c>
      <c r="M77" s="48">
        <v>9350</v>
      </c>
      <c r="N77" s="48">
        <v>30000</v>
      </c>
      <c r="O77" s="55">
        <v>21100</v>
      </c>
      <c r="P77" s="53">
        <v>9000</v>
      </c>
      <c r="Q77" s="51">
        <v>20000</v>
      </c>
      <c r="R77" s="51">
        <v>100</v>
      </c>
      <c r="S77" s="6"/>
      <c r="T77" s="51">
        <v>0</v>
      </c>
      <c r="U77" s="51">
        <v>0</v>
      </c>
      <c r="V77" s="51">
        <v>0</v>
      </c>
    </row>
    <row r="78" ht="19.5" customHeight="1">
      <c r="A78" t="s" s="10">
        <v>94</v>
      </c>
      <c r="B78" s="42">
        <f>SUM(C78,G78)</f>
        <v>0</v>
      </c>
      <c r="C78" s="43">
        <f>SUM(H78,I78,J78,K78,L78,M78,N78,O78,P78,Q78,R78,S78,T78,U78,V78)</f>
        <v>0</v>
      </c>
      <c r="D78" s="44"/>
      <c r="E78" s="6"/>
      <c r="F78" s="6"/>
      <c r="G78" s="6"/>
      <c r="H78" s="46"/>
      <c r="I78" s="47"/>
      <c r="J78" s="47"/>
      <c r="K78" s="47"/>
      <c r="L78" s="47"/>
      <c r="M78" s="48">
        <v>0</v>
      </c>
      <c r="N78" s="49"/>
      <c r="O78" s="50"/>
      <c r="P78" s="6"/>
      <c r="Q78" s="51">
        <v>0</v>
      </c>
      <c r="R78" s="47"/>
      <c r="S78" s="6"/>
      <c r="T78" s="47"/>
      <c r="U78" s="47"/>
      <c r="V78" s="51">
        <v>0</v>
      </c>
    </row>
    <row r="79" ht="136.5" customHeight="1">
      <c r="A79" t="s" s="16">
        <v>95</v>
      </c>
      <c r="B79" s="42">
        <f>SUM(C79,G79)</f>
        <v>0</v>
      </c>
      <c r="C79" s="43">
        <f>SUM(H79,I79,J79,K79,L79,M79,N79,O79,P79,Q79,R79,S79,T79,U79,V79)</f>
        <v>0</v>
      </c>
      <c r="D79" s="44"/>
      <c r="E79" s="17"/>
      <c r="F79" s="17"/>
      <c r="G79" s="17"/>
      <c r="H79" s="46"/>
      <c r="I79" s="47"/>
      <c r="J79" s="47"/>
      <c r="K79" s="47"/>
      <c r="L79" s="47"/>
      <c r="M79" s="48">
        <v>0</v>
      </c>
      <c r="N79" s="49"/>
      <c r="O79" s="50"/>
      <c r="P79" s="17"/>
      <c r="Q79" s="51">
        <v>0</v>
      </c>
      <c r="R79" s="47"/>
      <c r="S79" s="17"/>
      <c r="T79" s="47"/>
      <c r="U79" s="47"/>
      <c r="V79" s="51">
        <v>0</v>
      </c>
    </row>
    <row r="80" ht="141.75" customHeight="1">
      <c r="A80" t="s" s="21">
        <v>96</v>
      </c>
      <c r="B80" s="22">
        <f>SUM(C80,G80)</f>
        <v>8317</v>
      </c>
      <c r="C80" s="23">
        <f>SUM(H80,I80,J80,K80,L80,M80,N80,O80,P80,Q80,R80,S80,T80,U80,V80)</f>
        <v>8267</v>
      </c>
      <c r="D80" s="36"/>
      <c r="E80" s="25"/>
      <c r="F80" s="25"/>
      <c r="G80" s="37">
        <v>50</v>
      </c>
      <c r="H80" s="27">
        <v>2000</v>
      </c>
      <c r="I80" s="28">
        <v>1000</v>
      </c>
      <c r="J80" s="28">
        <v>3000</v>
      </c>
      <c r="K80" s="28">
        <v>2000</v>
      </c>
      <c r="L80" s="28">
        <v>250</v>
      </c>
      <c r="M80" s="30">
        <v>0</v>
      </c>
      <c r="N80" s="30">
        <v>12</v>
      </c>
      <c r="O80" s="30">
        <v>5</v>
      </c>
      <c r="P80" s="41">
        <v>0</v>
      </c>
      <c r="Q80" s="28">
        <v>0</v>
      </c>
      <c r="R80" s="28">
        <v>0</v>
      </c>
      <c r="S80" s="33"/>
      <c r="T80" s="28">
        <v>0</v>
      </c>
      <c r="U80" s="28">
        <v>0</v>
      </c>
      <c r="V80" s="28">
        <v>0</v>
      </c>
    </row>
    <row r="81" ht="214.5" customHeight="1">
      <c r="A81" t="s" s="52">
        <v>97</v>
      </c>
      <c r="B81" s="42">
        <f>SUM(C81,G81)</f>
        <v>8228</v>
      </c>
      <c r="C81" s="43">
        <f>SUM(H81,I81,J81,K81,L81,M81,N81,O81,P81,Q81,R81,S81,T81,U81,V81)</f>
        <v>8128</v>
      </c>
      <c r="D81" s="44"/>
      <c r="E81" s="33"/>
      <c r="F81" s="33"/>
      <c r="G81" s="41">
        <v>100</v>
      </c>
      <c r="H81" s="27">
        <v>2000</v>
      </c>
      <c r="I81" s="51">
        <v>1000</v>
      </c>
      <c r="J81" s="51">
        <v>800</v>
      </c>
      <c r="K81" s="51">
        <v>2000</v>
      </c>
      <c r="L81" s="51">
        <v>550</v>
      </c>
      <c r="M81" s="48">
        <v>400</v>
      </c>
      <c r="N81" s="48">
        <v>600</v>
      </c>
      <c r="O81" s="55">
        <v>220</v>
      </c>
      <c r="P81" s="41">
        <v>184</v>
      </c>
      <c r="Q81" s="51">
        <v>362</v>
      </c>
      <c r="R81" s="51">
        <v>0</v>
      </c>
      <c r="S81" s="33"/>
      <c r="T81" s="51">
        <v>12</v>
      </c>
      <c r="U81" s="51">
        <v>0</v>
      </c>
      <c r="V81" s="51">
        <v>0</v>
      </c>
    </row>
    <row r="82" ht="195" customHeight="1">
      <c r="A82" t="s" s="21">
        <v>98</v>
      </c>
      <c r="B82" s="22">
        <f>SUM(C82,G82)</f>
        <v>105445</v>
      </c>
      <c r="C82" s="23">
        <f>SUM(H82,I82,J82,K82,L82,M82,N82,O82,P82,Q82,R82,S82,T82,U82,V82)</f>
        <v>105445</v>
      </c>
      <c r="D82" s="36"/>
      <c r="E82" s="25"/>
      <c r="F82" s="25"/>
      <c r="G82" s="26"/>
      <c r="H82" s="27">
        <v>500</v>
      </c>
      <c r="I82" s="28">
        <v>7500</v>
      </c>
      <c r="J82" s="28">
        <v>6000</v>
      </c>
      <c r="K82" s="28">
        <v>3000</v>
      </c>
      <c r="L82" s="28">
        <v>3100</v>
      </c>
      <c r="M82" s="30">
        <v>23500</v>
      </c>
      <c r="N82" s="30">
        <v>10740</v>
      </c>
      <c r="O82" s="30">
        <v>12230</v>
      </c>
      <c r="P82" s="41">
        <v>17000</v>
      </c>
      <c r="Q82" s="28">
        <v>21800</v>
      </c>
      <c r="R82" s="28">
        <v>0</v>
      </c>
      <c r="S82" s="33"/>
      <c r="T82" s="28">
        <v>75</v>
      </c>
      <c r="U82" s="28">
        <v>0</v>
      </c>
      <c r="V82" s="28">
        <v>0</v>
      </c>
    </row>
    <row r="83" ht="409.5" customHeight="1">
      <c r="A83" t="s" s="66">
        <v>99</v>
      </c>
      <c r="B83" s="34">
        <f>SUM(C83,G83)</f>
        <v>17630</v>
      </c>
      <c r="C83" s="35">
        <f>SUM(H83,I83,J83,K83,L83,M83,N83,O83,P83,Q83,R83,S83,T83,U83,V83)</f>
        <v>17630</v>
      </c>
      <c r="D83" s="36"/>
      <c r="E83" s="25"/>
      <c r="F83" s="25"/>
      <c r="G83" s="26"/>
      <c r="H83" s="27">
        <v>300</v>
      </c>
      <c r="I83" s="38">
        <v>0</v>
      </c>
      <c r="J83" s="38">
        <v>1000</v>
      </c>
      <c r="K83" s="38">
        <v>500</v>
      </c>
      <c r="L83" s="38">
        <v>650</v>
      </c>
      <c r="M83" s="40">
        <v>3800</v>
      </c>
      <c r="N83" s="40">
        <v>3775</v>
      </c>
      <c r="O83" s="40">
        <v>5635</v>
      </c>
      <c r="P83" s="41">
        <v>0</v>
      </c>
      <c r="Q83" s="38">
        <v>1660</v>
      </c>
      <c r="R83" s="38">
        <v>0</v>
      </c>
      <c r="S83" s="33"/>
      <c r="T83" s="38">
        <v>300</v>
      </c>
      <c r="U83" s="38">
        <v>0</v>
      </c>
      <c r="V83" s="38">
        <v>10</v>
      </c>
    </row>
    <row r="84" ht="19.5" customHeight="1">
      <c r="A84" t="s" s="67">
        <v>100</v>
      </c>
      <c r="B84" s="42">
        <f>SUM(C84,G84)</f>
        <v>0</v>
      </c>
      <c r="C84" s="43">
        <f>SUM(H84,I84,J84,K84,L84,M84,N84,O84,P84,Q84,R84,S84,T84,U84,V84)</f>
        <v>0</v>
      </c>
      <c r="D84" s="44"/>
      <c r="E84" s="45"/>
      <c r="F84" s="45"/>
      <c r="G84" s="45"/>
      <c r="H84" s="46"/>
      <c r="I84" s="47"/>
      <c r="J84" s="47"/>
      <c r="K84" s="47"/>
      <c r="L84" s="47"/>
      <c r="M84" s="48">
        <v>0</v>
      </c>
      <c r="N84" s="49"/>
      <c r="O84" s="50"/>
      <c r="P84" s="45"/>
      <c r="Q84" s="51">
        <v>0</v>
      </c>
      <c r="R84" s="47"/>
      <c r="S84" s="45"/>
      <c r="T84" s="47"/>
      <c r="U84" s="47"/>
      <c r="V84" s="51">
        <v>0</v>
      </c>
    </row>
    <row r="85" ht="47.25" customHeight="1">
      <c r="A85" t="s" s="52">
        <v>101</v>
      </c>
      <c r="B85" s="42">
        <f>SUM(C85,G85)</f>
        <v>4057</v>
      </c>
      <c r="C85" s="43">
        <f>SUM(H85,I85,J85,K85,L85,M85,N85,O85,P85,Q85,R85,S85,T85,U85,V85)</f>
        <v>4057</v>
      </c>
      <c r="D85" s="44"/>
      <c r="E85" s="6"/>
      <c r="F85" s="6"/>
      <c r="G85" s="6"/>
      <c r="H85" s="27">
        <v>100</v>
      </c>
      <c r="I85" s="51">
        <v>0</v>
      </c>
      <c r="J85" s="51">
        <v>300</v>
      </c>
      <c r="K85" s="51">
        <v>200</v>
      </c>
      <c r="L85" s="51">
        <v>100</v>
      </c>
      <c r="M85" s="48">
        <v>250</v>
      </c>
      <c r="N85" s="48">
        <v>1430</v>
      </c>
      <c r="O85" s="55">
        <v>185</v>
      </c>
      <c r="P85" s="53">
        <v>800</v>
      </c>
      <c r="Q85" s="51">
        <v>330</v>
      </c>
      <c r="R85" s="51">
        <v>0</v>
      </c>
      <c r="S85" s="6"/>
      <c r="T85" s="51">
        <v>62</v>
      </c>
      <c r="U85" s="51">
        <v>300</v>
      </c>
      <c r="V85" s="51">
        <v>0</v>
      </c>
    </row>
    <row r="86" ht="63" customHeight="1">
      <c r="A86" t="s" s="68">
        <v>102</v>
      </c>
      <c r="B86" s="42">
        <f>SUM(C86,G86)</f>
        <v>17000</v>
      </c>
      <c r="C86" s="43">
        <f>SUM(H86,I86,J86,K86,L86,M86,N86,O86,P86,Q86,R86,S86,T86,U86,V86)</f>
        <v>17000</v>
      </c>
      <c r="D86" s="44"/>
      <c r="E86" s="6"/>
      <c r="F86" s="6"/>
      <c r="G86" s="6"/>
      <c r="H86" s="46"/>
      <c r="I86" s="51">
        <v>10000</v>
      </c>
      <c r="J86" s="51">
        <v>7000</v>
      </c>
      <c r="K86" s="47"/>
      <c r="L86" s="47"/>
      <c r="M86" s="48">
        <v>0</v>
      </c>
      <c r="N86" s="49"/>
      <c r="O86" s="55">
        <v>0</v>
      </c>
      <c r="P86" s="53">
        <v>0</v>
      </c>
      <c r="Q86" s="51">
        <v>0</v>
      </c>
      <c r="R86" s="47"/>
      <c r="S86" s="6"/>
      <c r="T86" s="51">
        <v>0</v>
      </c>
      <c r="U86" s="51">
        <v>0</v>
      </c>
      <c r="V86" s="51">
        <v>0</v>
      </c>
    </row>
    <row r="87" ht="19.5" customHeight="1">
      <c r="A87" t="s" s="67">
        <v>103</v>
      </c>
      <c r="B87" s="42">
        <f>SUM(C87,G87)</f>
        <v>0</v>
      </c>
      <c r="C87" s="43">
        <f>SUM(H87,I87,J87,K87,L87,M87,N87,O87,P87,Q87,R87,S87,T87,U87,V87)</f>
        <v>0</v>
      </c>
      <c r="D87" s="44"/>
      <c r="E87" s="17"/>
      <c r="F87" s="17"/>
      <c r="G87" s="17"/>
      <c r="H87" s="46"/>
      <c r="I87" s="47"/>
      <c r="J87" s="47"/>
      <c r="K87" s="47"/>
      <c r="L87" s="47"/>
      <c r="M87" s="48">
        <v>0</v>
      </c>
      <c r="N87" s="49"/>
      <c r="O87" s="50"/>
      <c r="P87" s="17"/>
      <c r="Q87" s="51">
        <v>0</v>
      </c>
      <c r="R87" s="47"/>
      <c r="S87" s="17"/>
      <c r="T87" s="47"/>
      <c r="U87" s="47"/>
      <c r="V87" s="51">
        <v>0</v>
      </c>
    </row>
    <row r="88" ht="31.5" customHeight="1">
      <c r="A88" t="s" s="21">
        <v>104</v>
      </c>
      <c r="B88" s="22">
        <f>SUM(C88,G88)</f>
        <v>167250</v>
      </c>
      <c r="C88" s="23">
        <f>SUM(H88,I88,J88,K88,L88,M88,N88,O88,P88,Q88,R88,S88,T88,U88,V88)</f>
        <v>165250</v>
      </c>
      <c r="D88" s="36"/>
      <c r="E88" s="25"/>
      <c r="F88" s="25"/>
      <c r="G88" s="37">
        <v>2000</v>
      </c>
      <c r="H88" s="27">
        <v>8000</v>
      </c>
      <c r="I88" s="28">
        <v>4000</v>
      </c>
      <c r="J88" s="28">
        <v>4000</v>
      </c>
      <c r="K88" s="28">
        <v>3600</v>
      </c>
      <c r="L88" s="28">
        <v>1600</v>
      </c>
      <c r="M88" s="30">
        <v>35400</v>
      </c>
      <c r="N88" s="30">
        <v>18850</v>
      </c>
      <c r="O88" s="30">
        <v>34950</v>
      </c>
      <c r="P88" s="41">
        <v>17000</v>
      </c>
      <c r="Q88" s="28">
        <v>36900</v>
      </c>
      <c r="R88" s="28">
        <v>0</v>
      </c>
      <c r="S88" s="33"/>
      <c r="T88" s="28">
        <v>400</v>
      </c>
      <c r="U88" s="28">
        <v>550</v>
      </c>
      <c r="V88" s="28">
        <v>0</v>
      </c>
    </row>
    <row r="89" ht="31.5" customHeight="1">
      <c r="A89" t="s" s="21">
        <v>105</v>
      </c>
      <c r="B89" s="22">
        <f>SUM(C89,G89)</f>
        <v>618150</v>
      </c>
      <c r="C89" s="23">
        <f>SUM(H89,I89,J89,K89,L89,M89,N89,O89,P89,Q89,R89,S89,T89,U89,V89)</f>
        <v>618150</v>
      </c>
      <c r="D89" s="36"/>
      <c r="E89" s="25"/>
      <c r="F89" s="25"/>
      <c r="G89" s="26"/>
      <c r="H89" s="27">
        <v>35000</v>
      </c>
      <c r="I89" s="28">
        <v>300</v>
      </c>
      <c r="J89" s="28">
        <v>3500</v>
      </c>
      <c r="K89" s="28">
        <v>24000</v>
      </c>
      <c r="L89" s="28">
        <v>25000</v>
      </c>
      <c r="M89" s="30">
        <v>222500</v>
      </c>
      <c r="N89" s="30">
        <v>106350</v>
      </c>
      <c r="O89" s="30">
        <v>117800</v>
      </c>
      <c r="P89" s="41">
        <v>25000</v>
      </c>
      <c r="Q89" s="28">
        <v>45900</v>
      </c>
      <c r="R89" s="28">
        <v>0</v>
      </c>
      <c r="S89" s="33"/>
      <c r="T89" s="28">
        <v>6000</v>
      </c>
      <c r="U89" s="28">
        <v>6800</v>
      </c>
      <c r="V89" s="28">
        <v>0</v>
      </c>
    </row>
    <row r="90" ht="47.25" customHeight="1">
      <c r="A90" t="s" s="10">
        <v>106</v>
      </c>
      <c r="B90" s="34">
        <f>SUM(C90,G90)</f>
        <v>52096</v>
      </c>
      <c r="C90" s="35">
        <f>SUM(H90,I90,J90,K90,L90,M90,N90,O90,P90,Q90,R90,S90,T90,U90,V90)</f>
        <v>52096</v>
      </c>
      <c r="D90" s="36"/>
      <c r="E90" s="25"/>
      <c r="F90" s="25"/>
      <c r="G90" s="26"/>
      <c r="H90" s="27">
        <v>20000</v>
      </c>
      <c r="I90" s="38">
        <v>4500</v>
      </c>
      <c r="J90" s="38">
        <v>7000</v>
      </c>
      <c r="K90" s="38">
        <v>10000</v>
      </c>
      <c r="L90" s="38">
        <v>3000</v>
      </c>
      <c r="M90" s="40">
        <v>300</v>
      </c>
      <c r="N90" s="40">
        <v>1795</v>
      </c>
      <c r="O90" s="40">
        <v>1835</v>
      </c>
      <c r="P90" s="41">
        <v>1650</v>
      </c>
      <c r="Q90" s="38">
        <v>1986</v>
      </c>
      <c r="R90" s="38">
        <v>10</v>
      </c>
      <c r="S90" s="33"/>
      <c r="T90" s="38">
        <v>15</v>
      </c>
      <c r="U90" s="38">
        <v>0</v>
      </c>
      <c r="V90" s="38">
        <v>5</v>
      </c>
    </row>
    <row r="91" ht="19.5" customHeight="1">
      <c r="A91" t="s" s="67">
        <v>107</v>
      </c>
      <c r="B91" s="42">
        <f>SUM(C91,G91)</f>
        <v>0</v>
      </c>
      <c r="C91" s="43">
        <f>SUM(H91,I91,J91,K91,L91,M91,N91,O91,P91,Q91,R91,S91,T91,U91,V91)</f>
        <v>0</v>
      </c>
      <c r="D91" s="44"/>
      <c r="E91" s="45"/>
      <c r="F91" s="45"/>
      <c r="G91" s="45"/>
      <c r="H91" s="46"/>
      <c r="I91" s="47"/>
      <c r="J91" s="47"/>
      <c r="K91" s="47"/>
      <c r="L91" s="47"/>
      <c r="M91" s="48">
        <v>0</v>
      </c>
      <c r="N91" s="49"/>
      <c r="O91" s="50"/>
      <c r="P91" s="45"/>
      <c r="Q91" s="51">
        <v>0</v>
      </c>
      <c r="R91" s="47"/>
      <c r="S91" s="45"/>
      <c r="T91" s="47"/>
      <c r="U91" s="47"/>
      <c r="V91" s="51">
        <v>0</v>
      </c>
    </row>
    <row r="92" ht="63" customHeight="1">
      <c r="A92" t="s" s="68">
        <v>108</v>
      </c>
      <c r="B92" s="42">
        <f>SUM(C92,G92)</f>
        <v>150</v>
      </c>
      <c r="C92" s="43">
        <f>SUM(H92,I92,J92,K92,L92,M92,N92,O92,P92,Q92,R92,S92,T92,U92,V92)</f>
        <v>150</v>
      </c>
      <c r="D92" s="44"/>
      <c r="E92" s="6"/>
      <c r="F92" s="6"/>
      <c r="G92" s="6"/>
      <c r="H92" s="46"/>
      <c r="I92" s="51">
        <v>100</v>
      </c>
      <c r="J92" s="51">
        <v>0</v>
      </c>
      <c r="K92" s="51">
        <v>50</v>
      </c>
      <c r="L92" s="51">
        <v>0</v>
      </c>
      <c r="M92" s="48">
        <v>0</v>
      </c>
      <c r="N92" s="49"/>
      <c r="O92" s="55">
        <v>0</v>
      </c>
      <c r="P92" s="53">
        <v>0</v>
      </c>
      <c r="Q92" s="51">
        <v>0</v>
      </c>
      <c r="R92" s="47"/>
      <c r="S92" s="6"/>
      <c r="T92" s="51">
        <v>0</v>
      </c>
      <c r="U92" s="51">
        <v>0</v>
      </c>
      <c r="V92" s="51">
        <v>0</v>
      </c>
    </row>
    <row r="93" ht="39" customHeight="1">
      <c r="A93" t="s" s="52">
        <v>109</v>
      </c>
      <c r="B93" s="42">
        <f>SUM(C93,G93)</f>
        <v>10</v>
      </c>
      <c r="C93" s="43">
        <f>SUM(H93,I93,J93,K93,L93,M93,N93,O93,P93,Q93,R93,S93,T93,U93,V93)</f>
        <v>10</v>
      </c>
      <c r="D93" s="44"/>
      <c r="E93" s="6"/>
      <c r="F93" s="6"/>
      <c r="G93" s="6"/>
      <c r="H93" s="27">
        <v>0</v>
      </c>
      <c r="I93" s="51">
        <v>10</v>
      </c>
      <c r="J93" s="51">
        <v>0</v>
      </c>
      <c r="K93" s="51">
        <v>0</v>
      </c>
      <c r="L93" s="51">
        <v>0</v>
      </c>
      <c r="M93" s="48">
        <v>0</v>
      </c>
      <c r="N93" s="48">
        <v>0</v>
      </c>
      <c r="O93" s="55">
        <v>0</v>
      </c>
      <c r="P93" s="53">
        <v>0</v>
      </c>
      <c r="Q93" s="51">
        <v>0</v>
      </c>
      <c r="R93" s="51">
        <v>0</v>
      </c>
      <c r="S93" s="6"/>
      <c r="T93" s="51">
        <v>0</v>
      </c>
      <c r="U93" s="51">
        <v>0</v>
      </c>
      <c r="V93" s="51">
        <v>0</v>
      </c>
    </row>
    <row r="94" ht="19.5" customHeight="1">
      <c r="A94" t="s" s="67">
        <v>110</v>
      </c>
      <c r="B94" s="42">
        <f>SUM(C94,G94)</f>
        <v>0</v>
      </c>
      <c r="C94" s="43">
        <f>SUM(H94,I94,J94,K94,L94,M94,N94,O94,P94,Q94,R94,S94,T94,U94,V94)</f>
        <v>0</v>
      </c>
      <c r="D94" s="44"/>
      <c r="E94" s="17"/>
      <c r="F94" s="17"/>
      <c r="G94" s="17"/>
      <c r="H94" s="46"/>
      <c r="I94" s="47"/>
      <c r="J94" s="47"/>
      <c r="K94" s="47"/>
      <c r="L94" s="47"/>
      <c r="M94" s="48">
        <v>0</v>
      </c>
      <c r="N94" s="49"/>
      <c r="O94" s="50"/>
      <c r="P94" s="17"/>
      <c r="Q94" s="51">
        <v>0</v>
      </c>
      <c r="R94" s="47"/>
      <c r="S94" s="17"/>
      <c r="T94" s="47"/>
      <c r="U94" s="47"/>
      <c r="V94" s="51">
        <v>0</v>
      </c>
    </row>
    <row r="95" ht="58.5" customHeight="1">
      <c r="A95" t="s" s="21">
        <v>111</v>
      </c>
      <c r="B95" s="22">
        <f>SUM(C95,G95)</f>
        <v>118440</v>
      </c>
      <c r="C95" s="23">
        <f>SUM(H95,I95,J95,K95,L95,M95,N95,O95,P95,Q95,R95,S95,T95,U95,V95)</f>
        <v>118440</v>
      </c>
      <c r="D95" s="36"/>
      <c r="E95" s="25"/>
      <c r="F95" s="25"/>
      <c r="G95" s="26"/>
      <c r="H95" s="27">
        <v>8000</v>
      </c>
      <c r="I95" s="28">
        <v>3000</v>
      </c>
      <c r="J95" s="28">
        <v>8000</v>
      </c>
      <c r="K95" s="28">
        <v>8000</v>
      </c>
      <c r="L95" s="28">
        <v>5500</v>
      </c>
      <c r="M95" s="30">
        <v>6000</v>
      </c>
      <c r="N95" s="30">
        <v>17890</v>
      </c>
      <c r="O95" s="30">
        <v>25920</v>
      </c>
      <c r="P95" s="41">
        <v>17000</v>
      </c>
      <c r="Q95" s="28">
        <v>16900</v>
      </c>
      <c r="R95" s="28">
        <v>80</v>
      </c>
      <c r="S95" s="33"/>
      <c r="T95" s="28">
        <v>150</v>
      </c>
      <c r="U95" s="28">
        <v>2000</v>
      </c>
      <c r="V95" s="28">
        <v>0</v>
      </c>
    </row>
    <row r="96" ht="47.25" customHeight="1">
      <c r="A96" t="s" s="67">
        <v>112</v>
      </c>
      <c r="B96" s="42">
        <f>SUM(C96,G96)</f>
        <v>0</v>
      </c>
      <c r="C96" s="43">
        <f>SUM(H96,I96,J96,K96,L96,M96,N96,O96,P96,Q96,R96,S96,T96,U96,V96)</f>
        <v>0</v>
      </c>
      <c r="D96" s="44"/>
      <c r="E96" s="33"/>
      <c r="F96" s="33"/>
      <c r="G96" s="33"/>
      <c r="H96" s="46"/>
      <c r="I96" s="47"/>
      <c r="J96" s="47"/>
      <c r="K96" s="47"/>
      <c r="L96" s="47"/>
      <c r="M96" s="48">
        <v>0</v>
      </c>
      <c r="N96" s="49"/>
      <c r="O96" s="50"/>
      <c r="P96" s="33"/>
      <c r="Q96" s="51">
        <v>0</v>
      </c>
      <c r="R96" s="47"/>
      <c r="S96" s="33"/>
      <c r="T96" s="47"/>
      <c r="U96" s="47"/>
      <c r="V96" s="51">
        <v>0</v>
      </c>
    </row>
    <row r="97" ht="156" customHeight="1">
      <c r="A97" t="s" s="21">
        <v>113</v>
      </c>
      <c r="B97" s="22">
        <f>SUM(C97,G97)</f>
        <v>141130</v>
      </c>
      <c r="C97" s="23">
        <f>SUM(H97,I97,J97,K97,L97,M97,N97,O97,P97,Q97,R97,S97,T97,U97,V97)</f>
        <v>141130</v>
      </c>
      <c r="D97" s="36"/>
      <c r="E97" s="25"/>
      <c r="F97" s="25"/>
      <c r="G97" s="26"/>
      <c r="H97" s="27">
        <v>1000</v>
      </c>
      <c r="I97" s="28">
        <v>6000</v>
      </c>
      <c r="J97" s="28">
        <v>8000</v>
      </c>
      <c r="K97" s="28">
        <v>4000</v>
      </c>
      <c r="L97" s="28">
        <v>2000</v>
      </c>
      <c r="M97" s="30">
        <v>34200</v>
      </c>
      <c r="N97" s="30">
        <v>18050</v>
      </c>
      <c r="O97" s="30">
        <v>26200</v>
      </c>
      <c r="P97" s="41">
        <v>17000</v>
      </c>
      <c r="Q97" s="28">
        <v>24600</v>
      </c>
      <c r="R97" s="28">
        <v>80</v>
      </c>
      <c r="S97" s="33"/>
      <c r="T97" s="28">
        <v>0</v>
      </c>
      <c r="U97" s="28">
        <v>0</v>
      </c>
      <c r="V97" s="28">
        <v>0</v>
      </c>
    </row>
    <row r="98" ht="19.5" customHeight="1">
      <c r="A98" t="s" s="67">
        <v>114</v>
      </c>
      <c r="B98" s="42">
        <f>SUM(C98,G98)</f>
        <v>0</v>
      </c>
      <c r="C98" s="43">
        <f>SUM(H98,I98,J98,K98,L98,M98,N98,O98,P98,Q98,R98,S98,T98,U98,V98)</f>
        <v>0</v>
      </c>
      <c r="D98" s="44"/>
      <c r="E98" s="45"/>
      <c r="F98" s="45"/>
      <c r="G98" s="45"/>
      <c r="H98" s="46"/>
      <c r="I98" s="47"/>
      <c r="J98" s="47"/>
      <c r="K98" s="47"/>
      <c r="L98" s="47"/>
      <c r="M98" s="48">
        <v>0</v>
      </c>
      <c r="N98" s="49"/>
      <c r="O98" s="50"/>
      <c r="P98" s="45"/>
      <c r="Q98" s="51">
        <v>0</v>
      </c>
      <c r="R98" s="47"/>
      <c r="S98" s="45"/>
      <c r="T98" s="47"/>
      <c r="U98" s="47"/>
      <c r="V98" s="51">
        <v>0</v>
      </c>
    </row>
    <row r="99" ht="390" customHeight="1">
      <c r="A99" t="s" s="69">
        <v>115</v>
      </c>
      <c r="B99" s="42">
        <f>SUM(C99,G99)</f>
        <v>0</v>
      </c>
      <c r="C99" s="43">
        <f>SUM(H99,I99,J99,K99,L99,M99,N99,O99,P99,Q99,R99,S99,T99,U99,V99)</f>
        <v>0</v>
      </c>
      <c r="D99" s="44"/>
      <c r="E99" s="6"/>
      <c r="F99" s="6"/>
      <c r="G99" s="6"/>
      <c r="H99" s="27">
        <v>0</v>
      </c>
      <c r="I99" s="51">
        <v>0</v>
      </c>
      <c r="J99" s="51">
        <v>0</v>
      </c>
      <c r="K99" s="51">
        <v>0</v>
      </c>
      <c r="L99" s="51">
        <v>0</v>
      </c>
      <c r="M99" s="48">
        <v>0</v>
      </c>
      <c r="N99" s="48">
        <v>0</v>
      </c>
      <c r="O99" s="55">
        <v>0</v>
      </c>
      <c r="P99" s="53">
        <v>0</v>
      </c>
      <c r="Q99" s="51">
        <v>0</v>
      </c>
      <c r="R99" s="51">
        <v>0</v>
      </c>
      <c r="S99" s="6"/>
      <c r="T99" s="51">
        <v>0</v>
      </c>
      <c r="U99" s="51">
        <v>0</v>
      </c>
      <c r="V99" s="51">
        <v>0</v>
      </c>
    </row>
    <row r="100" ht="126" customHeight="1">
      <c r="A100" t="s" s="70">
        <v>116</v>
      </c>
      <c r="B100" s="42">
        <f>SUM(C100,G100)</f>
        <v>0</v>
      </c>
      <c r="C100" s="43">
        <f>SUM(H100,I100,J100,K100,L100,M100,N100,O100,P100,Q100,R100,S100,T100,U100,V100)</f>
        <v>0</v>
      </c>
      <c r="D100" s="44"/>
      <c r="E100" s="6"/>
      <c r="F100" s="6"/>
      <c r="G100" s="6"/>
      <c r="H100" s="27">
        <v>0</v>
      </c>
      <c r="I100" s="51">
        <v>0</v>
      </c>
      <c r="J100" s="51">
        <v>0</v>
      </c>
      <c r="K100" s="51">
        <v>0</v>
      </c>
      <c r="L100" s="51">
        <v>0</v>
      </c>
      <c r="M100" s="48">
        <v>0</v>
      </c>
      <c r="N100" s="48">
        <v>0</v>
      </c>
      <c r="O100" s="55">
        <v>0</v>
      </c>
      <c r="P100" s="53">
        <v>0</v>
      </c>
      <c r="Q100" s="51">
        <v>0</v>
      </c>
      <c r="R100" s="51">
        <v>0</v>
      </c>
      <c r="S100" s="6"/>
      <c r="T100" s="51">
        <v>0</v>
      </c>
      <c r="U100" s="51">
        <v>0</v>
      </c>
      <c r="V100" s="51">
        <v>0</v>
      </c>
    </row>
    <row r="101" ht="31.5" customHeight="1">
      <c r="A101" t="s" s="67">
        <v>117</v>
      </c>
      <c r="B101" s="42">
        <f>SUM(C101,G101)</f>
        <v>0</v>
      </c>
      <c r="C101" s="43">
        <f>SUM(H101,I101,J101,K101,L101,M101,N101,O101,P101,Q101,R101,S101,T101,U101,V101)</f>
        <v>0</v>
      </c>
      <c r="D101" s="44"/>
      <c r="E101" s="6"/>
      <c r="F101" s="6"/>
      <c r="G101" s="6"/>
      <c r="H101" s="46"/>
      <c r="I101" s="47"/>
      <c r="J101" s="47"/>
      <c r="K101" s="47"/>
      <c r="L101" s="47"/>
      <c r="M101" s="48">
        <v>0</v>
      </c>
      <c r="N101" s="49"/>
      <c r="O101" s="50"/>
      <c r="P101" s="6"/>
      <c r="Q101" s="51">
        <v>0</v>
      </c>
      <c r="R101" s="47"/>
      <c r="S101" s="6"/>
      <c r="T101" s="47"/>
      <c r="U101" s="47"/>
      <c r="V101" s="51">
        <v>0</v>
      </c>
    </row>
    <row r="102" ht="39" customHeight="1">
      <c r="A102" t="s" s="71">
        <v>118</v>
      </c>
      <c r="B102" s="42">
        <f>SUM(C102,G102)</f>
        <v>24000</v>
      </c>
      <c r="C102" s="43">
        <f>SUM(H102,I102,J102,K102,L102,M102,N102,O102,P102,Q102,R102,S102,T102,U102,V102)</f>
        <v>24000</v>
      </c>
      <c r="D102" s="44"/>
      <c r="E102" s="17"/>
      <c r="F102" s="17"/>
      <c r="G102" s="17"/>
      <c r="H102" s="27">
        <v>0</v>
      </c>
      <c r="I102" s="51">
        <v>10000</v>
      </c>
      <c r="J102" s="51">
        <v>1000</v>
      </c>
      <c r="K102" s="51">
        <v>10000</v>
      </c>
      <c r="L102" s="51">
        <v>2000</v>
      </c>
      <c r="M102" s="48">
        <v>0</v>
      </c>
      <c r="N102" s="48">
        <v>0</v>
      </c>
      <c r="O102" s="55">
        <v>0</v>
      </c>
      <c r="P102" s="56">
        <v>0</v>
      </c>
      <c r="Q102" s="51">
        <v>0</v>
      </c>
      <c r="R102" s="51">
        <v>0</v>
      </c>
      <c r="S102" s="17"/>
      <c r="T102" s="51">
        <v>1000</v>
      </c>
      <c r="U102" s="51">
        <v>0</v>
      </c>
      <c r="V102" s="51">
        <v>0</v>
      </c>
    </row>
    <row r="103" ht="39" customHeight="1">
      <c r="A103" t="s" s="72">
        <v>119</v>
      </c>
      <c r="B103" s="22">
        <f>SUM(C103,G103)</f>
        <v>94000</v>
      </c>
      <c r="C103" s="23">
        <f>SUM(H103,I103,J103,K103,L103,M103,N103,O103,P103,Q103,R103,S103,T103,U103,V103)</f>
        <v>94000</v>
      </c>
      <c r="D103" s="36"/>
      <c r="E103" s="25"/>
      <c r="F103" s="25"/>
      <c r="G103" s="26"/>
      <c r="H103" s="27">
        <v>50000</v>
      </c>
      <c r="I103" s="28">
        <v>0</v>
      </c>
      <c r="J103" s="28">
        <v>6000</v>
      </c>
      <c r="K103" s="28">
        <v>20000</v>
      </c>
      <c r="L103" s="28">
        <v>2000</v>
      </c>
      <c r="M103" s="30">
        <v>0</v>
      </c>
      <c r="N103" s="30">
        <v>0</v>
      </c>
      <c r="O103" s="30">
        <v>0</v>
      </c>
      <c r="P103" s="41">
        <v>0</v>
      </c>
      <c r="Q103" s="28">
        <v>0</v>
      </c>
      <c r="R103" s="28">
        <v>0</v>
      </c>
      <c r="S103" s="33"/>
      <c r="T103" s="28">
        <v>1000</v>
      </c>
      <c r="U103" s="28">
        <v>15000</v>
      </c>
      <c r="V103" s="28">
        <v>0</v>
      </c>
    </row>
    <row r="104" ht="19.5" customHeight="1">
      <c r="A104" t="s" s="10">
        <v>120</v>
      </c>
      <c r="B104" s="42">
        <f>SUM(C104,G104)</f>
        <v>0</v>
      </c>
      <c r="C104" s="43">
        <f>SUM(H104,I104,J104,K104,L104,M104,N104,O104,P104,Q104,R104,S104,T104,U104,V104)</f>
        <v>0</v>
      </c>
      <c r="D104" s="44"/>
      <c r="E104" s="45"/>
      <c r="F104" s="45"/>
      <c r="G104" s="45"/>
      <c r="H104" s="46"/>
      <c r="I104" s="47"/>
      <c r="J104" s="47"/>
      <c r="K104" s="47"/>
      <c r="L104" s="47"/>
      <c r="M104" s="48">
        <v>0</v>
      </c>
      <c r="N104" s="49"/>
      <c r="O104" s="50"/>
      <c r="P104" s="45"/>
      <c r="Q104" s="51">
        <v>0</v>
      </c>
      <c r="R104" s="47"/>
      <c r="S104" s="45"/>
      <c r="T104" s="47"/>
      <c r="U104" s="47"/>
      <c r="V104" s="51">
        <v>0</v>
      </c>
    </row>
    <row r="105" ht="31.5" customHeight="1">
      <c r="A105" t="s" s="67">
        <v>121</v>
      </c>
      <c r="B105" s="42">
        <f>SUM(C105,G105)</f>
        <v>0</v>
      </c>
      <c r="C105" s="43">
        <f>SUM(H105,I105,J105,K105,L105,M105,N105,O105,P105,Q105,R105,S105,T105,U105,V105)</f>
        <v>0</v>
      </c>
      <c r="D105" s="44"/>
      <c r="E105" s="6"/>
      <c r="F105" s="6"/>
      <c r="G105" s="6"/>
      <c r="H105" s="46"/>
      <c r="I105" s="47"/>
      <c r="J105" s="47"/>
      <c r="K105" s="47"/>
      <c r="L105" s="47"/>
      <c r="M105" s="48">
        <v>0</v>
      </c>
      <c r="N105" s="49"/>
      <c r="O105" s="50"/>
      <c r="P105" s="6"/>
      <c r="Q105" s="51">
        <v>0</v>
      </c>
      <c r="R105" s="47"/>
      <c r="S105" s="64"/>
      <c r="T105" s="47"/>
      <c r="U105" s="47"/>
      <c r="V105" s="51">
        <v>0</v>
      </c>
    </row>
    <row r="106" ht="19.5" customHeight="1">
      <c r="A106" t="s" s="52">
        <v>122</v>
      </c>
      <c r="B106" s="42">
        <f>SUM(C106,G106)</f>
        <v>26200</v>
      </c>
      <c r="C106" s="43">
        <f>SUM(H106,I106,J106,K106,L106,M106,N106,O106,P106,Q106,R106,S106,T106,U106,V106)</f>
        <v>26200</v>
      </c>
      <c r="D106" s="44"/>
      <c r="E106" s="6"/>
      <c r="F106" s="6"/>
      <c r="G106" s="6"/>
      <c r="H106" s="27">
        <v>5000</v>
      </c>
      <c r="I106" s="51">
        <v>0</v>
      </c>
      <c r="J106" s="51">
        <v>2000</v>
      </c>
      <c r="K106" s="51">
        <v>200</v>
      </c>
      <c r="L106" s="51">
        <v>0</v>
      </c>
      <c r="M106" s="48">
        <v>13400</v>
      </c>
      <c r="N106" s="48">
        <v>1600</v>
      </c>
      <c r="O106" s="55">
        <v>500</v>
      </c>
      <c r="P106" s="53">
        <v>2000</v>
      </c>
      <c r="Q106" s="51">
        <v>0</v>
      </c>
      <c r="R106" s="51">
        <v>0</v>
      </c>
      <c r="S106" s="27">
        <v>1500</v>
      </c>
      <c r="T106" s="51">
        <v>0</v>
      </c>
      <c r="U106" s="51">
        <v>0</v>
      </c>
      <c r="V106" s="51">
        <v>0</v>
      </c>
    </row>
    <row r="107" ht="39" customHeight="1">
      <c r="A107" t="s" s="52">
        <v>123</v>
      </c>
      <c r="B107" s="42">
        <f>SUM(C107,G107)</f>
        <v>17265</v>
      </c>
      <c r="C107" s="43">
        <f>SUM(H107,I107,J107,K107,L107,M107,N107,O107,P107,Q107,R107,S107,T107,U107,V107)</f>
        <v>17165</v>
      </c>
      <c r="D107" s="44"/>
      <c r="E107" s="6"/>
      <c r="F107" s="6"/>
      <c r="G107" s="53">
        <v>100</v>
      </c>
      <c r="H107" s="27">
        <v>4025</v>
      </c>
      <c r="I107" s="51">
        <v>7000</v>
      </c>
      <c r="J107" s="51">
        <v>3000</v>
      </c>
      <c r="K107" s="51">
        <v>2000</v>
      </c>
      <c r="L107" s="51">
        <v>500</v>
      </c>
      <c r="M107" s="48">
        <v>290</v>
      </c>
      <c r="N107" s="48">
        <v>100</v>
      </c>
      <c r="O107" s="55">
        <v>140</v>
      </c>
      <c r="P107" s="53">
        <v>100</v>
      </c>
      <c r="Q107" s="51">
        <v>0</v>
      </c>
      <c r="R107" s="51">
        <v>0</v>
      </c>
      <c r="S107" s="63"/>
      <c r="T107" s="51">
        <v>0</v>
      </c>
      <c r="U107" s="51">
        <v>0</v>
      </c>
      <c r="V107" s="51">
        <v>10</v>
      </c>
    </row>
    <row r="108" ht="19.5" customHeight="1">
      <c r="A108" t="s" s="52">
        <v>124</v>
      </c>
      <c r="B108" s="42">
        <f>SUM(C108,G108)</f>
        <v>64150</v>
      </c>
      <c r="C108" s="43">
        <f>SUM(H108,I108,J108,K108,L108,M108,N108,O108,P108,Q108,R108,S108,T108,U108,V108)</f>
        <v>64150</v>
      </c>
      <c r="D108" s="44"/>
      <c r="E108" s="6"/>
      <c r="F108" s="6"/>
      <c r="G108" s="6"/>
      <c r="H108" s="27">
        <v>18000</v>
      </c>
      <c r="I108" s="51">
        <v>0</v>
      </c>
      <c r="J108" s="51">
        <v>2000</v>
      </c>
      <c r="K108" s="51">
        <v>20000</v>
      </c>
      <c r="L108" s="51">
        <v>3200</v>
      </c>
      <c r="M108" s="48">
        <v>12500</v>
      </c>
      <c r="N108" s="48">
        <v>1300</v>
      </c>
      <c r="O108" s="55">
        <v>3950</v>
      </c>
      <c r="P108" s="53">
        <v>2000</v>
      </c>
      <c r="Q108" s="51">
        <v>0</v>
      </c>
      <c r="R108" s="51">
        <v>0</v>
      </c>
      <c r="S108" s="73">
        <v>1000</v>
      </c>
      <c r="T108" s="51">
        <v>0</v>
      </c>
      <c r="U108" s="51">
        <v>0</v>
      </c>
      <c r="V108" s="51">
        <v>200</v>
      </c>
    </row>
    <row r="109" ht="31.5" customHeight="1">
      <c r="A109" t="s" s="52">
        <v>125</v>
      </c>
      <c r="B109" s="42">
        <f>SUM(C109,G109)</f>
        <v>1100</v>
      </c>
      <c r="C109" s="43">
        <f>SUM(H109,I109,J109,K109,L109,M109,N109,O109,P109,Q109,R109,S109,T109,U109,V109)</f>
        <v>1100</v>
      </c>
      <c r="D109" s="44"/>
      <c r="E109" s="6"/>
      <c r="F109" s="6"/>
      <c r="G109" s="6"/>
      <c r="H109" s="27">
        <v>1000</v>
      </c>
      <c r="I109" s="51">
        <v>0</v>
      </c>
      <c r="J109" s="51">
        <v>0</v>
      </c>
      <c r="K109" s="51">
        <v>100</v>
      </c>
      <c r="L109" s="51">
        <v>0</v>
      </c>
      <c r="M109" s="48">
        <v>0</v>
      </c>
      <c r="N109" s="48">
        <v>0</v>
      </c>
      <c r="O109" s="55">
        <v>0</v>
      </c>
      <c r="P109" s="53">
        <v>0</v>
      </c>
      <c r="Q109" s="51">
        <v>0</v>
      </c>
      <c r="R109" s="51">
        <v>0</v>
      </c>
      <c r="S109" s="6"/>
      <c r="T109" s="51">
        <v>0</v>
      </c>
      <c r="U109" s="51">
        <v>0</v>
      </c>
      <c r="V109" s="51">
        <v>0</v>
      </c>
    </row>
    <row r="110" ht="58.5" customHeight="1">
      <c r="A110" t="s" s="52">
        <v>126</v>
      </c>
      <c r="B110" s="42">
        <f>SUM(C110,G110)</f>
        <v>0</v>
      </c>
      <c r="C110" s="43">
        <f>SUM(H110,I110,J110,K110,L110,M110,N110,O110,P110,Q110,R110,S110,T110,U110,V110)</f>
        <v>0</v>
      </c>
      <c r="D110" s="44"/>
      <c r="E110" s="6"/>
      <c r="F110" s="6"/>
      <c r="G110" s="6"/>
      <c r="H110" s="27">
        <v>0</v>
      </c>
      <c r="I110" s="51">
        <v>0</v>
      </c>
      <c r="J110" s="51">
        <v>0</v>
      </c>
      <c r="K110" s="51">
        <v>0</v>
      </c>
      <c r="L110" s="51">
        <v>0</v>
      </c>
      <c r="M110" s="48">
        <v>0</v>
      </c>
      <c r="N110" s="48">
        <v>0</v>
      </c>
      <c r="O110" s="55">
        <v>0</v>
      </c>
      <c r="P110" s="53">
        <v>0</v>
      </c>
      <c r="Q110" s="51">
        <v>0</v>
      </c>
      <c r="R110" s="51">
        <v>0</v>
      </c>
      <c r="S110" s="6"/>
      <c r="T110" s="51">
        <v>0</v>
      </c>
      <c r="U110" s="51">
        <v>0</v>
      </c>
      <c r="V110" s="51">
        <v>0</v>
      </c>
    </row>
    <row r="111" ht="19.5" customHeight="1">
      <c r="A111" t="s" s="67">
        <v>127</v>
      </c>
      <c r="B111" s="42">
        <f>SUM(C111,G111)</f>
        <v>0</v>
      </c>
      <c r="C111" s="43">
        <f>SUM(H111,I111,J111,K111,L111,M111,N111,O111,P111,Q111,R111,S111,T111,U111,V111)</f>
        <v>0</v>
      </c>
      <c r="D111" s="44"/>
      <c r="E111" s="17"/>
      <c r="F111" s="17"/>
      <c r="G111" s="17"/>
      <c r="H111" s="46"/>
      <c r="I111" s="47"/>
      <c r="J111" s="47"/>
      <c r="K111" s="47"/>
      <c r="L111" s="47"/>
      <c r="M111" s="48">
        <v>0</v>
      </c>
      <c r="N111" s="49"/>
      <c r="O111" s="50"/>
      <c r="P111" s="17"/>
      <c r="Q111" s="51">
        <v>0</v>
      </c>
      <c r="R111" s="47"/>
      <c r="S111" s="17"/>
      <c r="T111" s="47"/>
      <c r="U111" s="47"/>
      <c r="V111" s="51">
        <v>0</v>
      </c>
    </row>
    <row r="112" ht="31.5" customHeight="1">
      <c r="A112" t="s" s="21">
        <v>128</v>
      </c>
      <c r="B112" s="22">
        <f>SUM(C112,G112)</f>
        <v>750</v>
      </c>
      <c r="C112" s="23">
        <f>SUM(H112,I112,J112,K112,L112,M112,N112,O112,P112,Q112,R112,S112,T112,U112,V112)</f>
        <v>750</v>
      </c>
      <c r="D112" s="36"/>
      <c r="E112" s="25"/>
      <c r="F112" s="25"/>
      <c r="G112" s="26"/>
      <c r="H112" s="27">
        <v>500</v>
      </c>
      <c r="I112" s="28">
        <v>0</v>
      </c>
      <c r="J112" s="28">
        <v>100</v>
      </c>
      <c r="K112" s="28">
        <v>100</v>
      </c>
      <c r="L112" s="28">
        <v>50</v>
      </c>
      <c r="M112" s="30">
        <v>0</v>
      </c>
      <c r="N112" s="30">
        <v>0</v>
      </c>
      <c r="O112" s="30">
        <v>0</v>
      </c>
      <c r="P112" s="41">
        <v>0</v>
      </c>
      <c r="Q112" s="28">
        <v>0</v>
      </c>
      <c r="R112" s="28">
        <v>0</v>
      </c>
      <c r="S112" s="33"/>
      <c r="T112" s="28">
        <v>0</v>
      </c>
      <c r="U112" s="28">
        <v>0</v>
      </c>
      <c r="V112" s="28">
        <v>0</v>
      </c>
    </row>
    <row r="113" ht="214.5" customHeight="1">
      <c r="A113" t="s" s="10">
        <v>129</v>
      </c>
      <c r="B113" s="34">
        <f>SUM(C113,G113)</f>
        <v>475</v>
      </c>
      <c r="C113" s="35">
        <f>SUM(H113,I113,J113,K113,L113,M113,N113,O113,P113,Q113,R113,S113,T113,U113,V113)</f>
        <v>475</v>
      </c>
      <c r="D113" s="36"/>
      <c r="E113" s="25"/>
      <c r="F113" s="25"/>
      <c r="G113" s="26"/>
      <c r="H113" s="27">
        <v>25</v>
      </c>
      <c r="I113" s="38">
        <v>0</v>
      </c>
      <c r="J113" s="38">
        <v>100</v>
      </c>
      <c r="K113" s="38">
        <v>50</v>
      </c>
      <c r="L113" s="38">
        <v>300</v>
      </c>
      <c r="M113" s="40">
        <v>0</v>
      </c>
      <c r="N113" s="40">
        <v>0</v>
      </c>
      <c r="O113" s="40">
        <v>0</v>
      </c>
      <c r="P113" s="41">
        <v>0</v>
      </c>
      <c r="Q113" s="38">
        <v>0</v>
      </c>
      <c r="R113" s="38">
        <v>0</v>
      </c>
      <c r="S113" s="33"/>
      <c r="T113" s="38">
        <v>0</v>
      </c>
      <c r="U113" s="38">
        <v>0</v>
      </c>
      <c r="V113" s="38">
        <v>0</v>
      </c>
    </row>
    <row r="114" ht="47.25" customHeight="1">
      <c r="A114" t="s" s="52">
        <v>130</v>
      </c>
      <c r="B114" s="42">
        <f>SUM(C114,G114)</f>
        <v>25</v>
      </c>
      <c r="C114" s="43">
        <f>SUM(H114,I114,J114,K114,L114,M114,N114,O114,P114,Q114,R114,S114,T114,U114,V114)</f>
        <v>25</v>
      </c>
      <c r="D114" s="44"/>
      <c r="E114" s="45"/>
      <c r="F114" s="45"/>
      <c r="G114" s="45"/>
      <c r="H114" s="27">
        <v>25</v>
      </c>
      <c r="I114" s="51">
        <v>0</v>
      </c>
      <c r="J114" s="51">
        <v>0</v>
      </c>
      <c r="K114" s="51">
        <v>0</v>
      </c>
      <c r="L114" s="51">
        <v>0</v>
      </c>
      <c r="M114" s="48">
        <v>0</v>
      </c>
      <c r="N114" s="48">
        <v>0</v>
      </c>
      <c r="O114" s="55">
        <v>0</v>
      </c>
      <c r="P114" s="58">
        <v>0</v>
      </c>
      <c r="Q114" s="51">
        <v>0</v>
      </c>
      <c r="R114" s="51">
        <v>0</v>
      </c>
      <c r="S114" s="45"/>
      <c r="T114" s="51">
        <v>0</v>
      </c>
      <c r="U114" s="51">
        <v>0</v>
      </c>
      <c r="V114" s="51">
        <v>0</v>
      </c>
    </row>
    <row r="115" ht="19.5" customHeight="1">
      <c r="A115" t="s" s="52">
        <v>131</v>
      </c>
      <c r="B115" s="42">
        <f>SUM(C115,G115)</f>
        <v>0</v>
      </c>
      <c r="C115" s="43">
        <f>SUM(H115,I115,J115,K115,L115,M115,N115,O115,P115,Q115,R115,S115,T115,U115,V115)</f>
        <v>0</v>
      </c>
      <c r="D115" s="44"/>
      <c r="E115" s="6"/>
      <c r="F115" s="6"/>
      <c r="G115" s="6"/>
      <c r="H115" s="27">
        <v>0</v>
      </c>
      <c r="I115" s="51">
        <v>0</v>
      </c>
      <c r="J115" s="51">
        <v>0</v>
      </c>
      <c r="K115" s="51">
        <v>0</v>
      </c>
      <c r="L115" s="51">
        <v>0</v>
      </c>
      <c r="M115" s="48">
        <v>0</v>
      </c>
      <c r="N115" s="48">
        <v>0</v>
      </c>
      <c r="O115" s="55">
        <v>0</v>
      </c>
      <c r="P115" s="53">
        <v>0</v>
      </c>
      <c r="Q115" s="51">
        <v>0</v>
      </c>
      <c r="R115" s="51">
        <v>0</v>
      </c>
      <c r="S115" s="6"/>
      <c r="T115" s="51">
        <v>0</v>
      </c>
      <c r="U115" s="51">
        <v>0</v>
      </c>
      <c r="V115" s="51">
        <v>0</v>
      </c>
    </row>
    <row r="116" ht="31.5" customHeight="1">
      <c r="A116" t="s" s="52">
        <v>132</v>
      </c>
      <c r="B116" s="42">
        <f>SUM(C116,G116)</f>
        <v>25</v>
      </c>
      <c r="C116" s="43">
        <f>SUM(H116,I116,J116,K116,L116,M116,N116,O116,P116,Q116,R116,S116,T116,U116,V116)</f>
        <v>25</v>
      </c>
      <c r="D116" s="44"/>
      <c r="E116" s="6"/>
      <c r="F116" s="6"/>
      <c r="G116" s="6"/>
      <c r="H116" s="27">
        <v>25</v>
      </c>
      <c r="I116" s="51">
        <v>0</v>
      </c>
      <c r="J116" s="51">
        <v>0</v>
      </c>
      <c r="K116" s="51">
        <v>0</v>
      </c>
      <c r="L116" s="51">
        <v>0</v>
      </c>
      <c r="M116" s="48">
        <v>0</v>
      </c>
      <c r="N116" s="48">
        <v>0</v>
      </c>
      <c r="O116" s="55">
        <v>0</v>
      </c>
      <c r="P116" s="53">
        <v>0</v>
      </c>
      <c r="Q116" s="51">
        <v>0</v>
      </c>
      <c r="R116" s="51">
        <v>0</v>
      </c>
      <c r="S116" s="6"/>
      <c r="T116" s="51">
        <v>0</v>
      </c>
      <c r="U116" s="51">
        <v>0</v>
      </c>
      <c r="V116" s="51">
        <v>0</v>
      </c>
    </row>
    <row r="117" ht="19.5" customHeight="1">
      <c r="A117" t="s" s="52">
        <v>133</v>
      </c>
      <c r="B117" s="42">
        <f>SUM(C117,G117)</f>
        <v>5000</v>
      </c>
      <c r="C117" s="43">
        <f>SUM(H117,I117,J117,K117,L117,M117,N117,O117,P117,Q117,R117,S117,T117,U117,V117)</f>
        <v>5000</v>
      </c>
      <c r="D117" s="44"/>
      <c r="E117" s="6"/>
      <c r="F117" s="6"/>
      <c r="G117" s="6"/>
      <c r="H117" s="27">
        <v>5000</v>
      </c>
      <c r="I117" s="51">
        <v>0</v>
      </c>
      <c r="J117" s="51">
        <v>0</v>
      </c>
      <c r="K117" s="51">
        <v>0</v>
      </c>
      <c r="L117" s="51">
        <v>0</v>
      </c>
      <c r="M117" s="48">
        <v>0</v>
      </c>
      <c r="N117" s="48">
        <v>0</v>
      </c>
      <c r="O117" s="55">
        <v>0</v>
      </c>
      <c r="P117" s="53">
        <v>0</v>
      </c>
      <c r="Q117" s="51">
        <v>0</v>
      </c>
      <c r="R117" s="51">
        <v>0</v>
      </c>
      <c r="S117" s="6"/>
      <c r="T117" s="51">
        <v>0</v>
      </c>
      <c r="U117" s="51">
        <v>0</v>
      </c>
      <c r="V117" s="51">
        <v>0</v>
      </c>
    </row>
    <row r="118" ht="19.5" customHeight="1">
      <c r="A118" t="s" s="52">
        <v>134</v>
      </c>
      <c r="B118" s="42">
        <f>SUM(C118,G118)</f>
        <v>1500</v>
      </c>
      <c r="C118" s="43">
        <f>SUM(H118,I118,J118,K118,L118,M118,N118,O118,P118,Q118,R118,S118,T118,U118,V118)</f>
        <v>1500</v>
      </c>
      <c r="D118" s="44"/>
      <c r="E118" s="6"/>
      <c r="F118" s="6"/>
      <c r="G118" s="6"/>
      <c r="H118" s="27">
        <v>1500</v>
      </c>
      <c r="I118" s="51">
        <v>0</v>
      </c>
      <c r="J118" s="51">
        <v>0</v>
      </c>
      <c r="K118" s="51">
        <v>0</v>
      </c>
      <c r="L118" s="51">
        <v>0</v>
      </c>
      <c r="M118" s="48">
        <v>0</v>
      </c>
      <c r="N118" s="48">
        <v>0</v>
      </c>
      <c r="O118" s="55">
        <v>0</v>
      </c>
      <c r="P118" s="53">
        <v>0</v>
      </c>
      <c r="Q118" s="51">
        <v>0</v>
      </c>
      <c r="R118" s="51">
        <v>0</v>
      </c>
      <c r="S118" s="6"/>
      <c r="T118" s="51">
        <v>0</v>
      </c>
      <c r="U118" s="51">
        <v>0</v>
      </c>
      <c r="V118" s="51">
        <v>0</v>
      </c>
    </row>
    <row r="119" ht="31.5" customHeight="1">
      <c r="A119" t="s" s="52">
        <v>135</v>
      </c>
      <c r="B119" s="42">
        <f>SUM(C119,G119)</f>
        <v>100</v>
      </c>
      <c r="C119" s="43">
        <f>SUM(H119,I119,J119,K119,L119,M119,N119,O119,P119,Q119,R119,S119,T119,U119,V119)</f>
        <v>100</v>
      </c>
      <c r="D119" s="44"/>
      <c r="E119" s="6"/>
      <c r="F119" s="6"/>
      <c r="G119" s="6"/>
      <c r="H119" s="27">
        <v>100</v>
      </c>
      <c r="I119" s="51">
        <v>0</v>
      </c>
      <c r="J119" s="51">
        <v>0</v>
      </c>
      <c r="K119" s="51">
        <v>0</v>
      </c>
      <c r="L119" s="51">
        <v>0</v>
      </c>
      <c r="M119" s="48">
        <v>0</v>
      </c>
      <c r="N119" s="48">
        <v>0</v>
      </c>
      <c r="O119" s="55">
        <v>0</v>
      </c>
      <c r="P119" s="53">
        <v>0</v>
      </c>
      <c r="Q119" s="51">
        <v>0</v>
      </c>
      <c r="R119" s="51">
        <v>0</v>
      </c>
      <c r="S119" s="6"/>
      <c r="T119" s="51">
        <v>0</v>
      </c>
      <c r="U119" s="51">
        <v>0</v>
      </c>
      <c r="V119" s="51">
        <v>0</v>
      </c>
    </row>
    <row r="120" ht="58.5" customHeight="1">
      <c r="A120" t="s" s="74">
        <v>136</v>
      </c>
      <c r="B120" s="42">
        <f>SUM(C120,G120)</f>
        <v>0</v>
      </c>
      <c r="C120" s="43">
        <f>SUM(H120,I120,J120,K120,L120,M120,N120,O120,P120,Q120,R120,S120,T120,U120,V120)</f>
        <v>0</v>
      </c>
      <c r="D120" s="44"/>
      <c r="E120" s="6"/>
      <c r="F120" s="6"/>
      <c r="G120" s="6"/>
      <c r="H120" s="27">
        <v>0</v>
      </c>
      <c r="I120" s="51">
        <v>0</v>
      </c>
      <c r="J120" s="51">
        <v>0</v>
      </c>
      <c r="K120" s="51">
        <v>0</v>
      </c>
      <c r="L120" s="51">
        <v>0</v>
      </c>
      <c r="M120" s="48">
        <v>0</v>
      </c>
      <c r="N120" s="48">
        <v>0</v>
      </c>
      <c r="O120" s="55">
        <v>0</v>
      </c>
      <c r="P120" s="53">
        <v>0</v>
      </c>
      <c r="Q120" s="51">
        <v>0</v>
      </c>
      <c r="R120" s="51">
        <v>0</v>
      </c>
      <c r="S120" s="6"/>
      <c r="T120" s="51">
        <v>0</v>
      </c>
      <c r="U120" s="51">
        <v>0</v>
      </c>
      <c r="V120" s="51">
        <v>0</v>
      </c>
    </row>
    <row r="121" ht="39" customHeight="1">
      <c r="A121" t="s" s="52">
        <v>137</v>
      </c>
      <c r="B121" s="42">
        <f>SUM(C121,G121)</f>
        <v>10000</v>
      </c>
      <c r="C121" s="43">
        <f>SUM(H121,I121,J121,K121,L121,M121,N121,O121,P121,Q121,R121,S121,T121,U121,V121)</f>
        <v>10000</v>
      </c>
      <c r="D121" s="44"/>
      <c r="E121" s="6"/>
      <c r="F121" s="6"/>
      <c r="G121" s="6"/>
      <c r="H121" s="27">
        <v>10000</v>
      </c>
      <c r="I121" s="51">
        <v>0</v>
      </c>
      <c r="J121" s="51">
        <v>0</v>
      </c>
      <c r="K121" s="51">
        <v>0</v>
      </c>
      <c r="L121" s="51">
        <v>0</v>
      </c>
      <c r="M121" s="48">
        <v>0</v>
      </c>
      <c r="N121" s="48">
        <v>0</v>
      </c>
      <c r="O121" s="55">
        <v>0</v>
      </c>
      <c r="P121" s="53">
        <v>0</v>
      </c>
      <c r="Q121" s="51">
        <v>0</v>
      </c>
      <c r="R121" s="51">
        <v>0</v>
      </c>
      <c r="S121" s="6"/>
      <c r="T121" s="51">
        <v>0</v>
      </c>
      <c r="U121" s="51">
        <v>0</v>
      </c>
      <c r="V121" s="51">
        <v>0</v>
      </c>
    </row>
    <row r="122" ht="19.5" customHeight="1">
      <c r="A122" t="s" s="67">
        <v>138</v>
      </c>
      <c r="B122" s="42">
        <f>SUM(C122,G122)</f>
        <v>0</v>
      </c>
      <c r="C122" s="43">
        <f>SUM(H122,I122,J122,K122,L122,M122,N122,O122,P122,Q122,R122,S122,T122,U122,V122)</f>
        <v>0</v>
      </c>
      <c r="D122" s="44"/>
      <c r="E122" s="6"/>
      <c r="F122" s="6"/>
      <c r="G122" s="6"/>
      <c r="H122" s="46"/>
      <c r="I122" s="47"/>
      <c r="J122" s="47"/>
      <c r="K122" s="47"/>
      <c r="L122" s="47"/>
      <c r="M122" s="48">
        <v>0</v>
      </c>
      <c r="N122" s="49"/>
      <c r="O122" s="50"/>
      <c r="P122" s="6"/>
      <c r="Q122" s="51">
        <v>0</v>
      </c>
      <c r="R122" s="47"/>
      <c r="S122" s="6"/>
      <c r="T122" s="47"/>
      <c r="U122" s="47"/>
      <c r="V122" s="51">
        <v>0</v>
      </c>
    </row>
    <row r="123" ht="31.5" customHeight="1">
      <c r="A123" t="s" s="67">
        <v>139</v>
      </c>
      <c r="B123" s="42">
        <f>SUM(C123,G123)</f>
        <v>0</v>
      </c>
      <c r="C123" s="43">
        <f>SUM(H123,I123,J123,K123,L123,M123,N123,O123,P123,Q123,R123,S123,T123,U123,V123)</f>
        <v>0</v>
      </c>
      <c r="D123" s="44"/>
      <c r="E123" s="17"/>
      <c r="F123" s="17"/>
      <c r="G123" s="17"/>
      <c r="H123" s="46"/>
      <c r="I123" s="47"/>
      <c r="J123" s="47"/>
      <c r="K123" s="47"/>
      <c r="L123" s="47"/>
      <c r="M123" s="48">
        <v>0</v>
      </c>
      <c r="N123" s="49"/>
      <c r="O123" s="50"/>
      <c r="P123" s="17"/>
      <c r="Q123" s="51">
        <v>0</v>
      </c>
      <c r="R123" s="47"/>
      <c r="S123" s="64"/>
      <c r="T123" s="47"/>
      <c r="U123" s="47"/>
      <c r="V123" s="51">
        <v>0</v>
      </c>
    </row>
    <row r="124" ht="31.5" customHeight="1">
      <c r="A124" t="s" s="21">
        <v>140</v>
      </c>
      <c r="B124" s="22">
        <f>SUM(C124,G124)</f>
        <v>13200</v>
      </c>
      <c r="C124" s="23">
        <f>SUM(H124,I124,J124,K124,L124,M124,N124,O124,P124,Q124,R124,S124,T124,U124,V124)</f>
        <v>13200</v>
      </c>
      <c r="D124" s="36"/>
      <c r="E124" s="25"/>
      <c r="F124" s="25"/>
      <c r="G124" s="26"/>
      <c r="H124" s="27">
        <v>8000</v>
      </c>
      <c r="I124" s="28">
        <v>0</v>
      </c>
      <c r="J124" s="28">
        <v>1000</v>
      </c>
      <c r="K124" s="28">
        <v>1000</v>
      </c>
      <c r="L124" s="28">
        <v>0</v>
      </c>
      <c r="M124" s="30">
        <v>0</v>
      </c>
      <c r="N124" s="30">
        <v>100</v>
      </c>
      <c r="O124" s="30">
        <v>0</v>
      </c>
      <c r="P124" s="41">
        <v>0</v>
      </c>
      <c r="Q124" s="28">
        <v>0</v>
      </c>
      <c r="R124" s="28">
        <v>600</v>
      </c>
      <c r="S124" s="27">
        <v>2500</v>
      </c>
      <c r="T124" s="28">
        <v>0</v>
      </c>
      <c r="U124" s="28">
        <v>0</v>
      </c>
      <c r="V124" s="28">
        <v>0</v>
      </c>
    </row>
    <row r="125" ht="31.5" customHeight="1">
      <c r="A125" t="s" s="52">
        <v>141</v>
      </c>
      <c r="B125" s="42">
        <f>SUM(C125,G125)</f>
        <v>600</v>
      </c>
      <c r="C125" s="43">
        <f>SUM(H125,I125,J125,K125,L125,M125,N125,O125,P125,Q125,R125,S125,T125,U125,V125)</f>
        <v>600</v>
      </c>
      <c r="D125" s="44"/>
      <c r="E125" s="45"/>
      <c r="F125" s="45"/>
      <c r="G125" s="45"/>
      <c r="H125" s="27">
        <v>500</v>
      </c>
      <c r="I125" s="51">
        <v>0</v>
      </c>
      <c r="J125" s="51">
        <v>0</v>
      </c>
      <c r="K125" s="51">
        <v>100</v>
      </c>
      <c r="L125" s="51">
        <v>0</v>
      </c>
      <c r="M125" s="48">
        <v>0</v>
      </c>
      <c r="N125" s="48">
        <v>0</v>
      </c>
      <c r="O125" s="55">
        <v>0</v>
      </c>
      <c r="P125" s="58">
        <v>0</v>
      </c>
      <c r="Q125" s="51">
        <v>0</v>
      </c>
      <c r="R125" s="51">
        <v>0</v>
      </c>
      <c r="S125" s="63"/>
      <c r="T125" s="51">
        <v>0</v>
      </c>
      <c r="U125" s="51">
        <v>0</v>
      </c>
      <c r="V125" s="51">
        <v>0</v>
      </c>
    </row>
    <row r="126" ht="31.5" customHeight="1">
      <c r="A126" t="s" s="67">
        <v>142</v>
      </c>
      <c r="B126" s="42">
        <f>SUM(C126,G126)</f>
        <v>0</v>
      </c>
      <c r="C126" s="43">
        <f>SUM(H126,I126,J126,K126,L126,M126,N126,O126,P126,Q126,R126,S126,T126,U126,V126)</f>
        <v>0</v>
      </c>
      <c r="D126" s="44"/>
      <c r="E126" s="17"/>
      <c r="F126" s="17"/>
      <c r="G126" s="17"/>
      <c r="H126" s="46"/>
      <c r="I126" s="47"/>
      <c r="J126" s="47"/>
      <c r="K126" s="47"/>
      <c r="L126" s="47"/>
      <c r="M126" s="48">
        <v>0</v>
      </c>
      <c r="N126" s="49"/>
      <c r="O126" s="50"/>
      <c r="P126" s="17"/>
      <c r="Q126" s="51">
        <v>0</v>
      </c>
      <c r="R126" s="47"/>
      <c r="S126" s="17"/>
      <c r="T126" s="47"/>
      <c r="U126" s="47"/>
      <c r="V126" s="51">
        <v>0</v>
      </c>
    </row>
    <row r="127" ht="47.25" customHeight="1">
      <c r="A127" t="s" s="21">
        <v>143</v>
      </c>
      <c r="B127" s="22">
        <f>SUM(C127,G127)</f>
        <v>21300</v>
      </c>
      <c r="C127" s="23">
        <f>SUM(H127,I127,J127,K127,L127,M127,N127,O127,P127,Q127,R127,S127,T127,U127,V127)</f>
        <v>21300</v>
      </c>
      <c r="D127" s="36"/>
      <c r="E127" s="25"/>
      <c r="F127" s="25"/>
      <c r="G127" s="26"/>
      <c r="H127" s="27">
        <v>15000</v>
      </c>
      <c r="I127" s="28">
        <v>0</v>
      </c>
      <c r="J127" s="28">
        <v>3000</v>
      </c>
      <c r="K127" s="28">
        <v>200</v>
      </c>
      <c r="L127" s="28">
        <v>0</v>
      </c>
      <c r="M127" s="30">
        <v>0</v>
      </c>
      <c r="N127" s="30">
        <v>100</v>
      </c>
      <c r="O127" s="30">
        <v>0</v>
      </c>
      <c r="P127" s="41">
        <v>0</v>
      </c>
      <c r="Q127" s="28">
        <v>0</v>
      </c>
      <c r="R127" s="28">
        <v>1000</v>
      </c>
      <c r="S127" s="75">
        <v>2000</v>
      </c>
      <c r="T127" s="28">
        <v>0</v>
      </c>
      <c r="U127" s="28">
        <v>0</v>
      </c>
      <c r="V127" s="28">
        <v>0</v>
      </c>
    </row>
    <row r="128" ht="31.5" customHeight="1">
      <c r="A128" t="s" s="21">
        <v>144</v>
      </c>
      <c r="B128" s="22">
        <f>SUM(C128,G128)</f>
        <v>5000</v>
      </c>
      <c r="C128" s="23">
        <f>SUM(H128,I128,J128,K128,L128,M128,N128,O128,P128,Q128,R128,S128,T128,U128,V128)</f>
        <v>5000</v>
      </c>
      <c r="D128" s="36"/>
      <c r="E128" s="25"/>
      <c r="F128" s="25"/>
      <c r="G128" s="26"/>
      <c r="H128" s="27">
        <v>5000</v>
      </c>
      <c r="I128" s="28">
        <v>0</v>
      </c>
      <c r="J128" s="28">
        <v>0</v>
      </c>
      <c r="K128" s="28">
        <v>0</v>
      </c>
      <c r="L128" s="28">
        <v>0</v>
      </c>
      <c r="M128" s="30">
        <v>0</v>
      </c>
      <c r="N128" s="30">
        <v>0</v>
      </c>
      <c r="O128" s="30">
        <v>0</v>
      </c>
      <c r="P128" s="41">
        <v>0</v>
      </c>
      <c r="Q128" s="28">
        <v>0</v>
      </c>
      <c r="R128" s="28">
        <v>0</v>
      </c>
      <c r="S128" s="33"/>
      <c r="T128" s="28">
        <v>0</v>
      </c>
      <c r="U128" s="28">
        <v>0</v>
      </c>
      <c r="V128" s="28">
        <v>0</v>
      </c>
    </row>
    <row r="129" ht="47.25" customHeight="1">
      <c r="A129" t="s" s="67">
        <v>145</v>
      </c>
      <c r="B129" s="42">
        <f>SUM(C129,G129)</f>
        <v>0</v>
      </c>
      <c r="C129" s="43">
        <f>SUM(H129,I129,J129,K129,L129,M129,N129,O129,P129,Q129,R129,S129,T129,U129,V129)</f>
        <v>0</v>
      </c>
      <c r="D129" s="44"/>
      <c r="E129" s="45"/>
      <c r="F129" s="45"/>
      <c r="G129" s="45"/>
      <c r="H129" s="46"/>
      <c r="I129" s="47"/>
      <c r="J129" s="47"/>
      <c r="K129" s="47"/>
      <c r="L129" s="47"/>
      <c r="M129" s="48">
        <v>0</v>
      </c>
      <c r="N129" s="49"/>
      <c r="O129" s="50"/>
      <c r="P129" s="45"/>
      <c r="Q129" s="51">
        <v>0</v>
      </c>
      <c r="R129" s="47"/>
      <c r="S129" s="45"/>
      <c r="T129" s="47"/>
      <c r="U129" s="47"/>
      <c r="V129" s="51">
        <v>0</v>
      </c>
    </row>
    <row r="130" ht="39" customHeight="1">
      <c r="A130" t="s" s="52">
        <v>146</v>
      </c>
      <c r="B130" s="42">
        <f>SUM(C130,G130)</f>
        <v>100</v>
      </c>
      <c r="C130" s="43">
        <f>SUM(H130,I130,J130,K130,L130,M130,N130,O130,P130,Q130,R130,S130,T130,U130,V130)</f>
        <v>100</v>
      </c>
      <c r="D130" s="44"/>
      <c r="E130" s="6"/>
      <c r="F130" s="6"/>
      <c r="G130" s="6"/>
      <c r="H130" s="27">
        <v>100</v>
      </c>
      <c r="I130" s="51">
        <v>0</v>
      </c>
      <c r="J130" s="51">
        <v>0</v>
      </c>
      <c r="K130" s="51">
        <v>0</v>
      </c>
      <c r="L130" s="51">
        <v>0</v>
      </c>
      <c r="M130" s="48">
        <v>0</v>
      </c>
      <c r="N130" s="48">
        <v>0</v>
      </c>
      <c r="O130" s="55">
        <v>0</v>
      </c>
      <c r="P130" s="53">
        <v>0</v>
      </c>
      <c r="Q130" s="51">
        <v>0</v>
      </c>
      <c r="R130" s="51">
        <v>0</v>
      </c>
      <c r="S130" s="6"/>
      <c r="T130" s="51">
        <v>0</v>
      </c>
      <c r="U130" s="51">
        <v>0</v>
      </c>
      <c r="V130" s="51">
        <v>0</v>
      </c>
    </row>
    <row r="131" ht="31.5" customHeight="1">
      <c r="A131" t="s" s="67">
        <v>147</v>
      </c>
      <c r="B131" s="42">
        <f>SUM(C131,G131)</f>
        <v>0</v>
      </c>
      <c r="C131" s="43">
        <f>SUM(H131,I131,J131,K131,L131,M131,N131,O131,P131,Q131,R131,S131,T131,U131,V131)</f>
        <v>0</v>
      </c>
      <c r="D131" s="44"/>
      <c r="E131" s="6"/>
      <c r="F131" s="6"/>
      <c r="G131" s="6"/>
      <c r="H131" s="46"/>
      <c r="I131" s="47"/>
      <c r="J131" s="47"/>
      <c r="K131" s="47"/>
      <c r="L131" s="47"/>
      <c r="M131" s="48">
        <v>0</v>
      </c>
      <c r="N131" s="49"/>
      <c r="O131" s="50"/>
      <c r="P131" s="6"/>
      <c r="Q131" s="51">
        <v>0</v>
      </c>
      <c r="R131" s="47"/>
      <c r="S131" s="6"/>
      <c r="T131" s="47"/>
      <c r="U131" s="47"/>
      <c r="V131" s="51">
        <v>0</v>
      </c>
    </row>
    <row r="132" ht="31.5" customHeight="1">
      <c r="A132" t="s" s="52">
        <v>148</v>
      </c>
      <c r="B132" s="42">
        <f>SUM(C132,G132)</f>
        <v>4600</v>
      </c>
      <c r="C132" s="43">
        <f>SUM(H132,I132,J132,K132,L132,M132,N132,O132,P132,Q132,R132,S132,T132,U132,V132)</f>
        <v>4600</v>
      </c>
      <c r="D132" s="44"/>
      <c r="E132" s="17"/>
      <c r="F132" s="17"/>
      <c r="G132" s="17"/>
      <c r="H132" s="27">
        <v>1000</v>
      </c>
      <c r="I132" s="51">
        <v>0</v>
      </c>
      <c r="J132" s="51">
        <v>1000</v>
      </c>
      <c r="K132" s="51">
        <v>500</v>
      </c>
      <c r="L132" s="51">
        <v>100</v>
      </c>
      <c r="M132" s="48">
        <v>0</v>
      </c>
      <c r="N132" s="48">
        <v>0</v>
      </c>
      <c r="O132" s="55">
        <v>0</v>
      </c>
      <c r="P132" s="56">
        <v>0</v>
      </c>
      <c r="Q132" s="51">
        <v>0</v>
      </c>
      <c r="R132" s="51">
        <v>2000</v>
      </c>
      <c r="S132" s="17"/>
      <c r="T132" s="51">
        <v>0</v>
      </c>
      <c r="U132" s="51">
        <v>0</v>
      </c>
      <c r="V132" s="51">
        <v>0</v>
      </c>
    </row>
    <row r="133" ht="29.25" customHeight="1">
      <c r="A133" t="s" s="10">
        <v>149</v>
      </c>
      <c r="B133" s="34">
        <f>SUM(C133,G133)</f>
        <v>119480</v>
      </c>
      <c r="C133" s="35">
        <f>SUM(H133,I133,J133,K133,L133,M133,N133,O133,P133,Q133,R133,S133,T133,U133,V133)</f>
        <v>119480</v>
      </c>
      <c r="D133" s="36"/>
      <c r="E133" s="25"/>
      <c r="F133" s="25"/>
      <c r="G133" s="26"/>
      <c r="H133" s="27">
        <v>20000</v>
      </c>
      <c r="I133" s="38">
        <v>0</v>
      </c>
      <c r="J133" s="38">
        <v>22000</v>
      </c>
      <c r="K133" s="38">
        <v>6000</v>
      </c>
      <c r="L133" s="38">
        <v>550</v>
      </c>
      <c r="M133" s="40">
        <v>5500</v>
      </c>
      <c r="N133" s="40">
        <v>30000</v>
      </c>
      <c r="O133" s="40">
        <v>18050</v>
      </c>
      <c r="P133" s="41">
        <v>4000</v>
      </c>
      <c r="Q133" s="38">
        <v>11380</v>
      </c>
      <c r="R133" s="38">
        <v>2000</v>
      </c>
      <c r="S133" s="33"/>
      <c r="T133" s="38">
        <v>0</v>
      </c>
      <c r="U133" s="38">
        <v>0</v>
      </c>
      <c r="V133" s="38">
        <v>0</v>
      </c>
    </row>
    <row r="134" ht="117" customHeight="1">
      <c r="A134" t="s" s="21">
        <v>150</v>
      </c>
      <c r="B134" s="22">
        <f>SUM(C134,G134)</f>
        <v>98500</v>
      </c>
      <c r="C134" s="23">
        <f>SUM(H134,I134,J134,K134,L134,M134,N134,O134,P134,Q134,R134,S134,T134,U134,V134)</f>
        <v>96500</v>
      </c>
      <c r="D134" s="36"/>
      <c r="E134" s="25"/>
      <c r="F134" s="25"/>
      <c r="G134" s="37">
        <v>2000</v>
      </c>
      <c r="H134" s="27">
        <v>50000</v>
      </c>
      <c r="I134" s="28">
        <v>20000</v>
      </c>
      <c r="J134" s="28">
        <v>12000</v>
      </c>
      <c r="K134" s="28">
        <v>12000</v>
      </c>
      <c r="L134" s="28">
        <v>2500</v>
      </c>
      <c r="M134" s="30">
        <v>0</v>
      </c>
      <c r="N134" s="30">
        <v>0</v>
      </c>
      <c r="O134" s="30">
        <v>0</v>
      </c>
      <c r="P134" s="41">
        <v>0</v>
      </c>
      <c r="Q134" s="28">
        <v>0</v>
      </c>
      <c r="R134" s="28">
        <v>0</v>
      </c>
      <c r="S134" s="33"/>
      <c r="T134" s="28">
        <v>0</v>
      </c>
      <c r="U134" s="28">
        <v>0</v>
      </c>
      <c r="V134" s="28">
        <v>0</v>
      </c>
    </row>
    <row r="135" ht="156" customHeight="1">
      <c r="A135" t="s" s="52">
        <v>151</v>
      </c>
      <c r="B135" s="42">
        <f>SUM(C135,G135)</f>
        <v>33500</v>
      </c>
      <c r="C135" s="43">
        <f>SUM(H135,I135,J135,K135,L135,M135,N135,O135,P135,Q135,R135,S135,T135,U135,V135)</f>
        <v>33500</v>
      </c>
      <c r="D135" s="44"/>
      <c r="E135" s="45"/>
      <c r="F135" s="45"/>
      <c r="G135" s="45"/>
      <c r="H135" s="27">
        <v>8000</v>
      </c>
      <c r="I135" s="51">
        <v>3000</v>
      </c>
      <c r="J135" s="51">
        <v>10000</v>
      </c>
      <c r="K135" s="51">
        <v>10000</v>
      </c>
      <c r="L135" s="51">
        <v>2500</v>
      </c>
      <c r="M135" s="48">
        <v>0</v>
      </c>
      <c r="N135" s="48">
        <v>0</v>
      </c>
      <c r="O135" s="55">
        <v>0</v>
      </c>
      <c r="P135" s="58">
        <v>0</v>
      </c>
      <c r="Q135" s="51">
        <v>0</v>
      </c>
      <c r="R135" s="51">
        <v>0</v>
      </c>
      <c r="S135" s="45"/>
      <c r="T135" s="51">
        <v>0</v>
      </c>
      <c r="U135" s="51">
        <v>0</v>
      </c>
      <c r="V135" s="51">
        <v>0</v>
      </c>
    </row>
    <row r="136" ht="31.5" customHeight="1">
      <c r="A136" t="s" s="67">
        <v>152</v>
      </c>
      <c r="B136" s="42">
        <f>SUM(C136,G136)</f>
        <v>0</v>
      </c>
      <c r="C136" s="43">
        <f>SUM(H136,I136,J136,K136,L136,M136,N136,O136,P136,Q136,R136,S136,T136,U136,V136)</f>
        <v>0</v>
      </c>
      <c r="D136" s="44"/>
      <c r="E136" s="6"/>
      <c r="F136" s="6"/>
      <c r="G136" s="14"/>
      <c r="H136" s="76"/>
      <c r="I136" s="47"/>
      <c r="J136" s="47"/>
      <c r="K136" s="47"/>
      <c r="L136" s="47"/>
      <c r="M136" s="48">
        <v>0</v>
      </c>
      <c r="N136" s="49"/>
      <c r="O136" s="50"/>
      <c r="P136" s="6"/>
      <c r="Q136" s="51">
        <v>0</v>
      </c>
      <c r="R136" s="47"/>
      <c r="S136" s="6"/>
      <c r="T136" s="47"/>
      <c r="U136" s="47"/>
      <c r="V136" s="47"/>
    </row>
    <row r="137" ht="31.5" customHeight="1">
      <c r="A137" t="s" s="52">
        <v>153</v>
      </c>
      <c r="B137" s="42">
        <f>SUM(C137,G137)</f>
        <v>379150</v>
      </c>
      <c r="C137" s="43">
        <f>SUM(H137,I137,J137,K137,L137,M137,N137,O137,P137,Q137,R137,S137,T137,U137,V137)</f>
        <v>379150</v>
      </c>
      <c r="D137" s="44"/>
      <c r="E137" s="6"/>
      <c r="F137" s="6"/>
      <c r="G137" s="6"/>
      <c r="H137" s="27">
        <v>0</v>
      </c>
      <c r="I137" s="51">
        <v>5000</v>
      </c>
      <c r="J137" s="51">
        <v>20000</v>
      </c>
      <c r="K137" s="51">
        <v>20000</v>
      </c>
      <c r="L137" s="51">
        <v>1050</v>
      </c>
      <c r="M137" s="48">
        <v>125000</v>
      </c>
      <c r="N137" s="48">
        <v>64700</v>
      </c>
      <c r="O137" s="55">
        <v>56450</v>
      </c>
      <c r="P137" s="53">
        <v>44300</v>
      </c>
      <c r="Q137" s="51">
        <v>42650</v>
      </c>
      <c r="R137" s="51">
        <v>0</v>
      </c>
      <c r="S137" s="6"/>
      <c r="T137" s="51">
        <v>0</v>
      </c>
      <c r="U137" s="51">
        <v>0</v>
      </c>
      <c r="V137" s="51">
        <v>0</v>
      </c>
    </row>
    <row r="138" ht="47.25" customHeight="1">
      <c r="A138" t="s" s="52">
        <v>154</v>
      </c>
      <c r="B138" s="42">
        <f>SUM(C138,G138)</f>
        <v>444025</v>
      </c>
      <c r="C138" s="43">
        <f>SUM(H138,I138,J138,K138,L138,M138,N138,O138,P138,Q138,R138,S138,T138,U138,V138)</f>
        <v>426025</v>
      </c>
      <c r="D138" s="44"/>
      <c r="E138" s="6"/>
      <c r="F138" s="6"/>
      <c r="G138" s="53">
        <v>18000</v>
      </c>
      <c r="H138" s="27">
        <v>200000</v>
      </c>
      <c r="I138" s="51">
        <v>70000</v>
      </c>
      <c r="J138" s="51">
        <v>100000</v>
      </c>
      <c r="K138" s="51">
        <v>44000</v>
      </c>
      <c r="L138" s="51">
        <v>12000</v>
      </c>
      <c r="M138" s="48">
        <v>0</v>
      </c>
      <c r="N138" s="48">
        <v>0</v>
      </c>
      <c r="O138" s="55">
        <v>0</v>
      </c>
      <c r="P138" s="53">
        <v>0</v>
      </c>
      <c r="Q138" s="51">
        <v>0</v>
      </c>
      <c r="R138" s="51">
        <v>0</v>
      </c>
      <c r="S138" s="6"/>
      <c r="T138" s="51">
        <v>0</v>
      </c>
      <c r="U138" s="51">
        <v>25</v>
      </c>
      <c r="V138" s="51">
        <v>0</v>
      </c>
    </row>
    <row r="139" ht="78" customHeight="1">
      <c r="A139" t="s" s="52">
        <v>155</v>
      </c>
      <c r="B139" s="42">
        <f>SUM(C139,G139)</f>
        <v>46300</v>
      </c>
      <c r="C139" s="43">
        <f>SUM(H139,I139,J139,K139,L139,M139,N139,O139,P139,Q139,R139,S139,T139,U139,V139)</f>
        <v>46300</v>
      </c>
      <c r="D139" s="44"/>
      <c r="E139" s="17"/>
      <c r="F139" s="17"/>
      <c r="G139" s="17"/>
      <c r="H139" s="27">
        <v>0</v>
      </c>
      <c r="I139" s="51">
        <v>20000</v>
      </c>
      <c r="J139" s="51">
        <v>20000</v>
      </c>
      <c r="K139" s="51">
        <v>6000</v>
      </c>
      <c r="L139" s="51">
        <v>300</v>
      </c>
      <c r="M139" s="48">
        <v>0</v>
      </c>
      <c r="N139" s="48">
        <v>0</v>
      </c>
      <c r="O139" s="55">
        <v>0</v>
      </c>
      <c r="P139" s="56">
        <v>0</v>
      </c>
      <c r="Q139" s="51">
        <v>0</v>
      </c>
      <c r="R139" s="51">
        <v>0</v>
      </c>
      <c r="S139" s="17"/>
      <c r="T139" s="51">
        <v>0</v>
      </c>
      <c r="U139" s="51">
        <v>0</v>
      </c>
      <c r="V139" s="51">
        <v>0</v>
      </c>
    </row>
    <row r="140" ht="47.25" customHeight="1">
      <c r="A140" t="s" s="10">
        <v>156</v>
      </c>
      <c r="B140" s="34">
        <f>SUM(C140,G140)</f>
        <v>327360</v>
      </c>
      <c r="C140" s="35">
        <f>SUM(H140,I140,J140,K140,L140,M140,N140,O140,P140,Q140,R140,S140,T140,U140,V140)</f>
        <v>327360</v>
      </c>
      <c r="D140" s="36"/>
      <c r="E140" s="25"/>
      <c r="F140" s="25"/>
      <c r="G140" s="26"/>
      <c r="H140" s="27">
        <v>8000</v>
      </c>
      <c r="I140" s="38">
        <v>30000</v>
      </c>
      <c r="J140" s="38">
        <v>25000</v>
      </c>
      <c r="K140" s="38">
        <v>12000</v>
      </c>
      <c r="L140" s="38">
        <v>7500</v>
      </c>
      <c r="M140" s="40">
        <v>60000</v>
      </c>
      <c r="N140" s="40">
        <v>46050</v>
      </c>
      <c r="O140" s="40">
        <v>64200</v>
      </c>
      <c r="P140" s="41">
        <v>27000</v>
      </c>
      <c r="Q140" s="38">
        <v>42900</v>
      </c>
      <c r="R140" s="38">
        <v>60</v>
      </c>
      <c r="S140" s="62"/>
      <c r="T140" s="38">
        <v>150</v>
      </c>
      <c r="U140" s="38">
        <v>0</v>
      </c>
      <c r="V140" s="38">
        <v>4500</v>
      </c>
    </row>
    <row r="141" ht="156" customHeight="1">
      <c r="A141" t="s" s="21">
        <v>157</v>
      </c>
      <c r="B141" s="22">
        <f>SUM(C141,G141)</f>
        <v>109550</v>
      </c>
      <c r="C141" s="23">
        <f>SUM(H141,I141,J141,K141,L141,M141,N141,O141,P141,Q141,R141,S141,T141,U141,V141)</f>
        <v>108550</v>
      </c>
      <c r="D141" s="36"/>
      <c r="E141" s="25"/>
      <c r="F141" s="25"/>
      <c r="G141" s="37">
        <v>1000</v>
      </c>
      <c r="H141" s="27">
        <v>50000</v>
      </c>
      <c r="I141" s="28">
        <v>0</v>
      </c>
      <c r="J141" s="28">
        <v>35000</v>
      </c>
      <c r="K141" s="28">
        <v>6600</v>
      </c>
      <c r="L141" s="28">
        <v>13000</v>
      </c>
      <c r="M141" s="30">
        <v>0</v>
      </c>
      <c r="N141" s="30">
        <v>0</v>
      </c>
      <c r="O141" s="30">
        <v>0</v>
      </c>
      <c r="P141" s="41">
        <v>0</v>
      </c>
      <c r="Q141" s="28">
        <v>0</v>
      </c>
      <c r="R141" s="28">
        <v>3600</v>
      </c>
      <c r="S141" s="27">
        <v>250</v>
      </c>
      <c r="T141" s="28">
        <v>0</v>
      </c>
      <c r="U141" s="28">
        <v>0</v>
      </c>
      <c r="V141" s="28">
        <v>100</v>
      </c>
    </row>
    <row r="142" ht="39" customHeight="1">
      <c r="A142" t="s" s="52">
        <v>158</v>
      </c>
      <c r="B142" s="42">
        <f>SUM(C142,G142)</f>
        <v>322600</v>
      </c>
      <c r="C142" s="43">
        <f>SUM(H142,I142,J142,K142,L142,M142,N142,O142,P142,Q142,R142,S142,T142,U142,V142)</f>
        <v>322600</v>
      </c>
      <c r="D142" s="44"/>
      <c r="E142" s="45"/>
      <c r="F142" s="45"/>
      <c r="G142" s="45"/>
      <c r="H142" s="27">
        <v>250</v>
      </c>
      <c r="I142" s="51">
        <v>10000</v>
      </c>
      <c r="J142" s="51">
        <v>20000</v>
      </c>
      <c r="K142" s="51">
        <v>12000</v>
      </c>
      <c r="L142" s="51">
        <v>150</v>
      </c>
      <c r="M142" s="48">
        <v>63500</v>
      </c>
      <c r="N142" s="48">
        <v>71250</v>
      </c>
      <c r="O142" s="55">
        <v>65600</v>
      </c>
      <c r="P142" s="58">
        <v>44800</v>
      </c>
      <c r="Q142" s="51">
        <v>35000</v>
      </c>
      <c r="R142" s="51">
        <v>0</v>
      </c>
      <c r="S142" s="27">
        <v>50</v>
      </c>
      <c r="T142" s="51">
        <v>0</v>
      </c>
      <c r="U142" s="51">
        <v>0</v>
      </c>
      <c r="V142" s="51">
        <v>0</v>
      </c>
    </row>
    <row r="143" ht="39" customHeight="1">
      <c r="A143" t="s" s="52">
        <v>159</v>
      </c>
      <c r="B143" s="42">
        <f>SUM(C143,G143)</f>
        <v>5914780</v>
      </c>
      <c r="C143" s="43">
        <f>SUM(H143,I143,J143,K143,L143,M143,N143,O143,P143,Q143,R143,S143,T143,U143,V143)</f>
        <v>5914780</v>
      </c>
      <c r="D143" s="44"/>
      <c r="E143" s="17"/>
      <c r="F143" s="17"/>
      <c r="G143" s="17"/>
      <c r="H143" s="27">
        <v>600000</v>
      </c>
      <c r="I143" s="51">
        <v>100000</v>
      </c>
      <c r="J143" s="51">
        <v>350000</v>
      </c>
      <c r="K143" s="51">
        <v>460000</v>
      </c>
      <c r="L143" s="51">
        <v>300000</v>
      </c>
      <c r="M143" s="48">
        <v>975000</v>
      </c>
      <c r="N143" s="48">
        <v>871500</v>
      </c>
      <c r="O143" s="55">
        <v>1049000</v>
      </c>
      <c r="P143" s="56">
        <v>412000</v>
      </c>
      <c r="Q143" s="51">
        <v>586000</v>
      </c>
      <c r="R143" s="51">
        <v>11280</v>
      </c>
      <c r="S143" s="27">
        <v>30000</v>
      </c>
      <c r="T143" s="51">
        <v>5000</v>
      </c>
      <c r="U143" s="51">
        <v>25000</v>
      </c>
      <c r="V143" s="51">
        <v>140000</v>
      </c>
    </row>
    <row r="144" ht="97.5" customHeight="1">
      <c r="A144" t="s" s="52">
        <v>160</v>
      </c>
      <c r="B144" s="22">
        <f>SUM(C144,G144)</f>
        <v>56250</v>
      </c>
      <c r="C144" s="23">
        <f>SUM(H144,I144,J144,K144,L144,M144,N144,O144,P144,Q144,R144,S144,T144,U144,V144)</f>
        <v>56250</v>
      </c>
      <c r="D144" s="36"/>
      <c r="E144" s="25"/>
      <c r="F144" s="25"/>
      <c r="G144" s="26"/>
      <c r="H144" s="27">
        <v>25000</v>
      </c>
      <c r="I144" s="28">
        <v>200</v>
      </c>
      <c r="J144" s="28">
        <v>25000</v>
      </c>
      <c r="K144" s="28">
        <v>5000</v>
      </c>
      <c r="L144" s="28">
        <v>1000</v>
      </c>
      <c r="M144" s="30">
        <v>0</v>
      </c>
      <c r="N144" s="30">
        <v>0</v>
      </c>
      <c r="O144" s="30">
        <v>0</v>
      </c>
      <c r="P144" s="41">
        <v>0</v>
      </c>
      <c r="Q144" s="28">
        <v>0</v>
      </c>
      <c r="R144" s="28">
        <v>0</v>
      </c>
      <c r="S144" s="77">
        <v>50</v>
      </c>
      <c r="T144" s="28">
        <v>0</v>
      </c>
      <c r="U144" s="28">
        <v>0</v>
      </c>
      <c r="V144" s="28">
        <v>0</v>
      </c>
    </row>
    <row r="145" ht="47.25" customHeight="1">
      <c r="A145" t="s" s="67">
        <v>161</v>
      </c>
      <c r="B145" s="42">
        <f>SUM(C145,G145)</f>
        <v>0</v>
      </c>
      <c r="C145" s="43">
        <f>SUM(H145,I145,J145,K145,L145,M145,N145,O145,P145,Q145,R145,S145,T145,U145,V145)</f>
        <v>0</v>
      </c>
      <c r="D145" s="44"/>
      <c r="E145" s="45"/>
      <c r="F145" s="45"/>
      <c r="G145" s="45"/>
      <c r="H145" s="46"/>
      <c r="I145" s="47"/>
      <c r="J145" s="47"/>
      <c r="K145" s="47"/>
      <c r="L145" s="47"/>
      <c r="M145" s="48">
        <v>0</v>
      </c>
      <c r="N145" s="49"/>
      <c r="O145" s="50"/>
      <c r="P145" s="45"/>
      <c r="Q145" s="51">
        <v>0</v>
      </c>
      <c r="R145" s="47"/>
      <c r="S145" s="45"/>
      <c r="T145" s="47"/>
      <c r="U145" s="47"/>
      <c r="V145" s="51">
        <v>0</v>
      </c>
    </row>
    <row r="146" ht="31.5" customHeight="1">
      <c r="A146" t="s" s="52">
        <v>162</v>
      </c>
      <c r="B146" s="42">
        <f>SUM(C146,G146)</f>
        <v>750</v>
      </c>
      <c r="C146" s="43">
        <f>SUM(H146,I146,J146,K146,L146,M146,N146,O146,P146,Q146,R146,S146,T146,U146,V146)</f>
        <v>750</v>
      </c>
      <c r="D146" s="44"/>
      <c r="E146" s="6"/>
      <c r="F146" s="6"/>
      <c r="G146" s="6"/>
      <c r="H146" s="27">
        <v>50</v>
      </c>
      <c r="I146" s="51">
        <v>300</v>
      </c>
      <c r="J146" s="51">
        <v>200</v>
      </c>
      <c r="K146" s="51">
        <v>200</v>
      </c>
      <c r="L146" s="51">
        <v>0</v>
      </c>
      <c r="M146" s="48">
        <v>0</v>
      </c>
      <c r="N146" s="48">
        <v>0</v>
      </c>
      <c r="O146" s="55">
        <v>0</v>
      </c>
      <c r="P146" s="53">
        <v>0</v>
      </c>
      <c r="Q146" s="51">
        <v>0</v>
      </c>
      <c r="R146" s="51">
        <v>0</v>
      </c>
      <c r="S146" s="6"/>
      <c r="T146" s="51">
        <v>0</v>
      </c>
      <c r="U146" s="51">
        <v>0</v>
      </c>
      <c r="V146" s="51">
        <v>0</v>
      </c>
    </row>
    <row r="147" ht="31.5" customHeight="1">
      <c r="A147" t="s" s="52">
        <v>163</v>
      </c>
      <c r="B147" s="42">
        <f>SUM(C147,G147)</f>
        <v>2750</v>
      </c>
      <c r="C147" s="43">
        <f>SUM(H147,I147,J147,K147,L147,M147,N147,O147,P147,Q147,R147,S147,T147,U147,V147)</f>
        <v>2750</v>
      </c>
      <c r="D147" s="44"/>
      <c r="E147" s="17"/>
      <c r="F147" s="17"/>
      <c r="G147" s="17"/>
      <c r="H147" s="27">
        <v>2000</v>
      </c>
      <c r="I147" s="51">
        <v>250</v>
      </c>
      <c r="J147" s="51">
        <v>250</v>
      </c>
      <c r="K147" s="51">
        <v>250</v>
      </c>
      <c r="L147" s="51">
        <v>0</v>
      </c>
      <c r="M147" s="48">
        <v>0</v>
      </c>
      <c r="N147" s="48">
        <v>0</v>
      </c>
      <c r="O147" s="55">
        <v>0</v>
      </c>
      <c r="P147" s="56">
        <v>0</v>
      </c>
      <c r="Q147" s="51">
        <v>0</v>
      </c>
      <c r="R147" s="51">
        <v>0</v>
      </c>
      <c r="S147" s="17"/>
      <c r="T147" s="51">
        <v>0</v>
      </c>
      <c r="U147" s="51">
        <v>0</v>
      </c>
      <c r="V147" s="51">
        <v>0</v>
      </c>
    </row>
    <row r="148" ht="136.5" customHeight="1">
      <c r="A148" t="s" s="21">
        <v>164</v>
      </c>
      <c r="B148" s="22">
        <f>SUM(C148,G148)</f>
        <v>42300</v>
      </c>
      <c r="C148" s="23">
        <f>SUM(H148,I148,J148,K148,L148,M148,N148,O148,P148,Q148,R148,S148,T148,U148,V148)</f>
        <v>41700</v>
      </c>
      <c r="D148" s="36"/>
      <c r="E148" s="25"/>
      <c r="F148" s="25"/>
      <c r="G148" s="37">
        <v>600</v>
      </c>
      <c r="H148" s="27">
        <v>10000</v>
      </c>
      <c r="I148" s="28">
        <v>15000</v>
      </c>
      <c r="J148" s="28">
        <v>12000</v>
      </c>
      <c r="K148" s="28">
        <v>4000</v>
      </c>
      <c r="L148" s="28">
        <v>700</v>
      </c>
      <c r="M148" s="30">
        <v>0</v>
      </c>
      <c r="N148" s="30">
        <v>0</v>
      </c>
      <c r="O148" s="30">
        <v>0</v>
      </c>
      <c r="P148" s="41">
        <v>0</v>
      </c>
      <c r="Q148" s="28">
        <v>0</v>
      </c>
      <c r="R148" s="28">
        <v>0</v>
      </c>
      <c r="S148" s="33"/>
      <c r="T148" s="28">
        <v>0</v>
      </c>
      <c r="U148" s="28">
        <v>0</v>
      </c>
      <c r="V148" s="28">
        <v>0</v>
      </c>
    </row>
    <row r="149" ht="31.5" customHeight="1">
      <c r="A149" t="s" s="52">
        <v>165</v>
      </c>
      <c r="B149" s="42">
        <f>SUM(C149,G149)</f>
        <v>0</v>
      </c>
      <c r="C149" s="43">
        <f>SUM(H149,I149,J149,K149,L149,M149,N149,O149,P149,Q149,R149,S149,T149,U149,V149)</f>
        <v>0</v>
      </c>
      <c r="D149" s="44"/>
      <c r="E149" s="45"/>
      <c r="F149" s="45"/>
      <c r="G149" s="45"/>
      <c r="H149" s="27">
        <v>0</v>
      </c>
      <c r="I149" s="51">
        <v>0</v>
      </c>
      <c r="J149" s="47"/>
      <c r="K149" s="51">
        <v>0</v>
      </c>
      <c r="L149" s="51">
        <v>0</v>
      </c>
      <c r="M149" s="48">
        <v>0</v>
      </c>
      <c r="N149" s="48">
        <v>0</v>
      </c>
      <c r="O149" s="55">
        <v>0</v>
      </c>
      <c r="P149" s="58">
        <v>0</v>
      </c>
      <c r="Q149" s="51">
        <v>0</v>
      </c>
      <c r="R149" s="51">
        <v>0</v>
      </c>
      <c r="S149" s="45"/>
      <c r="T149" s="51">
        <v>0</v>
      </c>
      <c r="U149" s="51">
        <v>0</v>
      </c>
      <c r="V149" s="51">
        <v>0</v>
      </c>
    </row>
    <row r="150" ht="19.5" customHeight="1">
      <c r="A150" t="s" s="67">
        <v>166</v>
      </c>
      <c r="B150" s="42">
        <f>SUM(C150,G150)</f>
        <v>0</v>
      </c>
      <c r="C150" s="43">
        <f>SUM(H150,I150,J150,K150,L150,M150,N150,O150,P150,Q150,R150,S150,T150,U150,V150)</f>
        <v>0</v>
      </c>
      <c r="D150" s="44"/>
      <c r="E150" s="6"/>
      <c r="F150" s="6"/>
      <c r="G150" s="6"/>
      <c r="H150" s="46"/>
      <c r="I150" s="47"/>
      <c r="J150" s="47"/>
      <c r="K150" s="47"/>
      <c r="L150" s="47"/>
      <c r="M150" s="48">
        <v>0</v>
      </c>
      <c r="N150" s="49"/>
      <c r="O150" s="50"/>
      <c r="P150" s="6"/>
      <c r="Q150" s="51">
        <v>0</v>
      </c>
      <c r="R150" s="47"/>
      <c r="S150" s="6"/>
      <c r="T150" s="47"/>
      <c r="U150" s="47"/>
      <c r="V150" s="51">
        <v>0</v>
      </c>
    </row>
    <row r="151" ht="19.5" customHeight="1">
      <c r="A151" t="s" s="52">
        <v>167</v>
      </c>
      <c r="B151" s="42">
        <f>SUM(C151,G151)</f>
        <v>23350</v>
      </c>
      <c r="C151" s="43">
        <f>SUM(H151,I151,J151,K151,L151,M151,N151,O151,P151,Q151,R151,S151,T151,U151,V151)</f>
        <v>23350</v>
      </c>
      <c r="D151" s="44"/>
      <c r="E151" s="6"/>
      <c r="F151" s="6"/>
      <c r="G151" s="6"/>
      <c r="H151" s="27">
        <v>4000</v>
      </c>
      <c r="I151" s="51">
        <v>0</v>
      </c>
      <c r="J151" s="51">
        <v>3000</v>
      </c>
      <c r="K151" s="51">
        <v>12000</v>
      </c>
      <c r="L151" s="51">
        <v>500</v>
      </c>
      <c r="M151" s="48">
        <v>1000</v>
      </c>
      <c r="N151" s="48">
        <v>1550</v>
      </c>
      <c r="O151" s="55">
        <v>0</v>
      </c>
      <c r="P151" s="53">
        <v>1000</v>
      </c>
      <c r="Q151" s="51">
        <v>0</v>
      </c>
      <c r="R151" s="51">
        <v>300</v>
      </c>
      <c r="S151" s="6"/>
      <c r="T151" s="51">
        <v>0</v>
      </c>
      <c r="U151" s="51">
        <v>0</v>
      </c>
      <c r="V151" s="51">
        <v>0</v>
      </c>
    </row>
    <row r="152" ht="362.25" customHeight="1">
      <c r="A152" t="s" s="78">
        <v>168</v>
      </c>
      <c r="B152" s="42">
        <f>SUM(C152,G152)</f>
        <v>1100</v>
      </c>
      <c r="C152" s="43">
        <f>SUM(H152,I152,J152,K152,L152,M152,N152,O152,P152,Q152,R152,S152,T152,U152,V152)</f>
        <v>1100</v>
      </c>
      <c r="D152" s="44"/>
      <c r="E152" s="17"/>
      <c r="F152" s="17"/>
      <c r="G152" s="17"/>
      <c r="H152" s="27">
        <v>0</v>
      </c>
      <c r="I152" s="51">
        <v>0</v>
      </c>
      <c r="J152" s="51">
        <v>600</v>
      </c>
      <c r="K152" s="51">
        <v>500</v>
      </c>
      <c r="L152" s="51">
        <v>0</v>
      </c>
      <c r="M152" s="48">
        <v>0</v>
      </c>
      <c r="N152" s="48">
        <v>0</v>
      </c>
      <c r="O152" s="55">
        <v>0</v>
      </c>
      <c r="P152" s="56">
        <v>0</v>
      </c>
      <c r="Q152" s="51">
        <v>0</v>
      </c>
      <c r="R152" s="51">
        <v>0</v>
      </c>
      <c r="S152" s="17"/>
      <c r="T152" s="51">
        <v>0</v>
      </c>
      <c r="U152" s="51">
        <v>0</v>
      </c>
      <c r="V152" s="51">
        <v>0</v>
      </c>
    </row>
    <row r="153" ht="346.5" customHeight="1">
      <c r="A153" t="s" s="10">
        <v>169</v>
      </c>
      <c r="B153" s="34">
        <f>SUM(C153,G153)</f>
        <v>500</v>
      </c>
      <c r="C153" s="35">
        <f>SUM(H153,I153,J153,K153,L153,M153,N153,O153,P153,Q153,R153,S153,T153,U153,V153)</f>
        <v>500</v>
      </c>
      <c r="D153" s="36"/>
      <c r="E153" s="25"/>
      <c r="F153" s="25"/>
      <c r="G153" s="26"/>
      <c r="H153" s="27">
        <v>200</v>
      </c>
      <c r="I153" s="38">
        <v>0</v>
      </c>
      <c r="J153" s="38">
        <v>300</v>
      </c>
      <c r="K153" s="38">
        <v>0</v>
      </c>
      <c r="L153" s="38">
        <v>0</v>
      </c>
      <c r="M153" s="79"/>
      <c r="N153" s="40">
        <v>0</v>
      </c>
      <c r="O153" s="40">
        <v>0</v>
      </c>
      <c r="P153" s="41">
        <v>0</v>
      </c>
      <c r="Q153" s="38">
        <v>0</v>
      </c>
      <c r="R153" s="38">
        <v>0</v>
      </c>
      <c r="S153" s="33"/>
      <c r="T153" s="80"/>
      <c r="U153" s="38">
        <v>0</v>
      </c>
      <c r="V153" s="80"/>
    </row>
    <row r="154" ht="19.5" customHeight="1">
      <c r="A154" t="s" s="52">
        <v>170</v>
      </c>
      <c r="B154" s="42">
        <f>SUM(C154,G154)</f>
        <v>600</v>
      </c>
      <c r="C154" s="43">
        <f>SUM(H154,I154,J154,K154,L154,M154,N154,O154,P154,Q154,R154,S154,T154,U154,V154)</f>
        <v>600</v>
      </c>
      <c r="D154" s="44"/>
      <c r="E154" s="45"/>
      <c r="F154" s="45"/>
      <c r="G154" s="45"/>
      <c r="H154" s="27">
        <v>500</v>
      </c>
      <c r="I154" s="51">
        <v>0</v>
      </c>
      <c r="J154" s="51">
        <v>0</v>
      </c>
      <c r="K154" s="51">
        <v>100</v>
      </c>
      <c r="L154" s="51">
        <v>0</v>
      </c>
      <c r="M154" s="48">
        <v>0</v>
      </c>
      <c r="N154" s="48">
        <v>0</v>
      </c>
      <c r="O154" s="55">
        <v>0</v>
      </c>
      <c r="P154" s="58">
        <v>0</v>
      </c>
      <c r="Q154" s="51">
        <v>0</v>
      </c>
      <c r="R154" s="51">
        <v>0</v>
      </c>
      <c r="S154" s="45"/>
      <c r="T154" s="51">
        <v>0</v>
      </c>
      <c r="U154" s="51">
        <v>0</v>
      </c>
      <c r="V154" s="51">
        <v>0</v>
      </c>
    </row>
    <row r="155" ht="31.5" customHeight="1">
      <c r="A155" t="s" s="52">
        <v>171</v>
      </c>
      <c r="B155" s="42">
        <f>SUM(C155,G155)</f>
        <v>41000</v>
      </c>
      <c r="C155" s="43">
        <f>SUM(H155,I155,J155,K155,L155,M155,N155,O155,P155,Q155,R155,S155,T155,U155,V155)</f>
        <v>41000</v>
      </c>
      <c r="D155" s="44"/>
      <c r="E155" s="17"/>
      <c r="F155" s="17"/>
      <c r="G155" s="17"/>
      <c r="H155" s="27">
        <v>10000</v>
      </c>
      <c r="I155" s="51">
        <v>0</v>
      </c>
      <c r="J155" s="51">
        <v>5000</v>
      </c>
      <c r="K155" s="51">
        <v>6000</v>
      </c>
      <c r="L155" s="51">
        <v>0</v>
      </c>
      <c r="M155" s="48">
        <v>0</v>
      </c>
      <c r="N155" s="48">
        <v>0</v>
      </c>
      <c r="O155" s="55">
        <v>0</v>
      </c>
      <c r="P155" s="56">
        <v>0</v>
      </c>
      <c r="Q155" s="51">
        <v>0</v>
      </c>
      <c r="R155" s="51">
        <v>10000</v>
      </c>
      <c r="S155" s="81">
        <v>10000</v>
      </c>
      <c r="T155" s="51">
        <v>0</v>
      </c>
      <c r="U155" s="51">
        <v>0</v>
      </c>
      <c r="V155" s="51">
        <v>0</v>
      </c>
    </row>
    <row r="156" ht="136.5" customHeight="1">
      <c r="A156" t="s" s="10">
        <v>172</v>
      </c>
      <c r="B156" s="34">
        <f>SUM(C156,G156)</f>
        <v>5715</v>
      </c>
      <c r="C156" s="35">
        <f>SUM(H156,I156,J156,K156,L156,M156,N156,O156,P156,Q156,R156,S156,T156,U156,V156)</f>
        <v>5715</v>
      </c>
      <c r="D156" s="36"/>
      <c r="E156" s="25"/>
      <c r="F156" s="25"/>
      <c r="G156" s="26"/>
      <c r="H156" s="27">
        <v>4000</v>
      </c>
      <c r="I156" s="38">
        <v>1000</v>
      </c>
      <c r="J156" s="38">
        <v>100</v>
      </c>
      <c r="K156" s="38">
        <v>600</v>
      </c>
      <c r="L156" s="38">
        <v>15</v>
      </c>
      <c r="M156" s="40">
        <v>0</v>
      </c>
      <c r="N156" s="40">
        <v>0</v>
      </c>
      <c r="O156" s="40">
        <v>0</v>
      </c>
      <c r="P156" s="41">
        <v>0</v>
      </c>
      <c r="Q156" s="38">
        <v>0</v>
      </c>
      <c r="R156" s="38">
        <v>0</v>
      </c>
      <c r="S156" s="33"/>
      <c r="T156" s="38">
        <v>0</v>
      </c>
      <c r="U156" s="38">
        <v>0</v>
      </c>
      <c r="V156" s="38">
        <v>0</v>
      </c>
    </row>
    <row r="157" ht="19.5" customHeight="1">
      <c r="A157" t="s" s="52">
        <v>173</v>
      </c>
      <c r="B157" s="42">
        <f>SUM(C157,G157)</f>
        <v>5250</v>
      </c>
      <c r="C157" s="43">
        <f>SUM(H157,I157,J157,K157,L157,M157,N157,O157,P157,Q157,R157,S157,T157,U157,V157)</f>
        <v>5250</v>
      </c>
      <c r="D157" s="44"/>
      <c r="E157" s="33"/>
      <c r="F157" s="33"/>
      <c r="G157" s="33"/>
      <c r="H157" s="27">
        <v>400</v>
      </c>
      <c r="I157" s="51">
        <v>0</v>
      </c>
      <c r="J157" s="51">
        <v>0</v>
      </c>
      <c r="K157" s="51">
        <v>600</v>
      </c>
      <c r="L157" s="51">
        <v>0</v>
      </c>
      <c r="M157" s="48">
        <v>500</v>
      </c>
      <c r="N157" s="48">
        <v>750</v>
      </c>
      <c r="O157" s="55">
        <v>0</v>
      </c>
      <c r="P157" s="41">
        <v>3000</v>
      </c>
      <c r="Q157" s="51">
        <v>0</v>
      </c>
      <c r="R157" s="51">
        <v>0</v>
      </c>
      <c r="S157" s="33"/>
      <c r="T157" s="51">
        <v>0</v>
      </c>
      <c r="U157" s="51">
        <v>0</v>
      </c>
      <c r="V157" s="51">
        <v>0</v>
      </c>
    </row>
    <row r="158" ht="31.5" customHeight="1">
      <c r="A158" t="s" s="21">
        <v>174</v>
      </c>
      <c r="B158" s="22">
        <f>SUM(C158,G158)</f>
        <v>2370</v>
      </c>
      <c r="C158" s="23">
        <f>SUM(H158,I158,J158,K158,L158,M158,N158,O158,P158,Q158,R158,S158,T158,U158,V158)</f>
        <v>2370</v>
      </c>
      <c r="D158" s="36"/>
      <c r="E158" s="25"/>
      <c r="F158" s="25"/>
      <c r="G158" s="26"/>
      <c r="H158" s="27">
        <v>2000</v>
      </c>
      <c r="I158" s="28">
        <v>100</v>
      </c>
      <c r="J158" s="28">
        <v>70</v>
      </c>
      <c r="K158" s="28">
        <v>200</v>
      </c>
      <c r="L158" s="28">
        <v>0</v>
      </c>
      <c r="M158" s="30">
        <v>0</v>
      </c>
      <c r="N158" s="30">
        <v>0</v>
      </c>
      <c r="O158" s="30">
        <v>0</v>
      </c>
      <c r="P158" s="41">
        <v>0</v>
      </c>
      <c r="Q158" s="28">
        <v>0</v>
      </c>
      <c r="R158" s="28">
        <v>0</v>
      </c>
      <c r="S158" s="33"/>
      <c r="T158" s="28">
        <v>0</v>
      </c>
      <c r="U158" s="28">
        <v>0</v>
      </c>
      <c r="V158" s="28">
        <v>0</v>
      </c>
    </row>
    <row r="159" ht="31.5" customHeight="1">
      <c r="A159" t="s" s="21">
        <v>175</v>
      </c>
      <c r="B159" s="22">
        <f>SUM(C159,G159)</f>
        <v>8700</v>
      </c>
      <c r="C159" s="23">
        <f>SUM(H159,I159,J159,K159,L159,M159,N159,O159,P159,Q159,R159,S159,T159,U159,V159)</f>
        <v>8700</v>
      </c>
      <c r="D159" s="36"/>
      <c r="E159" s="25"/>
      <c r="F159" s="25"/>
      <c r="G159" s="26"/>
      <c r="H159" s="27">
        <v>7000</v>
      </c>
      <c r="I159" s="28">
        <v>0</v>
      </c>
      <c r="J159" s="28">
        <v>0</v>
      </c>
      <c r="K159" s="28">
        <v>200</v>
      </c>
      <c r="L159" s="28">
        <v>1500</v>
      </c>
      <c r="M159" s="30">
        <v>0</v>
      </c>
      <c r="N159" s="30">
        <v>0</v>
      </c>
      <c r="O159" s="30">
        <v>0</v>
      </c>
      <c r="P159" s="41">
        <v>0</v>
      </c>
      <c r="Q159" s="28">
        <v>0</v>
      </c>
      <c r="R159" s="28">
        <v>0</v>
      </c>
      <c r="S159" s="33"/>
      <c r="T159" s="28">
        <v>0</v>
      </c>
      <c r="U159" s="28">
        <v>0</v>
      </c>
      <c r="V159" s="28">
        <v>0</v>
      </c>
    </row>
    <row r="160" ht="47.25" customHeight="1">
      <c r="A160" t="s" s="52">
        <v>176</v>
      </c>
      <c r="B160" s="42">
        <f>SUM(C160,G160)</f>
        <v>100</v>
      </c>
      <c r="C160" s="43">
        <f>SUM(H160,I160,J160,K160,L160,M160,N160,O160,P160,Q160,R160,S160,T160,U160,V160)</f>
        <v>100</v>
      </c>
      <c r="D160" s="44"/>
      <c r="E160" s="45"/>
      <c r="F160" s="45"/>
      <c r="G160" s="45"/>
      <c r="H160" s="27">
        <v>100</v>
      </c>
      <c r="I160" s="51">
        <v>0</v>
      </c>
      <c r="J160" s="51">
        <v>0</v>
      </c>
      <c r="K160" s="51">
        <v>0</v>
      </c>
      <c r="L160" s="51">
        <v>0</v>
      </c>
      <c r="M160" s="48">
        <v>0</v>
      </c>
      <c r="N160" s="48">
        <v>0</v>
      </c>
      <c r="O160" s="55">
        <v>0</v>
      </c>
      <c r="P160" s="58">
        <v>0</v>
      </c>
      <c r="Q160" s="51">
        <v>0</v>
      </c>
      <c r="R160" s="51">
        <v>0</v>
      </c>
      <c r="S160" s="45"/>
      <c r="T160" s="51">
        <v>0</v>
      </c>
      <c r="U160" s="51">
        <v>0</v>
      </c>
      <c r="V160" s="51">
        <v>0</v>
      </c>
    </row>
    <row r="161" ht="31.5" customHeight="1">
      <c r="A161" t="s" s="52">
        <v>177</v>
      </c>
      <c r="B161" s="42">
        <f>SUM(C161,G161)</f>
        <v>530</v>
      </c>
      <c r="C161" s="43">
        <f>SUM(H161,I161,J161,K161,L161,M161,N161,O161,P161,Q161,R161,S161,T161,U161,V161)</f>
        <v>530</v>
      </c>
      <c r="D161" s="44"/>
      <c r="E161" s="17"/>
      <c r="F161" s="17"/>
      <c r="G161" s="17"/>
      <c r="H161" s="27">
        <v>20</v>
      </c>
      <c r="I161" s="51">
        <v>100</v>
      </c>
      <c r="J161" s="51">
        <v>400</v>
      </c>
      <c r="K161" s="51">
        <v>10</v>
      </c>
      <c r="L161" s="51">
        <v>0</v>
      </c>
      <c r="M161" s="48">
        <v>0</v>
      </c>
      <c r="N161" s="48">
        <v>0</v>
      </c>
      <c r="O161" s="55">
        <v>0</v>
      </c>
      <c r="P161" s="56">
        <v>0</v>
      </c>
      <c r="Q161" s="51">
        <v>0</v>
      </c>
      <c r="R161" s="51">
        <v>0</v>
      </c>
      <c r="S161" s="17"/>
      <c r="T161" s="51">
        <v>0</v>
      </c>
      <c r="U161" s="51">
        <v>0</v>
      </c>
      <c r="V161" s="51">
        <v>0</v>
      </c>
    </row>
    <row r="162" ht="156" customHeight="1">
      <c r="A162" t="s" s="21">
        <v>178</v>
      </c>
      <c r="B162" s="22">
        <f>SUM(C162,G162)</f>
        <v>670</v>
      </c>
      <c r="C162" s="23">
        <f>SUM(H162,I162,J162,K162,L162,M162,N162,O162,P162,Q162,R162,S162,T162,U162,V162)</f>
        <v>670</v>
      </c>
      <c r="D162" s="36"/>
      <c r="E162" s="25"/>
      <c r="F162" s="25"/>
      <c r="G162" s="26"/>
      <c r="H162" s="27">
        <v>500</v>
      </c>
      <c r="I162" s="28">
        <v>100</v>
      </c>
      <c r="J162" s="28">
        <v>50</v>
      </c>
      <c r="K162" s="28">
        <v>20</v>
      </c>
      <c r="L162" s="28">
        <v>0</v>
      </c>
      <c r="M162" s="30">
        <v>0</v>
      </c>
      <c r="N162" s="30">
        <v>0</v>
      </c>
      <c r="O162" s="30">
        <v>0</v>
      </c>
      <c r="P162" s="41">
        <v>0</v>
      </c>
      <c r="Q162" s="28">
        <v>0</v>
      </c>
      <c r="R162" s="28">
        <v>0</v>
      </c>
      <c r="S162" s="33"/>
      <c r="T162" s="28">
        <v>0</v>
      </c>
      <c r="U162" s="28">
        <v>0</v>
      </c>
      <c r="V162" s="28">
        <v>0</v>
      </c>
    </row>
    <row r="163" ht="39" customHeight="1">
      <c r="A163" t="s" s="71">
        <v>179</v>
      </c>
      <c r="B163" s="42">
        <f>SUM(C163,G163)</f>
        <v>1000</v>
      </c>
      <c r="C163" s="43">
        <f>SUM(H163,I163,J163,K163,L163,M163,N163,O163,P163,Q163,R163,S163,T163,U163,V163)</f>
        <v>1000</v>
      </c>
      <c r="D163" s="44"/>
      <c r="E163" s="45"/>
      <c r="F163" s="45"/>
      <c r="G163" s="45"/>
      <c r="H163" s="27">
        <v>1000</v>
      </c>
      <c r="I163" s="51">
        <v>0</v>
      </c>
      <c r="J163" s="51">
        <v>0</v>
      </c>
      <c r="K163" s="51">
        <v>0</v>
      </c>
      <c r="L163" s="51">
        <v>0</v>
      </c>
      <c r="M163" s="48">
        <v>0</v>
      </c>
      <c r="N163" s="48">
        <v>0</v>
      </c>
      <c r="O163" s="55">
        <v>0</v>
      </c>
      <c r="P163" s="58">
        <v>0</v>
      </c>
      <c r="Q163" s="51">
        <v>0</v>
      </c>
      <c r="R163" s="51">
        <v>0</v>
      </c>
      <c r="S163" s="45"/>
      <c r="T163" s="51">
        <v>0</v>
      </c>
      <c r="U163" s="51">
        <v>0</v>
      </c>
      <c r="V163" s="51">
        <v>0</v>
      </c>
    </row>
    <row r="164" ht="47.25" customHeight="1">
      <c r="A164" t="s" s="78">
        <v>180</v>
      </c>
      <c r="B164" s="42">
        <f>SUM(C164,G164)</f>
        <v>500</v>
      </c>
      <c r="C164" s="43">
        <f>SUM(H164,I164,J164,K164,L164,M164,N164,O164,P164,Q164,R164,S164,T164,U164,V164)</f>
        <v>500</v>
      </c>
      <c r="D164" s="44"/>
      <c r="E164" s="6"/>
      <c r="F164" s="6"/>
      <c r="G164" s="6"/>
      <c r="H164" s="27">
        <v>500</v>
      </c>
      <c r="I164" s="51">
        <v>0</v>
      </c>
      <c r="J164" s="51">
        <v>0</v>
      </c>
      <c r="K164" s="51">
        <v>0</v>
      </c>
      <c r="L164" s="51">
        <v>0</v>
      </c>
      <c r="M164" s="48">
        <v>0</v>
      </c>
      <c r="N164" s="48">
        <v>0</v>
      </c>
      <c r="O164" s="55">
        <v>0</v>
      </c>
      <c r="P164" s="53">
        <v>0</v>
      </c>
      <c r="Q164" s="51">
        <v>0</v>
      </c>
      <c r="R164" s="51">
        <v>0</v>
      </c>
      <c r="S164" s="6"/>
      <c r="T164" s="51">
        <v>0</v>
      </c>
      <c r="U164" s="51">
        <v>0</v>
      </c>
      <c r="V164" s="51">
        <v>0</v>
      </c>
    </row>
    <row r="165" ht="31.5" customHeight="1">
      <c r="A165" t="s" s="67">
        <v>181</v>
      </c>
      <c r="B165" s="42">
        <f>SUM(C165,G165)</f>
        <v>0</v>
      </c>
      <c r="C165" s="43">
        <f>SUM(H165,I165,J165,K165,L165,M165,N165,O165,P165,Q165,R165,S165,T165,U165,V165)</f>
        <v>0</v>
      </c>
      <c r="D165" s="44"/>
      <c r="E165" s="6"/>
      <c r="F165" s="6"/>
      <c r="G165" s="6"/>
      <c r="H165" s="46"/>
      <c r="I165" s="47"/>
      <c r="J165" s="47"/>
      <c r="K165" s="47"/>
      <c r="L165" s="47"/>
      <c r="M165" s="48">
        <v>0</v>
      </c>
      <c r="N165" s="49"/>
      <c r="O165" s="50"/>
      <c r="P165" s="6"/>
      <c r="Q165" s="51">
        <v>0</v>
      </c>
      <c r="R165" s="47"/>
      <c r="S165" s="6"/>
      <c r="T165" s="47"/>
      <c r="U165" s="47"/>
      <c r="V165" s="51">
        <v>0</v>
      </c>
    </row>
    <row r="166" ht="47.25" customHeight="1">
      <c r="A166" t="s" s="52">
        <v>182</v>
      </c>
      <c r="B166" s="42">
        <f>SUM(C166,G166)</f>
        <v>400</v>
      </c>
      <c r="C166" s="43">
        <f>SUM(H166,I166,J166,K166,L166,M166,N166,O166,P166,Q166,R166,S166,T166,U166,V166)</f>
        <v>400</v>
      </c>
      <c r="D166" s="44"/>
      <c r="E166" s="17"/>
      <c r="F166" s="17"/>
      <c r="G166" s="17"/>
      <c r="H166" s="27">
        <v>100</v>
      </c>
      <c r="I166" s="51">
        <v>0</v>
      </c>
      <c r="J166" s="51">
        <v>0</v>
      </c>
      <c r="K166" s="51">
        <v>300</v>
      </c>
      <c r="L166" s="51">
        <v>0</v>
      </c>
      <c r="M166" s="48">
        <v>0</v>
      </c>
      <c r="N166" s="48">
        <v>0</v>
      </c>
      <c r="O166" s="55">
        <v>0</v>
      </c>
      <c r="P166" s="56">
        <v>0</v>
      </c>
      <c r="Q166" s="51">
        <v>0</v>
      </c>
      <c r="R166" s="51">
        <v>0</v>
      </c>
      <c r="S166" s="17"/>
      <c r="T166" s="51">
        <v>0</v>
      </c>
      <c r="U166" s="51">
        <v>0</v>
      </c>
      <c r="V166" s="51">
        <v>0</v>
      </c>
    </row>
    <row r="167" ht="39" customHeight="1">
      <c r="A167" t="s" s="10">
        <v>183</v>
      </c>
      <c r="B167" s="34">
        <f>SUM(C167,G167)</f>
        <v>1100</v>
      </c>
      <c r="C167" s="35">
        <f>SUM(H167,I167,J167,K167,L167,M167,N167,O167,P167,Q167,R167,S167,T167,U167,V167)</f>
        <v>1100</v>
      </c>
      <c r="D167" s="36"/>
      <c r="E167" s="25"/>
      <c r="F167" s="25"/>
      <c r="G167" s="26"/>
      <c r="H167" s="27">
        <v>100</v>
      </c>
      <c r="I167" s="38">
        <v>0</v>
      </c>
      <c r="J167" s="38">
        <v>1000</v>
      </c>
      <c r="K167" s="38">
        <v>0</v>
      </c>
      <c r="L167" s="38">
        <v>0</v>
      </c>
      <c r="M167" s="40">
        <v>0</v>
      </c>
      <c r="N167" s="40">
        <v>0</v>
      </c>
      <c r="O167" s="40">
        <v>0</v>
      </c>
      <c r="P167" s="41">
        <v>0</v>
      </c>
      <c r="Q167" s="38">
        <v>0</v>
      </c>
      <c r="R167" s="38">
        <v>0</v>
      </c>
      <c r="S167" s="33"/>
      <c r="T167" s="38">
        <v>0</v>
      </c>
      <c r="U167" s="38">
        <v>0</v>
      </c>
      <c r="V167" s="38">
        <v>0</v>
      </c>
    </row>
    <row r="168" ht="47.25" customHeight="1">
      <c r="A168" t="s" s="67">
        <v>184</v>
      </c>
      <c r="B168" s="42">
        <f>SUM(C168,G168)</f>
        <v>0</v>
      </c>
      <c r="C168" s="43">
        <f>SUM(H168,I168,J168,K168,L168,M168,N168,O168,P168,Q168,R168,S168,T168,U168,V168)</f>
        <v>0</v>
      </c>
      <c r="D168" s="44"/>
      <c r="E168" s="33"/>
      <c r="F168" s="33"/>
      <c r="G168" s="33"/>
      <c r="H168" s="46"/>
      <c r="I168" s="47"/>
      <c r="J168" s="47"/>
      <c r="K168" s="47"/>
      <c r="L168" s="47"/>
      <c r="M168" s="48">
        <v>0</v>
      </c>
      <c r="N168" s="49"/>
      <c r="O168" s="50"/>
      <c r="P168" s="33"/>
      <c r="Q168" s="51">
        <v>0</v>
      </c>
      <c r="R168" s="47"/>
      <c r="S168" s="33"/>
      <c r="T168" s="47"/>
      <c r="U168" s="47"/>
      <c r="V168" s="51">
        <v>0</v>
      </c>
    </row>
    <row r="169" ht="19.5" customHeight="1">
      <c r="A169" t="s" s="21">
        <v>185</v>
      </c>
      <c r="B169" s="22">
        <f>SUM(C169,G169)</f>
        <v>4600</v>
      </c>
      <c r="C169" s="23">
        <f>SUM(H169,I169,J169,K169,L169,M169,N169,O169,P169,Q169,R169,S169,T169,U169,V169)</f>
        <v>4600</v>
      </c>
      <c r="D169" s="36"/>
      <c r="E169" s="25"/>
      <c r="F169" s="25"/>
      <c r="G169" s="26"/>
      <c r="H169" s="27">
        <v>1000</v>
      </c>
      <c r="I169" s="28">
        <v>0</v>
      </c>
      <c r="J169" s="28">
        <v>1500</v>
      </c>
      <c r="K169" s="28">
        <v>100</v>
      </c>
      <c r="L169" s="28">
        <v>0</v>
      </c>
      <c r="M169" s="30">
        <v>0</v>
      </c>
      <c r="N169" s="30">
        <v>0</v>
      </c>
      <c r="O169" s="30">
        <v>0</v>
      </c>
      <c r="P169" s="41">
        <v>0</v>
      </c>
      <c r="Q169" s="28">
        <v>0</v>
      </c>
      <c r="R169" s="28">
        <v>0</v>
      </c>
      <c r="S169" s="75">
        <v>2000</v>
      </c>
      <c r="T169" s="28">
        <v>0</v>
      </c>
      <c r="U169" s="28">
        <v>0</v>
      </c>
      <c r="V169" s="28">
        <v>0</v>
      </c>
    </row>
    <row r="170" ht="156" customHeight="1">
      <c r="A170" t="s" s="52">
        <v>186</v>
      </c>
      <c r="B170" s="42">
        <f>SUM(C170,G170)</f>
        <v>0</v>
      </c>
      <c r="C170" s="43">
        <f>SUM(H170,I170,J170,K170,L170,M170,N170,O170,P170,Q170,R170,S170,T170,U170,V170)</f>
        <v>0</v>
      </c>
      <c r="D170" s="44"/>
      <c r="E170" s="45"/>
      <c r="F170" s="45"/>
      <c r="G170" s="45"/>
      <c r="H170" s="27">
        <v>0</v>
      </c>
      <c r="I170" s="51">
        <v>0</v>
      </c>
      <c r="J170" s="51">
        <v>0</v>
      </c>
      <c r="K170" s="51">
        <v>0</v>
      </c>
      <c r="L170" s="51">
        <v>0</v>
      </c>
      <c r="M170" s="48">
        <v>0</v>
      </c>
      <c r="N170" s="48">
        <v>0</v>
      </c>
      <c r="O170" s="55">
        <v>0</v>
      </c>
      <c r="P170" s="58">
        <v>0</v>
      </c>
      <c r="Q170" s="51">
        <v>0</v>
      </c>
      <c r="R170" s="51">
        <v>0</v>
      </c>
      <c r="S170" s="45"/>
      <c r="T170" s="51">
        <v>0</v>
      </c>
      <c r="U170" s="51">
        <v>0</v>
      </c>
      <c r="V170" s="51">
        <v>0</v>
      </c>
    </row>
    <row r="171" ht="31.5" customHeight="1">
      <c r="A171" t="s" s="67">
        <v>187</v>
      </c>
      <c r="B171" s="42">
        <f>SUM(C171,G171)</f>
        <v>0</v>
      </c>
      <c r="C171" s="43">
        <f>SUM(H171,I171,J171,K171,L171,M171,N171,O171,P171,Q171,R171,S171,T171,U171,V171)</f>
        <v>0</v>
      </c>
      <c r="D171" s="44"/>
      <c r="E171" s="6"/>
      <c r="F171" s="6"/>
      <c r="G171" s="6"/>
      <c r="H171" s="46"/>
      <c r="I171" s="47"/>
      <c r="J171" s="47"/>
      <c r="K171" s="47"/>
      <c r="L171" s="47"/>
      <c r="M171" s="48">
        <v>0</v>
      </c>
      <c r="N171" s="49"/>
      <c r="O171" s="50"/>
      <c r="P171" s="6"/>
      <c r="Q171" s="51">
        <v>0</v>
      </c>
      <c r="R171" s="47"/>
      <c r="S171" s="6"/>
      <c r="T171" s="47"/>
      <c r="U171" s="47"/>
      <c r="V171" s="51">
        <v>0</v>
      </c>
    </row>
    <row r="172" ht="19.5" customHeight="1">
      <c r="A172" t="s" s="82">
        <v>188</v>
      </c>
      <c r="B172" s="42">
        <f>SUM(C172,G172)</f>
        <v>0</v>
      </c>
      <c r="C172" s="43">
        <f>SUM(H172,I172,J172,K172,L172,M172,N172,O172,P172,Q172,R172,S172,T172,U172,V172)</f>
        <v>0</v>
      </c>
      <c r="D172" s="44"/>
      <c r="E172" s="17"/>
      <c r="F172" s="17"/>
      <c r="G172" s="17"/>
      <c r="H172" s="46"/>
      <c r="I172" s="47"/>
      <c r="J172" s="47"/>
      <c r="K172" s="47"/>
      <c r="L172" s="47"/>
      <c r="M172" s="48">
        <v>0</v>
      </c>
      <c r="N172" s="49"/>
      <c r="O172" s="50"/>
      <c r="P172" s="17"/>
      <c r="Q172" s="51">
        <v>0</v>
      </c>
      <c r="R172" s="47"/>
      <c r="S172" s="17"/>
      <c r="T172" s="47"/>
      <c r="U172" s="47"/>
      <c r="V172" s="51">
        <v>0</v>
      </c>
    </row>
    <row r="173" ht="156" customHeight="1">
      <c r="A173" t="s" s="10">
        <v>189</v>
      </c>
      <c r="B173" s="34">
        <f>SUM(C173,G173)</f>
        <v>1000</v>
      </c>
      <c r="C173" s="35">
        <f>SUM(H173,I173,J173,K173,L173,M173,N173,O173,P173,Q173,R173,S173,T173,U173,V173)</f>
        <v>1000</v>
      </c>
      <c r="D173" s="36"/>
      <c r="E173" s="25"/>
      <c r="F173" s="25"/>
      <c r="G173" s="26"/>
      <c r="H173" s="27">
        <v>1000</v>
      </c>
      <c r="I173" s="38">
        <v>0</v>
      </c>
      <c r="J173" s="38">
        <v>0</v>
      </c>
      <c r="K173" s="38">
        <v>0</v>
      </c>
      <c r="L173" s="38">
        <v>0</v>
      </c>
      <c r="M173" s="40">
        <v>0</v>
      </c>
      <c r="N173" s="40">
        <v>0</v>
      </c>
      <c r="O173" s="40">
        <v>0</v>
      </c>
      <c r="P173" s="41">
        <v>0</v>
      </c>
      <c r="Q173" s="38">
        <v>0</v>
      </c>
      <c r="R173" s="38">
        <v>0</v>
      </c>
      <c r="S173" s="33"/>
      <c r="T173" s="38">
        <v>0</v>
      </c>
      <c r="U173" s="38">
        <v>0</v>
      </c>
      <c r="V173" s="38">
        <v>0</v>
      </c>
    </row>
    <row r="174" ht="19.5" customHeight="1">
      <c r="A174" t="s" s="82">
        <v>190</v>
      </c>
      <c r="B174" s="42">
        <f>SUM(C174,G174)</f>
        <v>0</v>
      </c>
      <c r="C174" s="43">
        <f>SUM(H174,I174,J174,K174,L174,M174,N174,O174,P174,Q174,R174,S174,T174,U174,V174)</f>
        <v>0</v>
      </c>
      <c r="D174" s="44"/>
      <c r="E174" s="33"/>
      <c r="F174" s="33"/>
      <c r="G174" s="33"/>
      <c r="H174" s="46"/>
      <c r="I174" s="47"/>
      <c r="J174" s="47"/>
      <c r="K174" s="47"/>
      <c r="L174" s="47"/>
      <c r="M174" s="48">
        <v>0</v>
      </c>
      <c r="N174" s="49"/>
      <c r="O174" s="50"/>
      <c r="P174" s="33"/>
      <c r="Q174" s="51">
        <v>0</v>
      </c>
      <c r="R174" s="47"/>
      <c r="S174" s="33"/>
      <c r="T174" s="47"/>
      <c r="U174" s="47"/>
      <c r="V174" s="51">
        <v>0</v>
      </c>
    </row>
    <row r="175" ht="156" customHeight="1">
      <c r="A175" t="s" s="10">
        <v>191</v>
      </c>
      <c r="B175" s="34">
        <f>SUM(C175,G175)</f>
        <v>300</v>
      </c>
      <c r="C175" s="35">
        <f>SUM(H175,I175,J175,K175,L175,M175,N175,O175,P175,Q175,R175,S175,T175,U175,V175)</f>
        <v>300</v>
      </c>
      <c r="D175" s="36"/>
      <c r="E175" s="25"/>
      <c r="F175" s="25"/>
      <c r="G175" s="26"/>
      <c r="H175" s="27">
        <v>300</v>
      </c>
      <c r="I175" s="38">
        <v>0</v>
      </c>
      <c r="J175" s="38">
        <v>0</v>
      </c>
      <c r="K175" s="38">
        <v>0</v>
      </c>
      <c r="L175" s="38">
        <v>0</v>
      </c>
      <c r="M175" s="40">
        <v>0</v>
      </c>
      <c r="N175" s="40">
        <v>0</v>
      </c>
      <c r="O175" s="40">
        <v>0</v>
      </c>
      <c r="P175" s="41">
        <v>0</v>
      </c>
      <c r="Q175" s="38">
        <v>0</v>
      </c>
      <c r="R175" s="38">
        <v>0</v>
      </c>
      <c r="S175" s="33"/>
      <c r="T175" s="38">
        <v>0</v>
      </c>
      <c r="U175" s="38">
        <v>0</v>
      </c>
      <c r="V175" s="38">
        <v>0</v>
      </c>
    </row>
    <row r="176" ht="19.5" customHeight="1">
      <c r="A176" t="s" s="82">
        <v>192</v>
      </c>
      <c r="B176" s="42">
        <f>SUM(C176,G176)</f>
        <v>0</v>
      </c>
      <c r="C176" s="43">
        <f>SUM(H176,I176,J176,K176,L176,M176,N176,O176,P176,Q176,R176,S176,T176,U176,V176)</f>
        <v>0</v>
      </c>
      <c r="D176" s="44"/>
      <c r="E176" s="45"/>
      <c r="F176" s="45"/>
      <c r="G176" s="45"/>
      <c r="H176" s="46"/>
      <c r="I176" s="47"/>
      <c r="J176" s="47"/>
      <c r="K176" s="47"/>
      <c r="L176" s="47"/>
      <c r="M176" s="48">
        <v>0</v>
      </c>
      <c r="N176" s="49"/>
      <c r="O176" s="50"/>
      <c r="P176" s="45"/>
      <c r="Q176" s="51">
        <v>0</v>
      </c>
      <c r="R176" s="47"/>
      <c r="S176" s="45"/>
      <c r="T176" s="47"/>
      <c r="U176" s="47"/>
      <c r="V176" s="51">
        <v>0</v>
      </c>
    </row>
    <row r="177" ht="19.5" customHeight="1">
      <c r="A177" t="s" s="67">
        <v>193</v>
      </c>
      <c r="B177" s="42">
        <f>SUM(C177,G177)</f>
        <v>0</v>
      </c>
      <c r="C177" s="43">
        <f>SUM(H177,I177,J177,K177,L177,M177,N177,O177,P177,Q177,R177,S177,T177,U177,V177)</f>
        <v>0</v>
      </c>
      <c r="D177" s="44"/>
      <c r="E177" s="6"/>
      <c r="F177" s="6"/>
      <c r="G177" s="6"/>
      <c r="H177" s="46"/>
      <c r="I177" s="47"/>
      <c r="J177" s="47"/>
      <c r="K177" s="47"/>
      <c r="L177" s="47"/>
      <c r="M177" s="48">
        <v>0</v>
      </c>
      <c r="N177" s="49"/>
      <c r="O177" s="50"/>
      <c r="P177" s="6"/>
      <c r="Q177" s="51">
        <v>0</v>
      </c>
      <c r="R177" s="47"/>
      <c r="S177" s="6"/>
      <c r="T177" s="47"/>
      <c r="U177" s="47"/>
      <c r="V177" s="51">
        <v>0</v>
      </c>
    </row>
    <row r="178" ht="63" customHeight="1">
      <c r="A178" t="s" s="52">
        <v>194</v>
      </c>
      <c r="B178" s="42">
        <f>SUM(C178,G178)</f>
        <v>100</v>
      </c>
      <c r="C178" s="43">
        <f>SUM(H178,I178,J178,K178,L178,M178,N178,O178,P178,Q178,R178,S178,T178,U178,V178)</f>
        <v>100</v>
      </c>
      <c r="D178" s="44"/>
      <c r="E178" s="6"/>
      <c r="F178" s="6"/>
      <c r="G178" s="6"/>
      <c r="H178" s="27">
        <v>0</v>
      </c>
      <c r="I178" s="51">
        <v>0</v>
      </c>
      <c r="J178" s="51">
        <v>0</v>
      </c>
      <c r="K178" s="51">
        <v>100</v>
      </c>
      <c r="L178" s="51">
        <v>0</v>
      </c>
      <c r="M178" s="48">
        <v>0</v>
      </c>
      <c r="N178" s="48">
        <v>0</v>
      </c>
      <c r="O178" s="55">
        <v>0</v>
      </c>
      <c r="P178" s="53">
        <v>0</v>
      </c>
      <c r="Q178" s="51">
        <v>0</v>
      </c>
      <c r="R178" s="51">
        <v>0</v>
      </c>
      <c r="S178" s="6"/>
      <c r="T178" s="51">
        <v>0</v>
      </c>
      <c r="U178" s="51">
        <v>0</v>
      </c>
      <c r="V178" s="51">
        <v>0</v>
      </c>
    </row>
    <row r="179" ht="19.5" customHeight="1">
      <c r="A179" t="s" s="83">
        <v>195</v>
      </c>
      <c r="B179" s="42">
        <f>SUM(C179,G179)</f>
        <v>0</v>
      </c>
      <c r="C179" s="43">
        <f>SUM(H179,I179,J179,K179,L179,M179,N179,O179,P179,Q179,R179,S179,T179,U179,V179)</f>
        <v>0</v>
      </c>
      <c r="D179" s="44"/>
      <c r="E179" s="6"/>
      <c r="F179" s="6"/>
      <c r="G179" s="6"/>
      <c r="H179" s="46"/>
      <c r="I179" s="47"/>
      <c r="J179" s="47"/>
      <c r="K179" s="47"/>
      <c r="L179" s="47"/>
      <c r="M179" s="48">
        <v>0</v>
      </c>
      <c r="N179" s="49"/>
      <c r="O179" s="50"/>
      <c r="P179" s="6"/>
      <c r="Q179" s="51">
        <v>0</v>
      </c>
      <c r="R179" s="47"/>
      <c r="S179" s="6"/>
      <c r="T179" s="47"/>
      <c r="U179" s="47"/>
      <c r="V179" s="51">
        <v>0</v>
      </c>
    </row>
    <row r="180" ht="409.5" customHeight="1">
      <c r="A180" t="s" s="52">
        <v>196</v>
      </c>
      <c r="B180" s="42">
        <f>SUM(C180,G180)</f>
        <v>0</v>
      </c>
      <c r="C180" s="43">
        <f>SUM(H180,I180,J180,K180,L180,M180,N180,O180,P180,Q180,R180,S180,T180,U180,V180)</f>
        <v>0</v>
      </c>
      <c r="D180" s="44"/>
      <c r="E180" s="6"/>
      <c r="F180" s="6"/>
      <c r="G180" s="6"/>
      <c r="H180" s="27">
        <v>0</v>
      </c>
      <c r="I180" s="51">
        <v>0</v>
      </c>
      <c r="J180" s="51">
        <v>0</v>
      </c>
      <c r="K180" s="51">
        <v>0</v>
      </c>
      <c r="L180" s="51">
        <v>0</v>
      </c>
      <c r="M180" s="48">
        <v>0</v>
      </c>
      <c r="N180" s="48">
        <v>0</v>
      </c>
      <c r="O180" s="55">
        <v>0</v>
      </c>
      <c r="P180" s="53">
        <v>0</v>
      </c>
      <c r="Q180" s="51">
        <v>0</v>
      </c>
      <c r="R180" s="51">
        <v>0</v>
      </c>
      <c r="S180" s="6"/>
      <c r="T180" s="51">
        <v>0</v>
      </c>
      <c r="U180" s="51">
        <v>0</v>
      </c>
      <c r="V180" s="51">
        <v>0</v>
      </c>
    </row>
    <row r="181" ht="78.75" customHeight="1">
      <c r="A181" t="s" s="10">
        <v>197</v>
      </c>
      <c r="B181" s="42">
        <f>SUM(C181,G181)</f>
        <v>0</v>
      </c>
      <c r="C181" s="43">
        <f>SUM(H181,I181,J181,K181,L181,M181,N181,O181,P181,Q181,R181,S181,T181,U181,V181)</f>
        <v>0</v>
      </c>
      <c r="D181" s="44"/>
      <c r="E181" s="6"/>
      <c r="F181" s="6"/>
      <c r="G181" s="6"/>
      <c r="H181" s="46"/>
      <c r="I181" s="47"/>
      <c r="J181" s="47"/>
      <c r="K181" s="47"/>
      <c r="L181" s="47"/>
      <c r="M181" s="48">
        <v>0</v>
      </c>
      <c r="N181" s="49"/>
      <c r="O181" s="55">
        <v>0</v>
      </c>
      <c r="P181" s="6"/>
      <c r="Q181" s="51">
        <v>0</v>
      </c>
      <c r="R181" s="47"/>
      <c r="S181" s="6"/>
      <c r="T181" s="47"/>
      <c r="U181" s="47"/>
      <c r="V181" s="51">
        <v>0</v>
      </c>
    </row>
    <row r="182" ht="94.5" customHeight="1">
      <c r="A182" t="s" s="84">
        <v>198</v>
      </c>
      <c r="B182" s="42">
        <f>SUM(C182,G182)</f>
        <v>0</v>
      </c>
      <c r="C182" s="43">
        <f>SUM(H182,I182,J182,K182,L182,M182,N182,O182,P182,Q182,R182,S182,T182,U182,V182)</f>
        <v>0</v>
      </c>
      <c r="D182" s="44"/>
      <c r="E182" s="6"/>
      <c r="F182" s="6"/>
      <c r="G182" s="6"/>
      <c r="H182" s="46"/>
      <c r="I182" s="47"/>
      <c r="J182" s="47"/>
      <c r="K182" s="47"/>
      <c r="L182" s="47"/>
      <c r="M182" s="48">
        <v>0</v>
      </c>
      <c r="N182" s="49"/>
      <c r="O182" s="50"/>
      <c r="P182" s="6"/>
      <c r="Q182" s="51">
        <v>0</v>
      </c>
      <c r="R182" s="47"/>
      <c r="S182" s="6"/>
      <c r="T182" s="47"/>
      <c r="U182" s="51">
        <v>0</v>
      </c>
      <c r="V182" s="51">
        <v>0</v>
      </c>
    </row>
    <row r="183" ht="19.5" customHeight="1">
      <c r="A183" t="s" s="67">
        <v>199</v>
      </c>
      <c r="B183" s="42">
        <f>SUM(C183,G183)</f>
        <v>0</v>
      </c>
      <c r="C183" s="43">
        <f>SUM(H183,I183,J183,K183,L183,M183,N183,O183,P183,Q183,R183,S183,T183,U183,V183)</f>
        <v>0</v>
      </c>
      <c r="D183" s="44"/>
      <c r="E183" s="6"/>
      <c r="F183" s="6"/>
      <c r="G183" s="6"/>
      <c r="H183" s="46"/>
      <c r="I183" s="47"/>
      <c r="J183" s="47"/>
      <c r="K183" s="47"/>
      <c r="L183" s="47"/>
      <c r="M183" s="48">
        <v>0</v>
      </c>
      <c r="N183" s="49"/>
      <c r="O183" s="50"/>
      <c r="P183" s="6"/>
      <c r="Q183" s="51">
        <v>0</v>
      </c>
      <c r="R183" s="47"/>
      <c r="S183" s="6"/>
      <c r="T183" s="47"/>
      <c r="U183" s="47"/>
      <c r="V183" s="51">
        <v>0</v>
      </c>
    </row>
    <row r="184" ht="31.5" customHeight="1">
      <c r="A184" t="s" s="52">
        <v>200</v>
      </c>
      <c r="B184" s="42">
        <f>SUM(C184,G184)</f>
        <v>3720500</v>
      </c>
      <c r="C184" s="43">
        <f>SUM(H184,I184,J184,K184,L184,M184,N184,O184,P184,Q184,R184,S184,T184,U184,V184)</f>
        <v>3720500</v>
      </c>
      <c r="D184" s="44"/>
      <c r="E184" s="6"/>
      <c r="F184" s="6"/>
      <c r="G184" s="6"/>
      <c r="H184" s="27">
        <v>100000</v>
      </c>
      <c r="I184" s="51">
        <v>62000</v>
      </c>
      <c r="J184" s="51">
        <v>150000</v>
      </c>
      <c r="K184" s="51">
        <v>200000</v>
      </c>
      <c r="L184" s="51">
        <v>170000</v>
      </c>
      <c r="M184" s="48">
        <v>685000</v>
      </c>
      <c r="N184" s="48">
        <v>638000</v>
      </c>
      <c r="O184" s="55">
        <v>825000</v>
      </c>
      <c r="P184" s="53">
        <v>220000</v>
      </c>
      <c r="Q184" s="51">
        <v>568000</v>
      </c>
      <c r="R184" s="51">
        <v>0</v>
      </c>
      <c r="S184" s="73">
        <v>3500</v>
      </c>
      <c r="T184" s="51">
        <v>4000</v>
      </c>
      <c r="U184" s="51">
        <v>15000</v>
      </c>
      <c r="V184" s="51">
        <v>80000</v>
      </c>
    </row>
    <row r="185" ht="58.5" customHeight="1">
      <c r="A185" t="s" s="52">
        <v>201</v>
      </c>
      <c r="B185" s="42">
        <f>SUM(C185,G185)</f>
        <v>266955</v>
      </c>
      <c r="C185" s="43">
        <f>SUM(H185,I185,J185,K185,L185,M185,N185,O185,P185,Q185,R185,S185,T185,U185,V185)</f>
        <v>266955</v>
      </c>
      <c r="D185" s="44"/>
      <c r="E185" s="6"/>
      <c r="F185" s="6"/>
      <c r="G185" s="6"/>
      <c r="H185" s="27">
        <v>3000</v>
      </c>
      <c r="I185" s="51">
        <v>15000</v>
      </c>
      <c r="J185" s="51">
        <v>10000</v>
      </c>
      <c r="K185" s="51">
        <v>6000</v>
      </c>
      <c r="L185" s="51">
        <v>7500</v>
      </c>
      <c r="M185" s="48">
        <v>34300</v>
      </c>
      <c r="N185" s="48">
        <v>81730</v>
      </c>
      <c r="O185" s="55">
        <v>48500</v>
      </c>
      <c r="P185" s="53">
        <v>20000</v>
      </c>
      <c r="Q185" s="51">
        <v>40200</v>
      </c>
      <c r="R185" s="51">
        <v>50</v>
      </c>
      <c r="S185" s="6"/>
      <c r="T185" s="51">
        <v>75</v>
      </c>
      <c r="U185" s="51">
        <v>0</v>
      </c>
      <c r="V185" s="51">
        <v>600</v>
      </c>
    </row>
    <row r="186" ht="253.5" customHeight="1">
      <c r="A186" t="s" s="52">
        <v>202</v>
      </c>
      <c r="B186" s="42">
        <f>SUM(C186,G186)</f>
        <v>449345</v>
      </c>
      <c r="C186" s="43">
        <f>SUM(H186,I186,J186,K186,L186,M186,N186,O186,P186,Q186,R186,S186,T186,U186,V186)</f>
        <v>446345</v>
      </c>
      <c r="D186" s="44"/>
      <c r="E186" s="17"/>
      <c r="F186" s="17"/>
      <c r="G186" s="56">
        <v>3000</v>
      </c>
      <c r="H186" s="27">
        <v>60000</v>
      </c>
      <c r="I186" s="51">
        <v>64000</v>
      </c>
      <c r="J186" s="51">
        <v>70000</v>
      </c>
      <c r="K186" s="51">
        <v>20000</v>
      </c>
      <c r="L186" s="51">
        <v>18000</v>
      </c>
      <c r="M186" s="48">
        <v>38300</v>
      </c>
      <c r="N186" s="48">
        <v>34330</v>
      </c>
      <c r="O186" s="55">
        <v>77000</v>
      </c>
      <c r="P186" s="56">
        <v>19000</v>
      </c>
      <c r="Q186" s="51">
        <v>37850</v>
      </c>
      <c r="R186" s="51">
        <v>0</v>
      </c>
      <c r="S186" s="17"/>
      <c r="T186" s="51">
        <v>365</v>
      </c>
      <c r="U186" s="51">
        <v>7000</v>
      </c>
      <c r="V186" s="51">
        <v>500</v>
      </c>
    </row>
    <row r="187" ht="63" customHeight="1">
      <c r="A187" t="s" s="21">
        <v>203</v>
      </c>
      <c r="B187" s="22">
        <f>SUM(C187,G187)</f>
        <v>199500</v>
      </c>
      <c r="C187" s="23">
        <f>SUM(H187,I187,J187,K187,L187,M187,N187,O187,P187,Q187,R187,S187,T187,U187,V187)</f>
        <v>199500</v>
      </c>
      <c r="D187" s="36"/>
      <c r="E187" s="25"/>
      <c r="F187" s="25"/>
      <c r="G187" s="26"/>
      <c r="H187" s="27">
        <v>80000</v>
      </c>
      <c r="I187" s="28">
        <v>10000</v>
      </c>
      <c r="J187" s="28">
        <v>20000</v>
      </c>
      <c r="K187" s="28">
        <v>40000</v>
      </c>
      <c r="L187" s="28">
        <v>36000</v>
      </c>
      <c r="M187" s="30">
        <v>0</v>
      </c>
      <c r="N187" s="30">
        <v>0</v>
      </c>
      <c r="O187" s="30">
        <v>0</v>
      </c>
      <c r="P187" s="41">
        <v>0</v>
      </c>
      <c r="Q187" s="28">
        <v>0</v>
      </c>
      <c r="R187" s="28">
        <v>1500</v>
      </c>
      <c r="S187" s="33"/>
      <c r="T187" s="28">
        <v>0</v>
      </c>
      <c r="U187" s="28">
        <v>2000</v>
      </c>
      <c r="V187" s="28">
        <v>10000</v>
      </c>
    </row>
    <row r="188" ht="78.75" customHeight="1">
      <c r="A188" t="s" s="21">
        <v>204</v>
      </c>
      <c r="B188" s="22">
        <f>SUM(C188,G188)</f>
        <v>15030</v>
      </c>
      <c r="C188" s="23">
        <f>SUM(H188,I188,J188,K188,L188,M188,N188,O188,P188,Q188,R188,S188,T188,U188,V188)</f>
        <v>15030</v>
      </c>
      <c r="D188" s="36"/>
      <c r="E188" s="25"/>
      <c r="F188" s="25"/>
      <c r="G188" s="26"/>
      <c r="H188" s="27">
        <v>1000</v>
      </c>
      <c r="I188" s="28">
        <v>6000</v>
      </c>
      <c r="J188" s="28">
        <v>5000</v>
      </c>
      <c r="K188" s="28">
        <v>2400</v>
      </c>
      <c r="L188" s="28">
        <v>500</v>
      </c>
      <c r="M188" s="30">
        <v>0</v>
      </c>
      <c r="N188" s="30">
        <v>0</v>
      </c>
      <c r="O188" s="30">
        <v>0</v>
      </c>
      <c r="P188" s="41">
        <v>0</v>
      </c>
      <c r="Q188" s="28">
        <v>0</v>
      </c>
      <c r="R188" s="28">
        <v>0</v>
      </c>
      <c r="S188" s="33"/>
      <c r="T188" s="28">
        <v>30</v>
      </c>
      <c r="U188" s="28">
        <v>0</v>
      </c>
      <c r="V188" s="28">
        <v>100</v>
      </c>
    </row>
    <row r="189" ht="63" customHeight="1">
      <c r="A189" t="s" s="10">
        <v>205</v>
      </c>
      <c r="B189" s="34">
        <f>SUM(C189,G189)</f>
        <v>6440</v>
      </c>
      <c r="C189" s="35">
        <f>SUM(H189,I189,J189,K189,L189,M189,N189,O189,P189,Q189,R189,S189,T189,U189,V189)</f>
        <v>6440</v>
      </c>
      <c r="D189" s="36"/>
      <c r="E189" s="25"/>
      <c r="F189" s="25"/>
      <c r="G189" s="26"/>
      <c r="H189" s="27">
        <v>6000</v>
      </c>
      <c r="I189" s="38">
        <v>200</v>
      </c>
      <c r="J189" s="38">
        <v>0</v>
      </c>
      <c r="K189" s="38">
        <v>240</v>
      </c>
      <c r="L189" s="38">
        <v>0</v>
      </c>
      <c r="M189" s="40">
        <v>0</v>
      </c>
      <c r="N189" s="40">
        <v>0</v>
      </c>
      <c r="O189" s="40">
        <v>0</v>
      </c>
      <c r="P189" s="41">
        <v>0</v>
      </c>
      <c r="Q189" s="38">
        <v>0</v>
      </c>
      <c r="R189" s="38">
        <v>0</v>
      </c>
      <c r="S189" s="33"/>
      <c r="T189" s="38">
        <v>0</v>
      </c>
      <c r="U189" s="38">
        <v>0</v>
      </c>
      <c r="V189" s="38">
        <v>0</v>
      </c>
    </row>
    <row r="190" ht="78" customHeight="1">
      <c r="A190" t="s" s="59">
        <v>206</v>
      </c>
      <c r="B190" s="22">
        <f>SUM(C190,G190)</f>
        <v>1050</v>
      </c>
      <c r="C190" s="23">
        <f>SUM(H190,I190,J190,K190,L190,M190,N190,O190,P190,Q190,R190,S190,T190,U190,V190)</f>
        <v>1050</v>
      </c>
      <c r="D190" s="36"/>
      <c r="E190" s="25"/>
      <c r="F190" s="25"/>
      <c r="G190" s="26"/>
      <c r="H190" s="27">
        <v>1000</v>
      </c>
      <c r="I190" s="28">
        <v>0</v>
      </c>
      <c r="J190" s="28">
        <v>0</v>
      </c>
      <c r="K190" s="28">
        <v>50</v>
      </c>
      <c r="L190" s="28">
        <v>0</v>
      </c>
      <c r="M190" s="30">
        <v>0</v>
      </c>
      <c r="N190" s="30">
        <v>0</v>
      </c>
      <c r="O190" s="30">
        <v>0</v>
      </c>
      <c r="P190" s="41">
        <v>0</v>
      </c>
      <c r="Q190" s="28">
        <v>0</v>
      </c>
      <c r="R190" s="28">
        <v>0</v>
      </c>
      <c r="S190" s="33"/>
      <c r="T190" s="28">
        <v>0</v>
      </c>
      <c r="U190" s="28">
        <v>0</v>
      </c>
      <c r="V190" s="28">
        <v>0</v>
      </c>
    </row>
    <row r="191" ht="47.25" customHeight="1">
      <c r="A191" t="s" s="67">
        <v>207</v>
      </c>
      <c r="B191" s="42">
        <f>SUM(C191,G191)</f>
        <v>0</v>
      </c>
      <c r="C191" s="43">
        <f>SUM(H191,I191,J191,K191,L191,M191,N191,O191,P191,Q191,R191,S191,T191,U191,V191)</f>
        <v>0</v>
      </c>
      <c r="D191" s="44"/>
      <c r="E191" s="33"/>
      <c r="F191" s="33"/>
      <c r="G191" s="33"/>
      <c r="H191" s="46"/>
      <c r="I191" s="47"/>
      <c r="J191" s="47"/>
      <c r="K191" s="47"/>
      <c r="L191" s="47"/>
      <c r="M191" s="48">
        <v>0</v>
      </c>
      <c r="N191" s="49"/>
      <c r="O191" s="50"/>
      <c r="P191" s="33"/>
      <c r="Q191" s="51">
        <v>0</v>
      </c>
      <c r="R191" s="47"/>
      <c r="S191" s="33"/>
      <c r="T191" s="47"/>
      <c r="U191" s="47"/>
      <c r="V191" s="51">
        <v>0</v>
      </c>
    </row>
    <row r="192" ht="47.25" customHeight="1">
      <c r="A192" t="s" s="21">
        <v>208</v>
      </c>
      <c r="B192" s="22">
        <f>SUM(C192,G192)</f>
        <v>1709200</v>
      </c>
      <c r="C192" s="23">
        <f>SUM(H192,I192,J192,K192,L192,M192,N192,O192,P192,Q192,R192,S192,T192,U192,V192)</f>
        <v>1709200</v>
      </c>
      <c r="D192" s="36"/>
      <c r="E192" s="25"/>
      <c r="F192" s="25"/>
      <c r="G192" s="26"/>
      <c r="H192" s="27">
        <v>50000</v>
      </c>
      <c r="I192" s="28">
        <v>24000</v>
      </c>
      <c r="J192" s="28">
        <v>10000</v>
      </c>
      <c r="K192" s="28">
        <v>50000</v>
      </c>
      <c r="L192" s="28">
        <v>32000</v>
      </c>
      <c r="M192" s="30">
        <v>332000</v>
      </c>
      <c r="N192" s="30">
        <v>426800</v>
      </c>
      <c r="O192" s="30">
        <v>448000</v>
      </c>
      <c r="P192" s="41">
        <v>230000</v>
      </c>
      <c r="Q192" s="28">
        <v>93700</v>
      </c>
      <c r="R192" s="28">
        <v>0</v>
      </c>
      <c r="S192" s="75">
        <v>300</v>
      </c>
      <c r="T192" s="28">
        <v>5400</v>
      </c>
      <c r="U192" s="28">
        <v>5000</v>
      </c>
      <c r="V192" s="28">
        <v>2000</v>
      </c>
    </row>
    <row r="193" ht="47.25" customHeight="1">
      <c r="A193" t="s" s="21">
        <v>209</v>
      </c>
      <c r="B193" s="22">
        <f>SUM(C193,G193)</f>
        <v>145285</v>
      </c>
      <c r="C193" s="23">
        <f>SUM(H193,I193,J193,K193,L193,M193,N193,O193,P193,Q193,R193,S193,T193,U193,V193)</f>
        <v>145285</v>
      </c>
      <c r="D193" s="36"/>
      <c r="E193" s="25"/>
      <c r="F193" s="25"/>
      <c r="G193" s="26"/>
      <c r="H193" s="27">
        <v>1000</v>
      </c>
      <c r="I193" s="28">
        <v>8000</v>
      </c>
      <c r="J193" s="28">
        <v>6000</v>
      </c>
      <c r="K193" s="28">
        <v>6000</v>
      </c>
      <c r="L193" s="28">
        <v>3700</v>
      </c>
      <c r="M193" s="30">
        <v>22100</v>
      </c>
      <c r="N193" s="30">
        <v>28860</v>
      </c>
      <c r="O193" s="30">
        <v>34000</v>
      </c>
      <c r="P193" s="41">
        <v>17000</v>
      </c>
      <c r="Q193" s="28">
        <v>18400</v>
      </c>
      <c r="R193" s="28">
        <v>0</v>
      </c>
      <c r="S193" s="33"/>
      <c r="T193" s="28">
        <v>125</v>
      </c>
      <c r="U193" s="28">
        <v>0</v>
      </c>
      <c r="V193" s="28">
        <v>100</v>
      </c>
    </row>
    <row r="194" ht="63" customHeight="1">
      <c r="A194" t="s" s="21">
        <v>210</v>
      </c>
      <c r="B194" s="22">
        <f>SUM(C194,G194)</f>
        <v>5600</v>
      </c>
      <c r="C194" s="23">
        <f>SUM(H194,I194,J194,K194,L194,M194,N194,O194,P194,Q194,R194,S194,T194,U194,V194)</f>
        <v>5600</v>
      </c>
      <c r="D194" s="36"/>
      <c r="E194" s="25"/>
      <c r="F194" s="25"/>
      <c r="G194" s="26"/>
      <c r="H194" s="27">
        <v>3000</v>
      </c>
      <c r="I194" s="28">
        <v>0</v>
      </c>
      <c r="J194" s="28">
        <v>1000</v>
      </c>
      <c r="K194" s="28">
        <v>600</v>
      </c>
      <c r="L194" s="28">
        <v>0</v>
      </c>
      <c r="M194" s="30">
        <v>0</v>
      </c>
      <c r="N194" s="30">
        <v>0</v>
      </c>
      <c r="O194" s="30">
        <v>0</v>
      </c>
      <c r="P194" s="41">
        <v>0</v>
      </c>
      <c r="Q194" s="28">
        <v>0</v>
      </c>
      <c r="R194" s="28">
        <v>0</v>
      </c>
      <c r="S194" s="33"/>
      <c r="T194" s="28">
        <v>0</v>
      </c>
      <c r="U194" s="28">
        <v>1000</v>
      </c>
      <c r="V194" s="28">
        <v>0</v>
      </c>
    </row>
    <row r="195" ht="409.5" customHeight="1">
      <c r="A195" t="s" s="85">
        <v>211</v>
      </c>
      <c r="B195" s="42">
        <f>SUM(C195,G195)</f>
        <v>208000</v>
      </c>
      <c r="C195" s="43">
        <f>SUM(H195,I195,J195,K195,L195,M195,N195,O195,P195,Q195,R195,S195,T195,U195,V195)</f>
        <v>206000</v>
      </c>
      <c r="D195" s="44"/>
      <c r="E195" s="33"/>
      <c r="F195" s="33"/>
      <c r="G195" s="41">
        <v>2000</v>
      </c>
      <c r="H195" s="27">
        <v>80000</v>
      </c>
      <c r="I195" s="51">
        <v>50000</v>
      </c>
      <c r="J195" s="51">
        <v>36000</v>
      </c>
      <c r="K195" s="51">
        <v>30000</v>
      </c>
      <c r="L195" s="51">
        <v>9500</v>
      </c>
      <c r="M195" s="48">
        <v>0</v>
      </c>
      <c r="N195" s="48">
        <v>0</v>
      </c>
      <c r="O195" s="55">
        <v>0</v>
      </c>
      <c r="P195" s="41">
        <v>0</v>
      </c>
      <c r="Q195" s="51">
        <v>0</v>
      </c>
      <c r="R195" s="51">
        <v>500</v>
      </c>
      <c r="S195" s="33"/>
      <c r="T195" s="51">
        <v>0</v>
      </c>
      <c r="U195" s="47"/>
      <c r="V195" s="51">
        <v>0</v>
      </c>
    </row>
    <row r="196" ht="175.5" customHeight="1">
      <c r="A196" t="s" s="86">
        <v>212</v>
      </c>
      <c r="B196" s="22">
        <f>SUM(C196,G196)</f>
        <v>29600</v>
      </c>
      <c r="C196" s="23">
        <f>SUM(H196,I196,J196,K196,L196,M196,N196,O196,P196,Q196,R196,S196,T196,U196,V196)</f>
        <v>29600</v>
      </c>
      <c r="D196" s="36"/>
      <c r="E196" s="25"/>
      <c r="F196" s="25"/>
      <c r="G196" s="26"/>
      <c r="H196" s="27">
        <v>500</v>
      </c>
      <c r="I196" s="28">
        <v>10000</v>
      </c>
      <c r="J196" s="28">
        <v>15000</v>
      </c>
      <c r="K196" s="28">
        <v>4000</v>
      </c>
      <c r="L196" s="28">
        <v>100</v>
      </c>
      <c r="M196" s="30">
        <v>0</v>
      </c>
      <c r="N196" s="30">
        <v>0</v>
      </c>
      <c r="O196" s="30">
        <v>0</v>
      </c>
      <c r="P196" s="41">
        <v>0</v>
      </c>
      <c r="Q196" s="28">
        <v>0</v>
      </c>
      <c r="R196" s="28">
        <v>0</v>
      </c>
      <c r="S196" s="33"/>
      <c r="T196" s="28">
        <v>0</v>
      </c>
      <c r="U196" s="28">
        <v>0</v>
      </c>
      <c r="V196" s="87"/>
    </row>
    <row r="197" ht="19.5" customHeight="1">
      <c r="A197" t="s" s="67">
        <v>213</v>
      </c>
      <c r="B197" s="42">
        <f>SUM(C197,G197)</f>
        <v>0</v>
      </c>
      <c r="C197" s="43">
        <f>SUM(H197,I197,J197,K197,L197,M197,N197,O197,P197,Q197,R197,S197,T197,U197,V197)</f>
        <v>0</v>
      </c>
      <c r="D197" s="44"/>
      <c r="E197" s="33"/>
      <c r="F197" s="33"/>
      <c r="G197" s="33"/>
      <c r="H197" s="46"/>
      <c r="I197" s="47"/>
      <c r="J197" s="47"/>
      <c r="K197" s="47"/>
      <c r="L197" s="47"/>
      <c r="M197" s="48">
        <v>0</v>
      </c>
      <c r="N197" s="49"/>
      <c r="O197" s="50"/>
      <c r="P197" s="33"/>
      <c r="Q197" s="51">
        <v>0</v>
      </c>
      <c r="R197" s="47"/>
      <c r="S197" s="33"/>
      <c r="T197" s="47"/>
      <c r="U197" s="47"/>
      <c r="V197" s="51">
        <v>0</v>
      </c>
    </row>
    <row r="198" ht="63" customHeight="1">
      <c r="A198" t="s" s="10">
        <v>214</v>
      </c>
      <c r="B198" s="34">
        <f>SUM(C198,G198)</f>
        <v>79164</v>
      </c>
      <c r="C198" s="35">
        <f>SUM(H198,I198,J198,K198,L198,M198,N198,O198,P198,Q198,R198,S198,T198,U198,V198)</f>
        <v>77664</v>
      </c>
      <c r="D198" s="36"/>
      <c r="E198" s="25"/>
      <c r="F198" s="25"/>
      <c r="G198" s="37">
        <v>1500</v>
      </c>
      <c r="H198" s="27">
        <v>20000</v>
      </c>
      <c r="I198" s="38">
        <v>12000</v>
      </c>
      <c r="J198" s="38">
        <v>30000</v>
      </c>
      <c r="K198" s="38">
        <v>6000</v>
      </c>
      <c r="L198" s="38">
        <v>7000</v>
      </c>
      <c r="M198" s="40">
        <v>0</v>
      </c>
      <c r="N198" s="40">
        <v>0</v>
      </c>
      <c r="O198" s="40">
        <v>0</v>
      </c>
      <c r="P198" s="41">
        <v>0</v>
      </c>
      <c r="Q198" s="38">
        <v>0</v>
      </c>
      <c r="R198" s="38">
        <v>564</v>
      </c>
      <c r="S198" s="33"/>
      <c r="T198" s="38">
        <v>0</v>
      </c>
      <c r="U198" s="38">
        <v>2000</v>
      </c>
      <c r="V198" s="38">
        <v>100</v>
      </c>
    </row>
    <row r="199" ht="47.25" customHeight="1">
      <c r="A199" t="s" s="21">
        <v>215</v>
      </c>
      <c r="B199" s="22">
        <f>SUM(C199,G199)</f>
        <v>122564</v>
      </c>
      <c r="C199" s="23">
        <f>SUM(H199,I199,J199,K199,L199,M199,N199,O199,P199,Q199,R199,S199,T199,U199,V199)</f>
        <v>121064</v>
      </c>
      <c r="D199" s="36"/>
      <c r="E199" s="25"/>
      <c r="F199" s="25"/>
      <c r="G199" s="37">
        <v>1500</v>
      </c>
      <c r="H199" s="27">
        <v>30000</v>
      </c>
      <c r="I199" s="28">
        <v>18600</v>
      </c>
      <c r="J199" s="28">
        <v>35000</v>
      </c>
      <c r="K199" s="28">
        <v>24000</v>
      </c>
      <c r="L199" s="28">
        <v>12200</v>
      </c>
      <c r="M199" s="30">
        <v>0</v>
      </c>
      <c r="N199" s="30">
        <v>0</v>
      </c>
      <c r="O199" s="30">
        <v>0</v>
      </c>
      <c r="P199" s="41">
        <v>0</v>
      </c>
      <c r="Q199" s="28">
        <v>0</v>
      </c>
      <c r="R199" s="28">
        <v>0</v>
      </c>
      <c r="S199" s="33"/>
      <c r="T199" s="28">
        <v>264</v>
      </c>
      <c r="U199" s="28">
        <v>1000</v>
      </c>
      <c r="V199" s="28">
        <v>0</v>
      </c>
    </row>
    <row r="200" ht="47.25" customHeight="1">
      <c r="A200" t="s" s="21">
        <v>216</v>
      </c>
      <c r="B200" s="22">
        <f>SUM(C200,G200)</f>
        <v>73225</v>
      </c>
      <c r="C200" s="23">
        <f>SUM(H200,I200,J200,K200,L200,M200,N200,O200,P200,Q200,R200,S200,T200,U200,V200)</f>
        <v>72225</v>
      </c>
      <c r="D200" s="36"/>
      <c r="E200" s="25"/>
      <c r="F200" s="25"/>
      <c r="G200" s="37">
        <v>1000</v>
      </c>
      <c r="H200" s="27">
        <v>0</v>
      </c>
      <c r="I200" s="28">
        <v>16000</v>
      </c>
      <c r="J200" s="28">
        <v>10000</v>
      </c>
      <c r="K200" s="28">
        <v>7000</v>
      </c>
      <c r="L200" s="28">
        <v>1130</v>
      </c>
      <c r="M200" s="30">
        <v>13000</v>
      </c>
      <c r="N200" s="30">
        <v>6475</v>
      </c>
      <c r="O200" s="30">
        <v>7270</v>
      </c>
      <c r="P200" s="41">
        <v>3700</v>
      </c>
      <c r="Q200" s="28">
        <v>7650</v>
      </c>
      <c r="R200" s="28">
        <v>0</v>
      </c>
      <c r="S200" s="33"/>
      <c r="T200" s="28">
        <v>0</v>
      </c>
      <c r="U200" s="28">
        <v>0</v>
      </c>
      <c r="V200" s="28">
        <v>0</v>
      </c>
    </row>
    <row r="201" ht="19.5" customHeight="1">
      <c r="A201" t="s" s="67">
        <v>217</v>
      </c>
      <c r="B201" s="42">
        <f>SUM(C201,G201)</f>
        <v>0</v>
      </c>
      <c r="C201" s="43">
        <f>SUM(H201,I201,J201,K201,L201,M201,N201,O201,P201,Q201,R201,S201,T201,U201,V201)</f>
        <v>0</v>
      </c>
      <c r="D201" s="44"/>
      <c r="E201" s="33"/>
      <c r="F201" s="33"/>
      <c r="G201" s="33"/>
      <c r="H201" s="46"/>
      <c r="I201" s="47"/>
      <c r="J201" s="47"/>
      <c r="K201" s="47"/>
      <c r="L201" s="47"/>
      <c r="M201" s="48">
        <v>0</v>
      </c>
      <c r="N201" s="49"/>
      <c r="O201" s="50"/>
      <c r="P201" s="33"/>
      <c r="Q201" s="51">
        <v>0</v>
      </c>
      <c r="R201" s="47"/>
      <c r="S201" s="33"/>
      <c r="T201" s="47"/>
      <c r="U201" s="47"/>
      <c r="V201" s="51">
        <v>0</v>
      </c>
    </row>
    <row r="202" ht="39" customHeight="1">
      <c r="A202" t="s" s="21">
        <v>218</v>
      </c>
      <c r="B202" s="22">
        <f>SUM(C202,G202)</f>
        <v>66220</v>
      </c>
      <c r="C202" s="23">
        <f>SUM(H202,I202,J202,K202,L202,M202,N202,O202,P202,Q202,R202,S202,T202,U202,V202)</f>
        <v>66220</v>
      </c>
      <c r="D202" s="36"/>
      <c r="E202" s="25"/>
      <c r="F202" s="25"/>
      <c r="G202" s="26"/>
      <c r="H202" s="27">
        <v>8000</v>
      </c>
      <c r="I202" s="28">
        <v>0</v>
      </c>
      <c r="J202" s="28">
        <v>8000</v>
      </c>
      <c r="K202" s="28">
        <v>6000</v>
      </c>
      <c r="L202" s="28">
        <v>2000</v>
      </c>
      <c r="M202" s="30">
        <v>8200</v>
      </c>
      <c r="N202" s="30">
        <v>7000</v>
      </c>
      <c r="O202" s="30">
        <v>14770</v>
      </c>
      <c r="P202" s="41">
        <v>4000</v>
      </c>
      <c r="Q202" s="28">
        <v>7750</v>
      </c>
      <c r="R202" s="28">
        <v>0</v>
      </c>
      <c r="S202" s="33"/>
      <c r="T202" s="28">
        <v>500</v>
      </c>
      <c r="U202" s="28">
        <v>0</v>
      </c>
      <c r="V202" s="28">
        <v>0</v>
      </c>
    </row>
    <row r="203" ht="331.5" customHeight="1">
      <c r="A203" t="s" s="10">
        <v>219</v>
      </c>
      <c r="B203" s="34">
        <f>SUM(C203,G203)</f>
        <v>200</v>
      </c>
      <c r="C203" s="35">
        <f>SUM(H203,I203,J203,K203,L203,M203,N203,O203,P203,Q203,R203,S203,T203,U203,V203)</f>
        <v>200</v>
      </c>
      <c r="D203" s="36"/>
      <c r="E203" s="25"/>
      <c r="F203" s="25"/>
      <c r="G203" s="26"/>
      <c r="H203" s="27">
        <v>200</v>
      </c>
      <c r="I203" s="38">
        <v>0</v>
      </c>
      <c r="J203" s="38">
        <v>0</v>
      </c>
      <c r="K203" s="38">
        <v>0</v>
      </c>
      <c r="L203" s="38">
        <v>0</v>
      </c>
      <c r="M203" s="40">
        <v>0</v>
      </c>
      <c r="N203" s="40">
        <v>0</v>
      </c>
      <c r="O203" s="40">
        <v>0</v>
      </c>
      <c r="P203" s="41">
        <v>0</v>
      </c>
      <c r="Q203" s="38">
        <v>0</v>
      </c>
      <c r="R203" s="38">
        <v>0</v>
      </c>
      <c r="S203" s="33"/>
      <c r="T203" s="38">
        <v>0</v>
      </c>
      <c r="U203" s="38">
        <v>0</v>
      </c>
      <c r="V203" s="38">
        <v>0</v>
      </c>
    </row>
    <row r="204" ht="31.5" customHeight="1">
      <c r="A204" t="s" s="67">
        <v>220</v>
      </c>
      <c r="B204" s="42">
        <f>SUM(C204,G204)</f>
        <v>0</v>
      </c>
      <c r="C204" s="43">
        <f>SUM(H204,I204,J204,K204,L204,M204,N204,O204,P204,Q204,R204,S204,T204,U204,V204)</f>
        <v>0</v>
      </c>
      <c r="D204" s="44"/>
      <c r="E204" s="33"/>
      <c r="F204" s="33"/>
      <c r="G204" s="33"/>
      <c r="H204" s="46"/>
      <c r="I204" s="47"/>
      <c r="J204" s="47"/>
      <c r="K204" s="47"/>
      <c r="L204" s="47"/>
      <c r="M204" s="48">
        <v>0</v>
      </c>
      <c r="N204" s="49"/>
      <c r="O204" s="50"/>
      <c r="P204" s="33"/>
      <c r="Q204" s="51">
        <v>0</v>
      </c>
      <c r="R204" s="47"/>
      <c r="S204" s="33"/>
      <c r="T204" s="47"/>
      <c r="U204" s="47"/>
      <c r="V204" s="51">
        <v>0</v>
      </c>
    </row>
    <row r="205" ht="19.5" customHeight="1">
      <c r="A205" t="s" s="21">
        <v>221</v>
      </c>
      <c r="B205" s="22">
        <f>SUM(C205,G205)</f>
        <v>337490</v>
      </c>
      <c r="C205" s="23">
        <f>SUM(H205,I205,J205,K205,L205,M205,N205,O205,P205,Q205,R205,S205,T205,U205,V205)</f>
        <v>337490</v>
      </c>
      <c r="D205" s="36"/>
      <c r="E205" s="25"/>
      <c r="F205" s="25"/>
      <c r="G205" s="26"/>
      <c r="H205" s="27">
        <v>10000</v>
      </c>
      <c r="I205" s="28">
        <v>1000</v>
      </c>
      <c r="J205" s="28">
        <v>20000</v>
      </c>
      <c r="K205" s="28">
        <v>20000</v>
      </c>
      <c r="L205" s="28">
        <v>5000</v>
      </c>
      <c r="M205" s="30">
        <v>109000</v>
      </c>
      <c r="N205" s="30">
        <v>75900</v>
      </c>
      <c r="O205" s="30">
        <v>63190</v>
      </c>
      <c r="P205" s="41">
        <v>7500</v>
      </c>
      <c r="Q205" s="28">
        <v>25900</v>
      </c>
      <c r="R205" s="28">
        <v>0</v>
      </c>
      <c r="S205" s="33"/>
      <c r="T205" s="28">
        <v>0</v>
      </c>
      <c r="U205" s="28">
        <v>0</v>
      </c>
      <c r="V205" s="28">
        <v>0</v>
      </c>
    </row>
    <row r="206" ht="31.5" customHeight="1">
      <c r="A206" t="s" s="21">
        <v>222</v>
      </c>
      <c r="B206" s="22">
        <f>SUM(C206,G206)</f>
        <v>57000</v>
      </c>
      <c r="C206" s="23">
        <f>SUM(H206,I206,J206,K206,L206,M206,N206,O206,P206,Q206,R206,S206,T206,U206,V206)</f>
        <v>57000</v>
      </c>
      <c r="D206" s="36"/>
      <c r="E206" s="25"/>
      <c r="F206" s="25"/>
      <c r="G206" s="26"/>
      <c r="H206" s="27">
        <v>400</v>
      </c>
      <c r="I206" s="28">
        <v>8000</v>
      </c>
      <c r="J206" s="28">
        <v>5000</v>
      </c>
      <c r="K206" s="28">
        <v>2000</v>
      </c>
      <c r="L206" s="28">
        <v>2500</v>
      </c>
      <c r="M206" s="30">
        <v>4250</v>
      </c>
      <c r="N206" s="30">
        <v>13610</v>
      </c>
      <c r="O206" s="30">
        <v>10590</v>
      </c>
      <c r="P206" s="41">
        <v>3100</v>
      </c>
      <c r="Q206" s="28">
        <v>7550</v>
      </c>
      <c r="R206" s="28">
        <v>0</v>
      </c>
      <c r="S206" s="33"/>
      <c r="T206" s="28">
        <v>0</v>
      </c>
      <c r="U206" s="28">
        <v>0</v>
      </c>
      <c r="V206" s="28">
        <v>0</v>
      </c>
    </row>
    <row r="207" ht="157.5" customHeight="1">
      <c r="A207" t="s" s="67">
        <v>192</v>
      </c>
      <c r="B207" s="42">
        <f>SUM(C207,G207)</f>
        <v>0</v>
      </c>
      <c r="C207" s="43">
        <f>SUM(H207,I207,J207,K207,L207,M207,N207,O207,P207,Q207,R207,S207,T207,U207,V207)</f>
        <v>0</v>
      </c>
      <c r="D207" s="44"/>
      <c r="E207" s="33"/>
      <c r="F207" s="33"/>
      <c r="G207" s="33"/>
      <c r="H207" s="46"/>
      <c r="I207" s="47"/>
      <c r="J207" s="47"/>
      <c r="K207" s="47"/>
      <c r="L207" s="47"/>
      <c r="M207" s="48">
        <v>0</v>
      </c>
      <c r="N207" s="49"/>
      <c r="O207" s="50"/>
      <c r="P207" s="33"/>
      <c r="Q207" s="51">
        <v>0</v>
      </c>
      <c r="R207" s="47"/>
      <c r="S207" s="33"/>
      <c r="T207" s="47"/>
      <c r="U207" s="47"/>
      <c r="V207" s="51">
        <v>0</v>
      </c>
    </row>
    <row r="208" ht="409.5" customHeight="1">
      <c r="A208" t="s" s="21">
        <v>223</v>
      </c>
      <c r="B208" s="22">
        <f>SUM(C208,G208)</f>
        <v>446500</v>
      </c>
      <c r="C208" s="23">
        <f>SUM(H208,I208,J208,K208,L208,M208,N208,O208,P208,Q208,R208,S208,T208,U208,V208)</f>
        <v>446500</v>
      </c>
      <c r="D208" s="36"/>
      <c r="E208" s="25"/>
      <c r="F208" s="25"/>
      <c r="G208" s="26"/>
      <c r="H208" s="27">
        <v>70000</v>
      </c>
      <c r="I208" s="28">
        <v>3000</v>
      </c>
      <c r="J208" s="28">
        <v>70000</v>
      </c>
      <c r="K208" s="28">
        <v>24000</v>
      </c>
      <c r="L208" s="28">
        <v>25000</v>
      </c>
      <c r="M208" s="30">
        <v>71600</v>
      </c>
      <c r="N208" s="30">
        <v>40000</v>
      </c>
      <c r="O208" s="30">
        <v>95000</v>
      </c>
      <c r="P208" s="41">
        <v>17000</v>
      </c>
      <c r="Q208" s="28">
        <v>25900</v>
      </c>
      <c r="R208" s="28">
        <v>3000</v>
      </c>
      <c r="S208" s="33"/>
      <c r="T208" s="28">
        <v>0</v>
      </c>
      <c r="U208" s="28">
        <v>0</v>
      </c>
      <c r="V208" s="28">
        <v>2000</v>
      </c>
    </row>
    <row r="209" ht="78.75" customHeight="1">
      <c r="A209" t="s" s="21">
        <v>224</v>
      </c>
      <c r="B209" s="22">
        <f>SUM(C209,G209)</f>
        <v>86474</v>
      </c>
      <c r="C209" s="23">
        <f>SUM(H209,I209,J209,K209,L209,M209,N209,O209,P209,Q209,R209,S209,T209,U209,V209)</f>
        <v>86474</v>
      </c>
      <c r="D209" s="36"/>
      <c r="E209" s="25"/>
      <c r="F209" s="25"/>
      <c r="G209" s="26"/>
      <c r="H209" s="27">
        <v>400</v>
      </c>
      <c r="I209" s="28">
        <v>5000</v>
      </c>
      <c r="J209" s="28">
        <v>6000</v>
      </c>
      <c r="K209" s="28">
        <v>6000</v>
      </c>
      <c r="L209" s="28">
        <v>1200</v>
      </c>
      <c r="M209" s="30">
        <v>6000</v>
      </c>
      <c r="N209" s="30">
        <v>18175</v>
      </c>
      <c r="O209" s="30">
        <v>32400</v>
      </c>
      <c r="P209" s="41">
        <v>8500</v>
      </c>
      <c r="Q209" s="28">
        <v>2649</v>
      </c>
      <c r="R209" s="28">
        <v>0</v>
      </c>
      <c r="S209" s="33"/>
      <c r="T209" s="28">
        <v>50</v>
      </c>
      <c r="U209" s="28">
        <v>0</v>
      </c>
      <c r="V209" s="28">
        <v>100</v>
      </c>
    </row>
    <row r="210" ht="58.5" customHeight="1">
      <c r="A210" t="s" s="21">
        <v>225</v>
      </c>
      <c r="B210" s="22">
        <f>SUM(C210,G210)</f>
        <v>62000</v>
      </c>
      <c r="C210" s="23">
        <f>SUM(H210,I210,J210,K210,L210,M210,N210,O210,P210,Q210,R210,S210,T210,U210,V210)</f>
        <v>62000</v>
      </c>
      <c r="D210" s="36"/>
      <c r="E210" s="25"/>
      <c r="F210" s="25"/>
      <c r="G210" s="26"/>
      <c r="H210" s="27">
        <v>50000</v>
      </c>
      <c r="I210" s="28">
        <v>5000</v>
      </c>
      <c r="J210" s="28">
        <v>5000</v>
      </c>
      <c r="K210" s="28">
        <v>2000</v>
      </c>
      <c r="L210" s="28">
        <v>0</v>
      </c>
      <c r="M210" s="30">
        <v>0</v>
      </c>
      <c r="N210" s="30">
        <v>0</v>
      </c>
      <c r="O210" s="30">
        <v>0</v>
      </c>
      <c r="P210" s="41">
        <v>0</v>
      </c>
      <c r="Q210" s="28">
        <v>0</v>
      </c>
      <c r="R210" s="28">
        <v>0</v>
      </c>
      <c r="S210" s="33"/>
      <c r="T210" s="28">
        <v>0</v>
      </c>
      <c r="U210" s="28">
        <v>0</v>
      </c>
      <c r="V210" s="28">
        <v>0</v>
      </c>
    </row>
    <row r="211" ht="156" customHeight="1">
      <c r="A211" t="s" s="52">
        <v>226</v>
      </c>
      <c r="B211" s="42">
        <f>SUM(C211,G211)</f>
        <v>17100</v>
      </c>
      <c r="C211" s="43">
        <f>SUM(H211,I211,J211,K211,L211,M211,N211,O211,P211,Q211,R211,S211,T211,U211,V211)</f>
        <v>17100</v>
      </c>
      <c r="D211" s="44"/>
      <c r="E211" s="33"/>
      <c r="F211" s="33"/>
      <c r="G211" s="33"/>
      <c r="H211" s="27">
        <v>10000</v>
      </c>
      <c r="I211" s="51">
        <v>5000</v>
      </c>
      <c r="J211" s="51">
        <v>100</v>
      </c>
      <c r="K211" s="51">
        <v>2000</v>
      </c>
      <c r="L211" s="51">
        <v>0</v>
      </c>
      <c r="M211" s="48">
        <v>0</v>
      </c>
      <c r="N211" s="48">
        <v>0</v>
      </c>
      <c r="O211" s="55">
        <v>0</v>
      </c>
      <c r="P211" s="41">
        <v>0</v>
      </c>
      <c r="Q211" s="51">
        <v>0</v>
      </c>
      <c r="R211" s="51">
        <v>0</v>
      </c>
      <c r="S211" s="33"/>
      <c r="T211" s="51">
        <v>0</v>
      </c>
      <c r="U211" s="51">
        <v>0</v>
      </c>
      <c r="V211" s="51">
        <v>0</v>
      </c>
    </row>
    <row r="212" ht="409.5" customHeight="1">
      <c r="A212" t="s" s="21">
        <v>227</v>
      </c>
      <c r="B212" s="22">
        <f>SUM(C212,G212)</f>
        <v>281630</v>
      </c>
      <c r="C212" s="23">
        <f>SUM(H212,I212,J212,K212,L212,M212,N212,O212,P212,Q212,R212,S212,T212,U212,V212)</f>
        <v>281630</v>
      </c>
      <c r="D212" s="36"/>
      <c r="E212" s="25"/>
      <c r="F212" s="25"/>
      <c r="G212" s="26"/>
      <c r="H212" s="27">
        <v>100000</v>
      </c>
      <c r="I212" s="28">
        <v>10000</v>
      </c>
      <c r="J212" s="28">
        <v>25000</v>
      </c>
      <c r="K212" s="28">
        <v>30000</v>
      </c>
      <c r="L212" s="28">
        <v>10000</v>
      </c>
      <c r="M212" s="30">
        <v>72000</v>
      </c>
      <c r="N212" s="30">
        <v>0</v>
      </c>
      <c r="O212" s="30">
        <v>0</v>
      </c>
      <c r="P212" s="41">
        <v>0</v>
      </c>
      <c r="Q212" s="28">
        <v>22600</v>
      </c>
      <c r="R212" s="28">
        <v>3420</v>
      </c>
      <c r="S212" s="75">
        <v>60</v>
      </c>
      <c r="T212" s="28">
        <v>450</v>
      </c>
      <c r="U212" s="28">
        <v>6000</v>
      </c>
      <c r="V212" s="28">
        <v>2100</v>
      </c>
    </row>
    <row r="213" ht="195" customHeight="1">
      <c r="A213" t="s" s="21">
        <v>228</v>
      </c>
      <c r="B213" s="22">
        <f>SUM(C213,G213)</f>
        <v>35500</v>
      </c>
      <c r="C213" s="23">
        <f>SUM(H213,I213,J213,K213,L213,M213,N213,O213,P213,Q213,R213,S213,T213,U213,V213)</f>
        <v>35500</v>
      </c>
      <c r="D213" s="36"/>
      <c r="E213" s="25"/>
      <c r="F213" s="25"/>
      <c r="G213" s="26"/>
      <c r="H213" s="27">
        <v>25000</v>
      </c>
      <c r="I213" s="28">
        <v>5000</v>
      </c>
      <c r="J213" s="28">
        <v>2000</v>
      </c>
      <c r="K213" s="28">
        <v>3500</v>
      </c>
      <c r="L213" s="28">
        <v>0</v>
      </c>
      <c r="M213" s="30">
        <v>0</v>
      </c>
      <c r="N213" s="30">
        <v>0</v>
      </c>
      <c r="O213" s="30">
        <v>0</v>
      </c>
      <c r="P213" s="41">
        <v>0</v>
      </c>
      <c r="Q213" s="28">
        <v>0</v>
      </c>
      <c r="R213" s="28">
        <v>0</v>
      </c>
      <c r="S213" s="33"/>
      <c r="T213" s="28">
        <v>0</v>
      </c>
      <c r="U213" s="28">
        <v>0</v>
      </c>
      <c r="V213" s="87"/>
    </row>
    <row r="214" ht="47.25" customHeight="1">
      <c r="A214" t="s" s="21">
        <v>229</v>
      </c>
      <c r="B214" s="22">
        <f>SUM(C214,G214)</f>
        <v>310</v>
      </c>
      <c r="C214" s="23">
        <f>SUM(H214,I214,J214,K214,L214,M214,N214,O214,P214,Q214,R214,S214,T214,U214,V214)</f>
        <v>310</v>
      </c>
      <c r="D214" s="36"/>
      <c r="E214" s="25"/>
      <c r="F214" s="25"/>
      <c r="G214" s="26"/>
      <c r="H214" s="27">
        <v>200</v>
      </c>
      <c r="I214" s="28">
        <v>0</v>
      </c>
      <c r="J214" s="28">
        <v>10</v>
      </c>
      <c r="K214" s="28">
        <v>100</v>
      </c>
      <c r="L214" s="28">
        <v>0</v>
      </c>
      <c r="M214" s="30">
        <v>0</v>
      </c>
      <c r="N214" s="30">
        <v>0</v>
      </c>
      <c r="O214" s="30">
        <v>0</v>
      </c>
      <c r="P214" s="41">
        <v>0</v>
      </c>
      <c r="Q214" s="28">
        <v>0</v>
      </c>
      <c r="R214" s="28">
        <v>0</v>
      </c>
      <c r="S214" s="33"/>
      <c r="T214" s="28">
        <v>0</v>
      </c>
      <c r="U214" s="28">
        <v>0</v>
      </c>
      <c r="V214" s="28">
        <v>0</v>
      </c>
    </row>
    <row r="215" ht="409.5" customHeight="1">
      <c r="A215" t="s" s="10">
        <v>230</v>
      </c>
      <c r="B215" s="34">
        <f>SUM(C215,G215)</f>
        <v>5500</v>
      </c>
      <c r="C215" s="35">
        <f>SUM(H215,I215,J215,K215,L215,M215,N215,O215,P215,Q215,R215,S215,T215,U215,V215)</f>
        <v>5500</v>
      </c>
      <c r="D215" s="36"/>
      <c r="E215" s="25"/>
      <c r="F215" s="25"/>
      <c r="G215" s="26"/>
      <c r="H215" s="27">
        <v>4000</v>
      </c>
      <c r="I215" s="38">
        <v>0</v>
      </c>
      <c r="J215" s="38">
        <v>800</v>
      </c>
      <c r="K215" s="38">
        <v>600</v>
      </c>
      <c r="L215" s="38">
        <v>100</v>
      </c>
      <c r="M215" s="40">
        <v>0</v>
      </c>
      <c r="N215" s="40">
        <v>0</v>
      </c>
      <c r="O215" s="40">
        <v>0</v>
      </c>
      <c r="P215" s="41">
        <v>0</v>
      </c>
      <c r="Q215" s="38">
        <v>0</v>
      </c>
      <c r="R215" s="38">
        <v>0</v>
      </c>
      <c r="S215" s="33"/>
      <c r="T215" s="38">
        <v>0</v>
      </c>
      <c r="U215" s="38">
        <v>0</v>
      </c>
      <c r="V215" s="38">
        <v>0</v>
      </c>
    </row>
    <row r="216" ht="312" customHeight="1">
      <c r="A216" t="s" s="52">
        <v>231</v>
      </c>
      <c r="B216" s="42">
        <f>SUM(C216,G216)</f>
        <v>0</v>
      </c>
      <c r="C216" s="43">
        <f>SUM(H216,I216,J216,K216,L216,M216,N216,O216,P216,Q216,R216,S216,T216,U216,V216)</f>
        <v>0</v>
      </c>
      <c r="D216" s="44"/>
      <c r="E216" s="45"/>
      <c r="F216" s="45"/>
      <c r="G216" s="45"/>
      <c r="H216" s="27">
        <v>0</v>
      </c>
      <c r="I216" s="51">
        <v>0</v>
      </c>
      <c r="J216" s="51">
        <v>0</v>
      </c>
      <c r="K216" s="51">
        <v>0</v>
      </c>
      <c r="L216" s="51">
        <v>0</v>
      </c>
      <c r="M216" s="48">
        <v>0</v>
      </c>
      <c r="N216" s="48">
        <v>0</v>
      </c>
      <c r="O216" s="55">
        <v>0</v>
      </c>
      <c r="P216" s="58">
        <v>0</v>
      </c>
      <c r="Q216" s="51">
        <v>0</v>
      </c>
      <c r="R216" s="47"/>
      <c r="S216" s="45"/>
      <c r="T216" s="51">
        <v>0</v>
      </c>
      <c r="U216" s="51">
        <v>0</v>
      </c>
      <c r="V216" s="47"/>
    </row>
    <row r="217" ht="214.5" customHeight="1">
      <c r="A217" t="s" s="88">
        <v>232</v>
      </c>
      <c r="B217" s="42">
        <f>SUM(C217,G217)</f>
        <v>0</v>
      </c>
      <c r="C217" s="43">
        <f>SUM(H217,I217,J217,K217,L217,M217,N217,O217,P217,Q217,R217,S217,T217,U217,V217)</f>
        <v>0</v>
      </c>
      <c r="D217" s="44"/>
      <c r="E217" s="6"/>
      <c r="F217" s="6"/>
      <c r="G217" s="6"/>
      <c r="H217" s="46"/>
      <c r="I217" s="47"/>
      <c r="J217" s="47"/>
      <c r="K217" s="47"/>
      <c r="L217" s="51">
        <v>0</v>
      </c>
      <c r="M217" s="48">
        <v>0</v>
      </c>
      <c r="N217" s="49"/>
      <c r="O217" s="50"/>
      <c r="P217" s="6"/>
      <c r="Q217" s="51">
        <v>0</v>
      </c>
      <c r="R217" s="47"/>
      <c r="S217" s="6"/>
      <c r="T217" s="47"/>
      <c r="U217" s="47"/>
      <c r="V217" s="51">
        <v>0</v>
      </c>
    </row>
    <row r="218" ht="63" customHeight="1">
      <c r="A218" t="s" s="52">
        <v>233</v>
      </c>
      <c r="B218" s="42">
        <f>SUM(C218,G218)</f>
        <v>0</v>
      </c>
      <c r="C218" s="43">
        <f>SUM(H218,I218,J218,K218,L218,M218,N218,O218,P218,Q218,R218,S218,T218,U218,V218)</f>
        <v>0</v>
      </c>
      <c r="D218" s="44"/>
      <c r="E218" s="6"/>
      <c r="F218" s="6"/>
      <c r="G218" s="6"/>
      <c r="H218" s="27">
        <v>0</v>
      </c>
      <c r="I218" s="51">
        <v>0</v>
      </c>
      <c r="J218" s="51">
        <v>0</v>
      </c>
      <c r="K218" s="51">
        <v>0</v>
      </c>
      <c r="L218" s="51">
        <v>0</v>
      </c>
      <c r="M218" s="48">
        <v>0</v>
      </c>
      <c r="N218" s="48">
        <v>0</v>
      </c>
      <c r="O218" s="55">
        <v>0</v>
      </c>
      <c r="P218" s="53">
        <v>0</v>
      </c>
      <c r="Q218" s="51">
        <v>0</v>
      </c>
      <c r="R218" s="51">
        <v>0</v>
      </c>
      <c r="S218" s="6"/>
      <c r="T218" s="51">
        <v>0</v>
      </c>
      <c r="U218" s="51">
        <v>0</v>
      </c>
      <c r="V218" s="51">
        <v>0</v>
      </c>
    </row>
    <row r="219" ht="31.5" customHeight="1">
      <c r="A219" t="s" s="52">
        <v>234</v>
      </c>
      <c r="B219" s="42">
        <f>SUM(C219,G219)</f>
        <v>0</v>
      </c>
      <c r="C219" s="43">
        <f>SUM(H219,I219,J219,K219,L219,M219,N219,O219,P219,Q219,R219,S219,T219,U219,V219)</f>
        <v>0</v>
      </c>
      <c r="D219" s="44"/>
      <c r="E219" s="6"/>
      <c r="F219" s="6"/>
      <c r="G219" s="6"/>
      <c r="H219" s="27">
        <v>0</v>
      </c>
      <c r="I219" s="51">
        <v>0</v>
      </c>
      <c r="J219" s="51">
        <v>0</v>
      </c>
      <c r="K219" s="51">
        <v>0</v>
      </c>
      <c r="L219" s="51">
        <v>0</v>
      </c>
      <c r="M219" s="48">
        <v>0</v>
      </c>
      <c r="N219" s="48">
        <v>0</v>
      </c>
      <c r="O219" s="55">
        <v>0</v>
      </c>
      <c r="P219" s="53">
        <v>0</v>
      </c>
      <c r="Q219" s="51">
        <v>0</v>
      </c>
      <c r="R219" s="51">
        <v>0</v>
      </c>
      <c r="S219" s="6"/>
      <c r="T219" s="51">
        <v>0</v>
      </c>
      <c r="U219" s="51">
        <v>0</v>
      </c>
      <c r="V219" s="51">
        <v>0</v>
      </c>
    </row>
    <row r="220" ht="31.5" customHeight="1">
      <c r="A220" t="s" s="52">
        <v>235</v>
      </c>
      <c r="B220" s="42">
        <f>SUM(C220,G220)</f>
        <v>0</v>
      </c>
      <c r="C220" s="43">
        <f>SUM(H220,I220,J220,K220,L220,M220,N220,O220,P220,Q220,R220,S220,T220,U220,V220)</f>
        <v>0</v>
      </c>
      <c r="D220" s="44"/>
      <c r="E220" s="6"/>
      <c r="F220" s="6"/>
      <c r="G220" s="6"/>
      <c r="H220" s="27">
        <v>0</v>
      </c>
      <c r="I220" s="51">
        <v>0</v>
      </c>
      <c r="J220" s="51">
        <v>0</v>
      </c>
      <c r="K220" s="51">
        <v>0</v>
      </c>
      <c r="L220" s="51">
        <v>0</v>
      </c>
      <c r="M220" s="48">
        <v>0</v>
      </c>
      <c r="N220" s="48">
        <v>0</v>
      </c>
      <c r="O220" s="55">
        <v>0</v>
      </c>
      <c r="P220" s="53">
        <v>0</v>
      </c>
      <c r="Q220" s="51">
        <v>0</v>
      </c>
      <c r="R220" s="51">
        <v>0</v>
      </c>
      <c r="S220" s="6"/>
      <c r="T220" s="51">
        <v>0</v>
      </c>
      <c r="U220" s="51">
        <v>0</v>
      </c>
      <c r="V220" s="51">
        <v>0</v>
      </c>
    </row>
    <row r="221" ht="19.5" customHeight="1">
      <c r="A221" t="s" s="52">
        <v>236</v>
      </c>
      <c r="B221" s="42">
        <f>SUM(C221,G221)</f>
        <v>0</v>
      </c>
      <c r="C221" s="43">
        <f>SUM(H221,I221,J221,K221,L221,M221,N221,O221,P221,Q221,R221,S221,T221,U221,V221)</f>
        <v>0</v>
      </c>
      <c r="D221" s="44"/>
      <c r="E221" s="6"/>
      <c r="F221" s="6"/>
      <c r="G221" s="6"/>
      <c r="H221" s="27">
        <v>0</v>
      </c>
      <c r="I221" s="51">
        <v>0</v>
      </c>
      <c r="J221" s="51">
        <v>0</v>
      </c>
      <c r="K221" s="51">
        <v>0</v>
      </c>
      <c r="L221" s="51">
        <v>0</v>
      </c>
      <c r="M221" s="48">
        <v>0</v>
      </c>
      <c r="N221" s="48">
        <v>0</v>
      </c>
      <c r="O221" s="55">
        <v>0</v>
      </c>
      <c r="P221" s="53">
        <v>0</v>
      </c>
      <c r="Q221" s="51">
        <v>0</v>
      </c>
      <c r="R221" s="51">
        <v>0</v>
      </c>
      <c r="S221" s="6"/>
      <c r="T221" s="51">
        <v>0</v>
      </c>
      <c r="U221" s="51">
        <v>0</v>
      </c>
      <c r="V221" s="51">
        <v>0</v>
      </c>
    </row>
    <row r="222" ht="19.5" customHeight="1">
      <c r="A222" t="s" s="52">
        <v>237</v>
      </c>
      <c r="B222" s="42">
        <f>SUM(C222,G222)</f>
        <v>0</v>
      </c>
      <c r="C222" s="43">
        <f>SUM(H222,I222,J222,K222,L222,M222,N222,O222,P222,Q222,R222,S222,T222,U222,V222)</f>
        <v>0</v>
      </c>
      <c r="D222" s="44"/>
      <c r="E222" s="6"/>
      <c r="F222" s="6"/>
      <c r="G222" s="6"/>
      <c r="H222" s="27">
        <v>0</v>
      </c>
      <c r="I222" s="51">
        <v>0</v>
      </c>
      <c r="J222" s="51">
        <v>0</v>
      </c>
      <c r="K222" s="51">
        <v>0</v>
      </c>
      <c r="L222" s="51">
        <v>0</v>
      </c>
      <c r="M222" s="48">
        <v>0</v>
      </c>
      <c r="N222" s="48">
        <v>0</v>
      </c>
      <c r="O222" s="55">
        <v>0</v>
      </c>
      <c r="P222" s="53">
        <v>0</v>
      </c>
      <c r="Q222" s="51">
        <v>0</v>
      </c>
      <c r="R222" s="51">
        <v>0</v>
      </c>
      <c r="S222" s="6"/>
      <c r="T222" s="51">
        <v>0</v>
      </c>
      <c r="U222" s="51">
        <v>0</v>
      </c>
      <c r="V222" s="51">
        <v>0</v>
      </c>
    </row>
    <row r="223" ht="39" customHeight="1">
      <c r="A223" t="s" s="52">
        <v>238</v>
      </c>
      <c r="B223" s="42">
        <f>SUM(C223,G223)</f>
        <v>0</v>
      </c>
      <c r="C223" s="43">
        <f>SUM(H223,I223,J223,K223,L223,M223,N223,O223,P223,Q223,R223,S223,T223,U223,V223)</f>
        <v>0</v>
      </c>
      <c r="D223" s="44"/>
      <c r="E223" s="6"/>
      <c r="F223" s="6"/>
      <c r="G223" s="6"/>
      <c r="H223" s="27">
        <v>0</v>
      </c>
      <c r="I223" s="51">
        <v>0</v>
      </c>
      <c r="J223" s="51">
        <v>0</v>
      </c>
      <c r="K223" s="51">
        <v>0</v>
      </c>
      <c r="L223" s="51">
        <v>0</v>
      </c>
      <c r="M223" s="48">
        <v>0</v>
      </c>
      <c r="N223" s="48">
        <v>0</v>
      </c>
      <c r="O223" s="55">
        <v>0</v>
      </c>
      <c r="P223" s="53">
        <v>0</v>
      </c>
      <c r="Q223" s="51">
        <v>0</v>
      </c>
      <c r="R223" s="51">
        <v>0</v>
      </c>
      <c r="S223" s="6"/>
      <c r="T223" s="51">
        <v>0</v>
      </c>
      <c r="U223" s="51">
        <v>0</v>
      </c>
      <c r="V223" s="51">
        <v>0</v>
      </c>
    </row>
    <row r="224" ht="409.5" customHeight="1">
      <c r="A224" t="s" s="52">
        <v>239</v>
      </c>
      <c r="B224" s="42">
        <f>SUM(C224,G224)</f>
        <v>15000</v>
      </c>
      <c r="C224" s="43">
        <f>SUM(H224,I224,J224,K224,L224,M224,N224,O224,P224,Q224,R224,S224,T224,U224,V224)</f>
        <v>15000</v>
      </c>
      <c r="D224" s="44"/>
      <c r="E224" s="6"/>
      <c r="F224" s="6"/>
      <c r="G224" s="6"/>
      <c r="H224" s="27">
        <v>0</v>
      </c>
      <c r="I224" s="51">
        <v>0</v>
      </c>
      <c r="J224" s="51">
        <v>5000</v>
      </c>
      <c r="K224" s="51">
        <v>3000</v>
      </c>
      <c r="L224" s="51">
        <v>7000</v>
      </c>
      <c r="M224" s="48">
        <v>0</v>
      </c>
      <c r="N224" s="48">
        <v>0</v>
      </c>
      <c r="O224" s="55">
        <v>0</v>
      </c>
      <c r="P224" s="53">
        <v>0</v>
      </c>
      <c r="Q224" s="51">
        <v>0</v>
      </c>
      <c r="R224" s="51">
        <v>0</v>
      </c>
      <c r="S224" s="6"/>
      <c r="T224" s="51">
        <v>0</v>
      </c>
      <c r="U224" s="51">
        <v>0</v>
      </c>
      <c r="V224" s="51">
        <v>0</v>
      </c>
    </row>
    <row r="225" ht="94.5" customHeight="1">
      <c r="A225" t="s" s="52">
        <v>240</v>
      </c>
      <c r="B225" s="42">
        <f>SUM(C225,G225)</f>
        <v>0</v>
      </c>
      <c r="C225" s="43">
        <f>SUM(H225,I225,J225,K225,L225,M225,N225,O225,P225,Q225,R225,S225,T225,U225,V225)</f>
        <v>0</v>
      </c>
      <c r="D225" s="44"/>
      <c r="E225" s="6"/>
      <c r="F225" s="6"/>
      <c r="G225" s="6"/>
      <c r="H225" s="27">
        <v>0</v>
      </c>
      <c r="I225" s="51">
        <v>0</v>
      </c>
      <c r="J225" s="51">
        <v>0</v>
      </c>
      <c r="K225" s="51">
        <v>0</v>
      </c>
      <c r="L225" s="51">
        <v>0</v>
      </c>
      <c r="M225" s="48">
        <v>0</v>
      </c>
      <c r="N225" s="48">
        <v>0</v>
      </c>
      <c r="O225" s="55">
        <v>0</v>
      </c>
      <c r="P225" s="53">
        <v>0</v>
      </c>
      <c r="Q225" s="51">
        <v>0</v>
      </c>
      <c r="R225" s="51">
        <v>0</v>
      </c>
      <c r="S225" s="6"/>
      <c r="T225" s="51">
        <v>0</v>
      </c>
      <c r="U225" s="51">
        <v>0</v>
      </c>
      <c r="V225" s="47"/>
    </row>
    <row r="226" ht="63" customHeight="1">
      <c r="A226" t="s" s="52">
        <v>241</v>
      </c>
      <c r="B226" s="42">
        <f>SUM(C226,G226)</f>
        <v>0</v>
      </c>
      <c r="C226" s="43">
        <f>SUM(H226,I226,J226,K226,L226,M226,N226,O226,P226,Q226,R226,S226,T226,U226,V226)</f>
        <v>0</v>
      </c>
      <c r="D226" s="44"/>
      <c r="E226" s="6"/>
      <c r="F226" s="6"/>
      <c r="G226" s="6"/>
      <c r="H226" s="27">
        <v>0</v>
      </c>
      <c r="I226" s="51">
        <v>0</v>
      </c>
      <c r="J226" s="51">
        <v>0</v>
      </c>
      <c r="K226" s="51">
        <v>0</v>
      </c>
      <c r="L226" s="51">
        <v>0</v>
      </c>
      <c r="M226" s="48">
        <v>0</v>
      </c>
      <c r="N226" s="48">
        <v>0</v>
      </c>
      <c r="O226" s="55">
        <v>0</v>
      </c>
      <c r="P226" s="53">
        <v>0</v>
      </c>
      <c r="Q226" s="51">
        <v>0</v>
      </c>
      <c r="R226" s="51">
        <v>0</v>
      </c>
      <c r="S226" s="6"/>
      <c r="T226" s="51">
        <v>0</v>
      </c>
      <c r="U226" s="51">
        <v>0</v>
      </c>
      <c r="V226" s="51">
        <v>0</v>
      </c>
    </row>
    <row r="227" ht="47.25" customHeight="1">
      <c r="A227" t="s" s="52">
        <v>242</v>
      </c>
      <c r="B227" s="42">
        <f>SUM(C227,G227)</f>
        <v>0</v>
      </c>
      <c r="C227" s="43">
        <f>SUM(H227,I227,J227,K227,L227,M227,N227,O227,P227,Q227,R227,S227,T227,U227,V227)</f>
        <v>0</v>
      </c>
      <c r="D227" s="44"/>
      <c r="E227" s="6"/>
      <c r="F227" s="6"/>
      <c r="G227" s="6"/>
      <c r="H227" s="46"/>
      <c r="I227" s="51">
        <v>0</v>
      </c>
      <c r="J227" s="51">
        <v>0</v>
      </c>
      <c r="K227" s="51">
        <v>0</v>
      </c>
      <c r="L227" s="51">
        <v>0</v>
      </c>
      <c r="M227" s="48">
        <v>0</v>
      </c>
      <c r="N227" s="48">
        <v>0</v>
      </c>
      <c r="O227" s="55">
        <v>0</v>
      </c>
      <c r="P227" s="53">
        <v>0</v>
      </c>
      <c r="Q227" s="51">
        <v>0</v>
      </c>
      <c r="R227" s="51">
        <v>0</v>
      </c>
      <c r="S227" s="6"/>
      <c r="T227" s="51">
        <v>0</v>
      </c>
      <c r="U227" s="51">
        <v>0</v>
      </c>
      <c r="V227" s="51">
        <v>0</v>
      </c>
    </row>
    <row r="228" ht="31.5" customHeight="1">
      <c r="A228" t="s" s="52">
        <v>243</v>
      </c>
      <c r="B228" s="42">
        <f>SUM(C228,G228)</f>
        <v>0</v>
      </c>
      <c r="C228" s="43">
        <f>SUM(H228,I228,J228,K228,L228,M228,N228,O228,P228,Q228,R228,S228,T228,U228,V228)</f>
        <v>0</v>
      </c>
      <c r="D228" s="44"/>
      <c r="E228" s="6"/>
      <c r="F228" s="6"/>
      <c r="G228" s="6"/>
      <c r="H228" s="27">
        <v>0</v>
      </c>
      <c r="I228" s="51">
        <v>0</v>
      </c>
      <c r="J228" s="51">
        <v>0</v>
      </c>
      <c r="K228" s="51">
        <v>0</v>
      </c>
      <c r="L228" s="51">
        <v>0</v>
      </c>
      <c r="M228" s="48">
        <v>0</v>
      </c>
      <c r="N228" s="48">
        <v>0</v>
      </c>
      <c r="O228" s="55">
        <v>0</v>
      </c>
      <c r="P228" s="53">
        <v>0</v>
      </c>
      <c r="Q228" s="51">
        <v>0</v>
      </c>
      <c r="R228" s="51">
        <v>0</v>
      </c>
      <c r="S228" s="6"/>
      <c r="T228" s="51">
        <v>0</v>
      </c>
      <c r="U228" s="51">
        <v>0</v>
      </c>
      <c r="V228" s="51">
        <v>0</v>
      </c>
    </row>
    <row r="229" ht="97.5" customHeight="1">
      <c r="A229" t="s" s="52">
        <v>244</v>
      </c>
      <c r="B229" s="42">
        <f>SUM(C229,G229)</f>
        <v>0</v>
      </c>
      <c r="C229" s="43">
        <f>SUM(H229,I229,J229,K229,L229,M229,N229,O229,P229,Q229,R229,S229,T229,U229,V229)</f>
        <v>0</v>
      </c>
      <c r="D229" s="44"/>
      <c r="E229" s="6"/>
      <c r="F229" s="6"/>
      <c r="G229" s="6"/>
      <c r="H229" s="27">
        <v>0</v>
      </c>
      <c r="I229" s="51">
        <v>0</v>
      </c>
      <c r="J229" s="51">
        <v>0</v>
      </c>
      <c r="K229" s="51">
        <v>0</v>
      </c>
      <c r="L229" s="51">
        <v>0</v>
      </c>
      <c r="M229" s="48">
        <v>0</v>
      </c>
      <c r="N229" s="48">
        <v>0</v>
      </c>
      <c r="O229" s="55">
        <v>0</v>
      </c>
      <c r="P229" s="53">
        <v>0</v>
      </c>
      <c r="Q229" s="51">
        <v>0</v>
      </c>
      <c r="R229" s="51">
        <v>0</v>
      </c>
      <c r="S229" s="6"/>
      <c r="T229" s="51">
        <v>0</v>
      </c>
      <c r="U229" s="51">
        <v>0</v>
      </c>
      <c r="V229" s="51">
        <v>0</v>
      </c>
    </row>
    <row r="230" ht="58.5" customHeight="1">
      <c r="A230" t="s" s="52">
        <v>245</v>
      </c>
      <c r="B230" s="42">
        <f>SUM(C230,G230)</f>
        <v>0</v>
      </c>
      <c r="C230" s="43">
        <f>SUM(H230,I230,J230,K230,L230,M230,N230,O230,P230,Q230,R230,S230,T230,U230,V230)</f>
        <v>0</v>
      </c>
      <c r="D230" s="44"/>
      <c r="E230" s="6"/>
      <c r="F230" s="6"/>
      <c r="G230" s="6"/>
      <c r="H230" s="27">
        <v>0</v>
      </c>
      <c r="I230" s="51">
        <v>0</v>
      </c>
      <c r="J230" s="51">
        <v>0</v>
      </c>
      <c r="K230" s="51">
        <v>0</v>
      </c>
      <c r="L230" s="51">
        <v>0</v>
      </c>
      <c r="M230" s="48">
        <v>0</v>
      </c>
      <c r="N230" s="48">
        <v>0</v>
      </c>
      <c r="O230" s="55">
        <v>0</v>
      </c>
      <c r="P230" s="53">
        <v>0</v>
      </c>
      <c r="Q230" s="51">
        <v>0</v>
      </c>
      <c r="R230" s="51">
        <v>0</v>
      </c>
      <c r="S230" s="6"/>
      <c r="T230" s="51">
        <v>0</v>
      </c>
      <c r="U230" s="51">
        <v>0</v>
      </c>
      <c r="V230" s="51">
        <v>0</v>
      </c>
    </row>
    <row r="231" ht="97.5" customHeight="1">
      <c r="A231" t="s" s="52">
        <v>246</v>
      </c>
      <c r="B231" s="42">
        <f>SUM(C231,G231)</f>
        <v>0</v>
      </c>
      <c r="C231" s="43">
        <f>SUM(H231,I231,J231,K231,L231,M231,N231,O231,P231,Q231,R231,S231,T231,U231,V231)</f>
        <v>0</v>
      </c>
      <c r="D231" s="44"/>
      <c r="E231" s="6"/>
      <c r="F231" s="6"/>
      <c r="G231" s="6"/>
      <c r="H231" s="27">
        <v>0</v>
      </c>
      <c r="I231" s="51">
        <v>0</v>
      </c>
      <c r="J231" s="51">
        <v>0</v>
      </c>
      <c r="K231" s="51">
        <v>0</v>
      </c>
      <c r="L231" s="51">
        <v>0</v>
      </c>
      <c r="M231" s="48">
        <v>0</v>
      </c>
      <c r="N231" s="48">
        <v>0</v>
      </c>
      <c r="O231" s="55">
        <v>0</v>
      </c>
      <c r="P231" s="53">
        <v>0</v>
      </c>
      <c r="Q231" s="51">
        <v>0</v>
      </c>
      <c r="R231" s="51">
        <v>0</v>
      </c>
      <c r="S231" s="6"/>
      <c r="T231" s="51">
        <v>0</v>
      </c>
      <c r="U231" s="51">
        <v>0</v>
      </c>
      <c r="V231" s="51">
        <v>0</v>
      </c>
    </row>
    <row r="232" ht="409.5" customHeight="1">
      <c r="A232" t="s" s="52">
        <v>247</v>
      </c>
      <c r="B232" s="42">
        <f>SUM(C232,G232)</f>
        <v>40</v>
      </c>
      <c r="C232" s="43">
        <f>SUM(H232,I232,J232,K232,L232,M232,N232,O232,P232,Q232,R232,S232,T232,U232,V232)</f>
        <v>40</v>
      </c>
      <c r="D232" s="44"/>
      <c r="E232" s="6"/>
      <c r="F232" s="6"/>
      <c r="G232" s="6"/>
      <c r="H232" s="27">
        <v>0</v>
      </c>
      <c r="I232" s="51">
        <v>0</v>
      </c>
      <c r="J232" s="51">
        <v>40</v>
      </c>
      <c r="K232" s="51">
        <v>0</v>
      </c>
      <c r="L232" s="51">
        <v>0</v>
      </c>
      <c r="M232" s="48">
        <v>0</v>
      </c>
      <c r="N232" s="48">
        <v>0</v>
      </c>
      <c r="O232" s="55">
        <v>0</v>
      </c>
      <c r="P232" s="53">
        <v>0</v>
      </c>
      <c r="Q232" s="51">
        <v>0</v>
      </c>
      <c r="R232" s="51">
        <v>0</v>
      </c>
      <c r="S232" s="6"/>
      <c r="T232" s="51">
        <v>0</v>
      </c>
      <c r="U232" s="51">
        <v>0</v>
      </c>
      <c r="V232" s="51">
        <v>0</v>
      </c>
    </row>
    <row r="233" ht="117" customHeight="1">
      <c r="A233" t="s" s="52">
        <v>248</v>
      </c>
      <c r="B233" s="42">
        <f>SUM(C233,G233)</f>
        <v>0</v>
      </c>
      <c r="C233" s="43">
        <f>SUM(H233,I233,J233,K233,L233,M233,N233,O233,P233,Q233,R233,S233,T233,U233,V233)</f>
        <v>0</v>
      </c>
      <c r="D233" s="44"/>
      <c r="E233" s="6"/>
      <c r="F233" s="6"/>
      <c r="G233" s="6"/>
      <c r="H233" s="27">
        <v>0</v>
      </c>
      <c r="I233" s="51">
        <v>0</v>
      </c>
      <c r="J233" s="51">
        <v>0</v>
      </c>
      <c r="K233" s="51">
        <v>0</v>
      </c>
      <c r="L233" s="51">
        <v>0</v>
      </c>
      <c r="M233" s="48">
        <v>0</v>
      </c>
      <c r="N233" s="48">
        <v>0</v>
      </c>
      <c r="O233" s="55">
        <v>0</v>
      </c>
      <c r="P233" s="53">
        <v>0</v>
      </c>
      <c r="Q233" s="51">
        <v>0</v>
      </c>
      <c r="R233" s="51">
        <v>0</v>
      </c>
      <c r="S233" s="6"/>
      <c r="T233" s="51">
        <v>0</v>
      </c>
      <c r="U233" s="51">
        <v>0</v>
      </c>
      <c r="V233" s="51">
        <v>0</v>
      </c>
    </row>
    <row r="234" ht="253.5" customHeight="1">
      <c r="A234" t="s" s="52">
        <v>249</v>
      </c>
      <c r="B234" s="42">
        <f>SUM(C234,G234)</f>
        <v>0</v>
      </c>
      <c r="C234" s="43">
        <f>SUM(H234,I234,J234,K234,L234,M234,N234,O234,P234,Q234,R234,S234,T234,U234,V234)</f>
        <v>0</v>
      </c>
      <c r="D234" s="44"/>
      <c r="E234" s="6"/>
      <c r="F234" s="6"/>
      <c r="G234" s="6"/>
      <c r="H234" s="27">
        <v>0</v>
      </c>
      <c r="I234" s="51">
        <v>0</v>
      </c>
      <c r="J234" s="51">
        <v>0</v>
      </c>
      <c r="K234" s="51">
        <v>0</v>
      </c>
      <c r="L234" s="51">
        <v>0</v>
      </c>
      <c r="M234" s="48">
        <v>0</v>
      </c>
      <c r="N234" s="48">
        <v>0</v>
      </c>
      <c r="O234" s="55">
        <v>0</v>
      </c>
      <c r="P234" s="53">
        <v>0</v>
      </c>
      <c r="Q234" s="51">
        <v>0</v>
      </c>
      <c r="R234" s="51">
        <v>0</v>
      </c>
      <c r="S234" s="6"/>
      <c r="T234" s="51">
        <v>0</v>
      </c>
      <c r="U234" s="51">
        <v>0</v>
      </c>
      <c r="V234" s="51">
        <v>0</v>
      </c>
    </row>
    <row r="235" ht="312" customHeight="1">
      <c r="A235" t="s" s="52">
        <v>250</v>
      </c>
      <c r="B235" s="42">
        <f>SUM(C235,G235)</f>
        <v>0</v>
      </c>
      <c r="C235" s="43">
        <f>SUM(H235,I235,J235,K235,L235,M235,N235,O235,P235,Q235,R235,S235,T235,U235,V235)</f>
        <v>0</v>
      </c>
      <c r="D235" s="44"/>
      <c r="E235" s="6"/>
      <c r="F235" s="6"/>
      <c r="G235" s="6"/>
      <c r="H235" s="27">
        <v>0</v>
      </c>
      <c r="I235" s="51">
        <v>0</v>
      </c>
      <c r="J235" s="51">
        <v>0</v>
      </c>
      <c r="K235" s="51">
        <v>0</v>
      </c>
      <c r="L235" s="51">
        <v>0</v>
      </c>
      <c r="M235" s="48">
        <v>0</v>
      </c>
      <c r="N235" s="48">
        <v>0</v>
      </c>
      <c r="O235" s="55">
        <v>0</v>
      </c>
      <c r="P235" s="53">
        <v>0</v>
      </c>
      <c r="Q235" s="51">
        <v>0</v>
      </c>
      <c r="R235" s="51">
        <v>0</v>
      </c>
      <c r="S235" s="6"/>
      <c r="T235" s="51">
        <v>0</v>
      </c>
      <c r="U235" s="51">
        <v>0</v>
      </c>
      <c r="V235" s="51">
        <v>0</v>
      </c>
    </row>
    <row r="236" ht="47.25" customHeight="1">
      <c r="A236" t="s" s="52">
        <v>251</v>
      </c>
      <c r="B236" s="42">
        <f>SUM(C236,G236)</f>
        <v>0</v>
      </c>
      <c r="C236" s="43">
        <f>SUM(H236,I236,J236,K236,L236,M236,N236,O236,P236,Q236,R236,S236,T236,U236,V236)</f>
        <v>0</v>
      </c>
      <c r="D236" s="44"/>
      <c r="E236" s="6"/>
      <c r="F236" s="6"/>
      <c r="G236" s="6"/>
      <c r="H236" s="27">
        <v>0</v>
      </c>
      <c r="I236" s="51">
        <v>0</v>
      </c>
      <c r="J236" s="51">
        <v>0</v>
      </c>
      <c r="K236" s="51">
        <v>0</v>
      </c>
      <c r="L236" s="51">
        <v>0</v>
      </c>
      <c r="M236" s="48">
        <v>0</v>
      </c>
      <c r="N236" s="48">
        <v>0</v>
      </c>
      <c r="O236" s="55">
        <v>0</v>
      </c>
      <c r="P236" s="53">
        <v>0</v>
      </c>
      <c r="Q236" s="51">
        <v>0</v>
      </c>
      <c r="R236" s="51">
        <v>0</v>
      </c>
      <c r="S236" s="6"/>
      <c r="T236" s="51">
        <v>0</v>
      </c>
      <c r="U236" s="51">
        <v>0</v>
      </c>
      <c r="V236" s="51">
        <v>0</v>
      </c>
    </row>
    <row r="237" ht="47.25" customHeight="1">
      <c r="A237" t="s" s="52">
        <v>252</v>
      </c>
      <c r="B237" s="42">
        <f>SUM(C237,G237)</f>
        <v>0</v>
      </c>
      <c r="C237" s="43">
        <f>SUM(H237,I237,J237,K237,L237,M237,N237,O237,P237,Q237,R237,S237,T237,U237,V237)</f>
        <v>0</v>
      </c>
      <c r="D237" s="44"/>
      <c r="E237" s="6"/>
      <c r="F237" s="6"/>
      <c r="G237" s="6"/>
      <c r="H237" s="27">
        <v>0</v>
      </c>
      <c r="I237" s="51">
        <v>0</v>
      </c>
      <c r="J237" s="51">
        <v>0</v>
      </c>
      <c r="K237" s="51">
        <v>0</v>
      </c>
      <c r="L237" s="51">
        <v>0</v>
      </c>
      <c r="M237" s="48">
        <v>0</v>
      </c>
      <c r="N237" s="48">
        <v>0</v>
      </c>
      <c r="O237" s="55">
        <v>0</v>
      </c>
      <c r="P237" s="53">
        <v>0</v>
      </c>
      <c r="Q237" s="51">
        <v>0</v>
      </c>
      <c r="R237" s="51">
        <v>0</v>
      </c>
      <c r="S237" s="6"/>
      <c r="T237" s="51">
        <v>0</v>
      </c>
      <c r="U237" s="51">
        <v>0</v>
      </c>
      <c r="V237" s="51">
        <v>0</v>
      </c>
    </row>
    <row r="238" ht="19.5" customHeight="1">
      <c r="A238" t="s" s="67">
        <v>253</v>
      </c>
      <c r="B238" s="42">
        <f>SUM(C238,G238)</f>
        <v>0</v>
      </c>
      <c r="C238" s="43">
        <f>SUM(H238,I238,J238,K238,L238,M238,N238,O238,P238,Q238,R238,S238,T238,U238,V238)</f>
        <v>0</v>
      </c>
      <c r="D238" s="44"/>
      <c r="E238" s="17"/>
      <c r="F238" s="17"/>
      <c r="G238" s="17"/>
      <c r="H238" s="46"/>
      <c r="I238" s="47"/>
      <c r="J238" s="47"/>
      <c r="K238" s="47"/>
      <c r="L238" s="47"/>
      <c r="M238" s="48">
        <v>0</v>
      </c>
      <c r="N238" s="49"/>
      <c r="O238" s="50"/>
      <c r="P238" s="17"/>
      <c r="Q238" s="51">
        <v>0</v>
      </c>
      <c r="R238" s="47"/>
      <c r="S238" s="17"/>
      <c r="T238" s="47"/>
      <c r="U238" s="47"/>
      <c r="V238" s="51">
        <v>0</v>
      </c>
    </row>
    <row r="239" ht="39" customHeight="1">
      <c r="A239" t="s" s="21">
        <v>254</v>
      </c>
      <c r="B239" s="22">
        <f>SUM(C239,G239)</f>
        <v>147690</v>
      </c>
      <c r="C239" s="23">
        <f>SUM(H239,I239,J239,K239,L239,M239,N239,O239,P239,Q239,R239,S239,T239,U239,V239)</f>
        <v>147690</v>
      </c>
      <c r="D239" s="36"/>
      <c r="E239" s="25"/>
      <c r="F239" s="25"/>
      <c r="G239" s="26"/>
      <c r="H239" s="27">
        <v>9000</v>
      </c>
      <c r="I239" s="28">
        <v>10000</v>
      </c>
      <c r="J239" s="28">
        <v>30000</v>
      </c>
      <c r="K239" s="28">
        <v>3000</v>
      </c>
      <c r="L239" s="28">
        <v>10000</v>
      </c>
      <c r="M239" s="30">
        <v>20000</v>
      </c>
      <c r="N239" s="30">
        <v>30000</v>
      </c>
      <c r="O239" s="30">
        <v>28150</v>
      </c>
      <c r="P239" s="41">
        <v>6500</v>
      </c>
      <c r="Q239" s="28">
        <v>1040</v>
      </c>
      <c r="R239" s="28">
        <v>0</v>
      </c>
      <c r="S239" s="33"/>
      <c r="T239" s="28">
        <v>0</v>
      </c>
      <c r="U239" s="28">
        <v>0</v>
      </c>
      <c r="V239" s="28">
        <v>0</v>
      </c>
    </row>
    <row r="240" ht="19.5" customHeight="1">
      <c r="A240" t="s" s="67">
        <v>255</v>
      </c>
      <c r="B240" s="42">
        <f>SUM(C240,G240)</f>
        <v>0</v>
      </c>
      <c r="C240" s="43">
        <f>SUM(H240,I240,J240,K240,L240,M240,N240,O240,P240,Q240,R240,S240,T240,U240,V240)</f>
        <v>0</v>
      </c>
      <c r="D240" s="44"/>
      <c r="E240" s="33"/>
      <c r="F240" s="33"/>
      <c r="G240" s="33"/>
      <c r="H240" s="46"/>
      <c r="I240" s="47"/>
      <c r="J240" s="47"/>
      <c r="K240" s="47"/>
      <c r="L240" s="47"/>
      <c r="M240" s="48">
        <v>0</v>
      </c>
      <c r="N240" s="49"/>
      <c r="O240" s="50"/>
      <c r="P240" s="33"/>
      <c r="Q240" s="51">
        <v>0</v>
      </c>
      <c r="R240" s="47"/>
      <c r="S240" s="33"/>
      <c r="T240" s="47"/>
      <c r="U240" s="47"/>
      <c r="V240" s="51">
        <v>0</v>
      </c>
    </row>
    <row r="241" ht="31.5" customHeight="1">
      <c r="A241" t="s" s="21">
        <v>256</v>
      </c>
      <c r="B241" s="22">
        <f>SUM(C241,G241)</f>
        <v>7500</v>
      </c>
      <c r="C241" s="23">
        <f>SUM(H241,I241,J241,K241,L241,M241,N241,O241,P241,Q241,R241,S241,T241,U241,V241)</f>
        <v>7500</v>
      </c>
      <c r="D241" s="36"/>
      <c r="E241" s="25"/>
      <c r="F241" s="25"/>
      <c r="G241" s="26"/>
      <c r="H241" s="27">
        <v>5000</v>
      </c>
      <c r="I241" s="28">
        <v>300</v>
      </c>
      <c r="J241" s="28">
        <v>1000</v>
      </c>
      <c r="K241" s="28">
        <v>1200</v>
      </c>
      <c r="L241" s="28">
        <v>0</v>
      </c>
      <c r="M241" s="30">
        <v>0</v>
      </c>
      <c r="N241" s="30">
        <v>0</v>
      </c>
      <c r="O241" s="30">
        <v>0</v>
      </c>
      <c r="P241" s="41">
        <v>0</v>
      </c>
      <c r="Q241" s="28">
        <v>0</v>
      </c>
      <c r="R241" s="28">
        <v>0</v>
      </c>
      <c r="S241" s="33"/>
      <c r="T241" s="28">
        <v>0</v>
      </c>
      <c r="U241" s="28">
        <v>0</v>
      </c>
      <c r="V241" s="28">
        <v>0</v>
      </c>
    </row>
    <row r="242" ht="31.5" customHeight="1">
      <c r="A242" t="s" s="52">
        <v>257</v>
      </c>
      <c r="B242" s="42">
        <f>SUM(C242,G242)</f>
        <v>620</v>
      </c>
      <c r="C242" s="43">
        <f>SUM(H242,I242,J242,K242,L242,M242,N242,O242,P242,Q242,R242,S242,T242,U242,V242)</f>
        <v>620</v>
      </c>
      <c r="D242" s="44"/>
      <c r="E242" s="45"/>
      <c r="F242" s="45"/>
      <c r="G242" s="45"/>
      <c r="H242" s="27">
        <v>0</v>
      </c>
      <c r="I242" s="51">
        <v>300</v>
      </c>
      <c r="J242" s="51">
        <v>250</v>
      </c>
      <c r="K242" s="51">
        <v>60</v>
      </c>
      <c r="L242" s="51">
        <v>0</v>
      </c>
      <c r="M242" s="48">
        <v>0</v>
      </c>
      <c r="N242" s="48">
        <v>0</v>
      </c>
      <c r="O242" s="55">
        <v>0</v>
      </c>
      <c r="P242" s="58">
        <v>0</v>
      </c>
      <c r="Q242" s="51">
        <v>0</v>
      </c>
      <c r="R242" s="51">
        <v>0</v>
      </c>
      <c r="S242" s="45"/>
      <c r="T242" s="51">
        <v>10</v>
      </c>
      <c r="U242" s="51">
        <v>0</v>
      </c>
      <c r="V242" s="51">
        <v>0</v>
      </c>
    </row>
    <row r="243" ht="31.5" customHeight="1">
      <c r="A243" t="s" s="52">
        <v>258</v>
      </c>
      <c r="B243" s="42">
        <f>SUM(C243,G243)</f>
        <v>0</v>
      </c>
      <c r="C243" s="43">
        <f>SUM(H243,I243,J243,K243,L243,M243,N243,O243,P243,Q243,R243,S243,T243,U243,V243)</f>
        <v>0</v>
      </c>
      <c r="D243" s="44"/>
      <c r="E243" s="17"/>
      <c r="F243" s="17"/>
      <c r="G243" s="17"/>
      <c r="H243" s="27">
        <v>0</v>
      </c>
      <c r="I243" s="51">
        <v>0</v>
      </c>
      <c r="J243" s="51">
        <v>0</v>
      </c>
      <c r="K243" s="51">
        <v>0</v>
      </c>
      <c r="L243" s="51">
        <v>0</v>
      </c>
      <c r="M243" s="48">
        <v>0</v>
      </c>
      <c r="N243" s="48">
        <v>0</v>
      </c>
      <c r="O243" s="55">
        <v>0</v>
      </c>
      <c r="P243" s="56">
        <v>0</v>
      </c>
      <c r="Q243" s="51">
        <v>0</v>
      </c>
      <c r="R243" s="51">
        <v>0</v>
      </c>
      <c r="S243" s="17"/>
      <c r="T243" s="51">
        <v>0</v>
      </c>
      <c r="U243" s="51">
        <v>0</v>
      </c>
      <c r="V243" s="51">
        <v>0</v>
      </c>
    </row>
    <row r="244" ht="31.5" customHeight="1">
      <c r="A244" t="s" s="21">
        <v>259</v>
      </c>
      <c r="B244" s="22">
        <f>SUM(C244,G244)</f>
        <v>1200</v>
      </c>
      <c r="C244" s="23">
        <f>SUM(H244,I244,J244,K244,L244,M244,N244,O244,P244,Q244,R244,S244,T244,U244,V244)</f>
        <v>1200</v>
      </c>
      <c r="D244" s="36"/>
      <c r="E244" s="25"/>
      <c r="F244" s="25"/>
      <c r="G244" s="26"/>
      <c r="H244" s="27">
        <v>1000</v>
      </c>
      <c r="I244" s="28">
        <v>0</v>
      </c>
      <c r="J244" s="28">
        <v>0</v>
      </c>
      <c r="K244" s="28">
        <v>200</v>
      </c>
      <c r="L244" s="28">
        <v>0</v>
      </c>
      <c r="M244" s="30">
        <v>0</v>
      </c>
      <c r="N244" s="30">
        <v>0</v>
      </c>
      <c r="O244" s="30">
        <v>0</v>
      </c>
      <c r="P244" s="41">
        <v>0</v>
      </c>
      <c r="Q244" s="28">
        <v>0</v>
      </c>
      <c r="R244" s="28">
        <v>0</v>
      </c>
      <c r="S244" s="33"/>
      <c r="T244" s="28">
        <v>0</v>
      </c>
      <c r="U244" s="28">
        <v>0</v>
      </c>
      <c r="V244" s="28">
        <v>0</v>
      </c>
    </row>
    <row r="245" ht="31.5" customHeight="1">
      <c r="A245" t="s" s="89">
        <v>260</v>
      </c>
      <c r="B245" s="90">
        <f>SUM(C245,G245)</f>
        <v>0</v>
      </c>
      <c r="C245" s="91">
        <f>SUM(H245,I245,J245,K245,L245,M245,N245,O245,P245,Q245,R245,S245,T245,U245,V245)</f>
        <v>0</v>
      </c>
      <c r="D245" s="36"/>
      <c r="E245" s="25"/>
      <c r="F245" s="25"/>
      <c r="G245" s="26"/>
      <c r="H245" s="27">
        <v>0</v>
      </c>
      <c r="I245" s="92">
        <v>0</v>
      </c>
      <c r="J245" s="92">
        <v>0</v>
      </c>
      <c r="K245" s="92">
        <v>0</v>
      </c>
      <c r="L245" s="92">
        <v>0</v>
      </c>
      <c r="M245" s="93">
        <v>0</v>
      </c>
      <c r="N245" s="93">
        <v>0</v>
      </c>
      <c r="O245" s="93">
        <v>0</v>
      </c>
      <c r="P245" s="41">
        <v>0</v>
      </c>
      <c r="Q245" s="92">
        <v>0</v>
      </c>
      <c r="R245" s="92">
        <v>0</v>
      </c>
      <c r="S245" s="33"/>
      <c r="T245" s="92">
        <v>0</v>
      </c>
      <c r="U245" s="92">
        <v>0</v>
      </c>
      <c r="V245" s="92">
        <v>0</v>
      </c>
    </row>
    <row r="246" ht="31.5" customHeight="1">
      <c r="A246" t="s" s="94">
        <v>261</v>
      </c>
      <c r="B246" s="90">
        <f>SUM(C246,G246)</f>
        <v>150</v>
      </c>
      <c r="C246" s="91">
        <f>SUM(H246,I246,J246,K246,L246,M246,N246,O246,P246,Q246,R246,S246,T246,U246,V246)</f>
        <v>150</v>
      </c>
      <c r="D246" s="36"/>
      <c r="E246" s="25"/>
      <c r="F246" s="25"/>
      <c r="G246" s="26"/>
      <c r="H246" s="27">
        <v>150</v>
      </c>
      <c r="I246" s="92">
        <v>0</v>
      </c>
      <c r="J246" s="92">
        <v>0</v>
      </c>
      <c r="K246" s="92">
        <v>0</v>
      </c>
      <c r="L246" s="92">
        <v>0</v>
      </c>
      <c r="M246" s="93">
        <v>0</v>
      </c>
      <c r="N246" s="93">
        <v>0</v>
      </c>
      <c r="O246" s="93">
        <v>0</v>
      </c>
      <c r="P246" s="41">
        <v>0</v>
      </c>
      <c r="Q246" s="92">
        <v>0</v>
      </c>
      <c r="R246" s="92">
        <v>0</v>
      </c>
      <c r="S246" s="33"/>
      <c r="T246" s="92">
        <v>0</v>
      </c>
      <c r="U246" s="92">
        <v>0</v>
      </c>
      <c r="V246" s="92">
        <v>0</v>
      </c>
    </row>
    <row r="247" ht="156" customHeight="1">
      <c r="A247" t="s" s="95">
        <v>262</v>
      </c>
      <c r="B247" s="90">
        <f>SUM(C247,G247)</f>
        <v>70000</v>
      </c>
      <c r="C247" s="91">
        <f>SUM(H247,I247,J247,K247,L247,M247,N247,O247,P247,Q247,R247,S247,T247,U247,V247)</f>
        <v>70000</v>
      </c>
      <c r="D247" s="36"/>
      <c r="E247" s="25"/>
      <c r="F247" s="25"/>
      <c r="G247" s="26"/>
      <c r="H247" s="27">
        <v>70000</v>
      </c>
      <c r="I247" s="92">
        <v>0</v>
      </c>
      <c r="J247" s="92">
        <v>0</v>
      </c>
      <c r="K247" s="92">
        <v>0</v>
      </c>
      <c r="L247" s="92">
        <v>0</v>
      </c>
      <c r="M247" s="93">
        <v>0</v>
      </c>
      <c r="N247" s="93">
        <v>0</v>
      </c>
      <c r="O247" s="93">
        <v>0</v>
      </c>
      <c r="P247" s="41">
        <v>0</v>
      </c>
      <c r="Q247" s="92">
        <v>0</v>
      </c>
      <c r="R247" s="92">
        <v>0</v>
      </c>
      <c r="S247" s="33"/>
      <c r="T247" s="92">
        <v>0</v>
      </c>
      <c r="U247" s="92">
        <v>0</v>
      </c>
      <c r="V247" s="92">
        <v>0</v>
      </c>
    </row>
    <row r="248" ht="94.5" customHeight="1">
      <c r="A248" t="s" s="94">
        <v>263</v>
      </c>
      <c r="B248" s="90">
        <f>SUM(C248,G248)</f>
        <v>210</v>
      </c>
      <c r="C248" s="91">
        <f>SUM(H248,I248,J248,K248,L248,M248,N248,O248,P248,Q248,R248,S248,T248,U248,V248)</f>
        <v>210</v>
      </c>
      <c r="D248" s="36"/>
      <c r="E248" s="25"/>
      <c r="F248" s="25"/>
      <c r="G248" s="26"/>
      <c r="H248" s="27">
        <v>210</v>
      </c>
      <c r="I248" s="92">
        <v>0</v>
      </c>
      <c r="J248" s="92">
        <v>0</v>
      </c>
      <c r="K248" s="92">
        <v>0</v>
      </c>
      <c r="L248" s="92">
        <v>0</v>
      </c>
      <c r="M248" s="93">
        <v>0</v>
      </c>
      <c r="N248" s="93">
        <v>0</v>
      </c>
      <c r="O248" s="93">
        <v>0</v>
      </c>
      <c r="P248" s="41">
        <v>0</v>
      </c>
      <c r="Q248" s="92">
        <v>0</v>
      </c>
      <c r="R248" s="92">
        <v>0</v>
      </c>
      <c r="S248" s="33"/>
      <c r="T248" s="92">
        <v>0</v>
      </c>
      <c r="U248" s="92">
        <v>0</v>
      </c>
      <c r="V248" s="92">
        <v>0</v>
      </c>
    </row>
    <row r="249" ht="58.5" customHeight="1">
      <c r="A249" t="s" s="94">
        <v>264</v>
      </c>
      <c r="B249" s="90">
        <f>SUM(C249,G249)</f>
        <v>0</v>
      </c>
      <c r="C249" s="91">
        <f>SUM(H249,I249,J249,K249,L249,M249,N249,O249,P249,Q249,R249,S249,T249,U249,V249)</f>
        <v>0</v>
      </c>
      <c r="D249" s="36"/>
      <c r="E249" s="25"/>
      <c r="F249" s="25"/>
      <c r="G249" s="26"/>
      <c r="H249" s="27">
        <v>0</v>
      </c>
      <c r="I249" s="92">
        <v>0</v>
      </c>
      <c r="J249" s="92">
        <v>0</v>
      </c>
      <c r="K249" s="92">
        <v>0</v>
      </c>
      <c r="L249" s="92">
        <v>0</v>
      </c>
      <c r="M249" s="93">
        <v>0</v>
      </c>
      <c r="N249" s="93">
        <v>0</v>
      </c>
      <c r="O249" s="93">
        <v>0</v>
      </c>
      <c r="P249" s="41">
        <v>0</v>
      </c>
      <c r="Q249" s="92">
        <v>0</v>
      </c>
      <c r="R249" s="92">
        <v>0</v>
      </c>
      <c r="S249" s="33"/>
      <c r="T249" s="92">
        <v>0</v>
      </c>
      <c r="U249" s="92">
        <v>0</v>
      </c>
      <c r="V249" s="92">
        <v>0</v>
      </c>
    </row>
    <row r="250" ht="175.5" customHeight="1">
      <c r="A250" t="s" s="95">
        <v>265</v>
      </c>
      <c r="B250" s="90">
        <f>SUM(C250,G250)</f>
        <v>13500</v>
      </c>
      <c r="C250" s="91">
        <f>SUM(H250,I250,J250,K250,L250,M250,N250,O250,P250,Q250,R250,S250,T250,U250,V250)</f>
        <v>13500</v>
      </c>
      <c r="D250" s="36"/>
      <c r="E250" s="25"/>
      <c r="F250" s="25"/>
      <c r="G250" s="26"/>
      <c r="H250" s="27">
        <v>13500</v>
      </c>
      <c r="I250" s="92">
        <v>0</v>
      </c>
      <c r="J250" s="92">
        <v>0</v>
      </c>
      <c r="K250" s="92">
        <v>0</v>
      </c>
      <c r="L250" s="92">
        <v>0</v>
      </c>
      <c r="M250" s="93">
        <v>0</v>
      </c>
      <c r="N250" s="93">
        <v>0</v>
      </c>
      <c r="O250" s="93">
        <v>0</v>
      </c>
      <c r="P250" s="41">
        <v>0</v>
      </c>
      <c r="Q250" s="92">
        <v>0</v>
      </c>
      <c r="R250" s="92">
        <v>0</v>
      </c>
      <c r="S250" s="33"/>
      <c r="T250" s="92">
        <v>0</v>
      </c>
      <c r="U250" s="92">
        <v>0</v>
      </c>
      <c r="V250" s="92">
        <v>0</v>
      </c>
    </row>
    <row r="251" ht="19.5" customHeight="1">
      <c r="A251" t="s" s="72">
        <v>266</v>
      </c>
      <c r="B251" s="22">
        <f>SUM(C251,G251)</f>
        <v>5700</v>
      </c>
      <c r="C251" s="23">
        <f>SUM(H251,I251,J251,K251,L251,M251,N251,O251,P251,Q251,R251,S251,T251,U251,V251)</f>
        <v>5700</v>
      </c>
      <c r="D251" s="36"/>
      <c r="E251" s="25"/>
      <c r="F251" s="25"/>
      <c r="G251" s="26"/>
      <c r="H251" s="27">
        <v>4000</v>
      </c>
      <c r="I251" s="28">
        <v>0</v>
      </c>
      <c r="J251" s="28">
        <v>1000</v>
      </c>
      <c r="K251" s="28">
        <v>200</v>
      </c>
      <c r="L251" s="28">
        <v>0</v>
      </c>
      <c r="M251" s="30">
        <v>0</v>
      </c>
      <c r="N251" s="30">
        <v>0</v>
      </c>
      <c r="O251" s="30">
        <v>0</v>
      </c>
      <c r="P251" s="41">
        <v>0</v>
      </c>
      <c r="Q251" s="28">
        <v>0</v>
      </c>
      <c r="R251" s="28">
        <v>0</v>
      </c>
      <c r="S251" s="33"/>
      <c r="T251" s="28">
        <v>500</v>
      </c>
      <c r="U251" s="28">
        <v>0</v>
      </c>
      <c r="V251" s="28">
        <v>0</v>
      </c>
    </row>
    <row r="252" ht="31.5" customHeight="1">
      <c r="A252" t="s" s="52">
        <v>267</v>
      </c>
      <c r="B252" s="42">
        <f>SUM(C252,G252)</f>
        <v>0</v>
      </c>
      <c r="C252" s="43">
        <f>SUM(H252,I252,J252,K252,L252,M252,N252,O252,P252,Q252,R252,S252,T252,U252,V252)</f>
        <v>0</v>
      </c>
      <c r="D252" s="44"/>
      <c r="E252" s="45"/>
      <c r="F252" s="45"/>
      <c r="G252" s="45"/>
      <c r="H252" s="27">
        <v>0</v>
      </c>
      <c r="I252" s="51">
        <v>0</v>
      </c>
      <c r="J252" s="51">
        <v>0</v>
      </c>
      <c r="K252" s="51">
        <v>0</v>
      </c>
      <c r="L252" s="51">
        <v>0</v>
      </c>
      <c r="M252" s="48">
        <v>0</v>
      </c>
      <c r="N252" s="48">
        <v>0</v>
      </c>
      <c r="O252" s="55">
        <v>0</v>
      </c>
      <c r="P252" s="58">
        <v>0</v>
      </c>
      <c r="Q252" s="51">
        <v>0</v>
      </c>
      <c r="R252" s="51">
        <v>0</v>
      </c>
      <c r="S252" s="45"/>
      <c r="T252" s="51">
        <v>0</v>
      </c>
      <c r="U252" s="51">
        <v>0</v>
      </c>
      <c r="V252" s="51">
        <v>0</v>
      </c>
    </row>
    <row r="253" ht="31.5" customHeight="1">
      <c r="A253" t="s" s="52">
        <v>268</v>
      </c>
      <c r="B253" s="42">
        <f>SUM(C253,G253)</f>
        <v>0</v>
      </c>
      <c r="C253" s="43">
        <f>SUM(H253,I253,J253,K253,L253,M253,N253,O253,P253,Q253,R253,S253,T253,U253,V253)</f>
        <v>0</v>
      </c>
      <c r="D253" s="44"/>
      <c r="E253" s="6"/>
      <c r="F253" s="6"/>
      <c r="G253" s="6"/>
      <c r="H253" s="27">
        <v>0</v>
      </c>
      <c r="I253" s="51">
        <v>0</v>
      </c>
      <c r="J253" s="51">
        <v>0</v>
      </c>
      <c r="K253" s="51">
        <v>0</v>
      </c>
      <c r="L253" s="51">
        <v>0</v>
      </c>
      <c r="M253" s="48">
        <v>0</v>
      </c>
      <c r="N253" s="48">
        <v>0</v>
      </c>
      <c r="O253" s="55">
        <v>0</v>
      </c>
      <c r="P253" s="53">
        <v>0</v>
      </c>
      <c r="Q253" s="51">
        <v>0</v>
      </c>
      <c r="R253" s="51">
        <v>0</v>
      </c>
      <c r="S253" s="6"/>
      <c r="T253" s="51">
        <v>0</v>
      </c>
      <c r="U253" s="51">
        <v>0</v>
      </c>
      <c r="V253" s="51">
        <v>0</v>
      </c>
    </row>
    <row r="254" ht="175.5" customHeight="1">
      <c r="A254" t="s" s="52">
        <v>269</v>
      </c>
      <c r="B254" s="42">
        <f>SUM(C254,G254)</f>
        <v>0</v>
      </c>
      <c r="C254" s="43">
        <f>SUM(H254,I254,J254,K254,L254,M254,N254,O254,P254,Q254,R254,S254,T254,U254,V254)</f>
        <v>0</v>
      </c>
      <c r="D254" s="44"/>
      <c r="E254" s="6"/>
      <c r="F254" s="6"/>
      <c r="G254" s="6"/>
      <c r="H254" s="27">
        <v>0</v>
      </c>
      <c r="I254" s="51">
        <v>0</v>
      </c>
      <c r="J254" s="51">
        <v>0</v>
      </c>
      <c r="K254" s="51">
        <v>0</v>
      </c>
      <c r="L254" s="51">
        <v>0</v>
      </c>
      <c r="M254" s="48">
        <v>0</v>
      </c>
      <c r="N254" s="48">
        <v>0</v>
      </c>
      <c r="O254" s="55">
        <v>0</v>
      </c>
      <c r="P254" s="53">
        <v>0</v>
      </c>
      <c r="Q254" s="51">
        <v>0</v>
      </c>
      <c r="R254" s="51">
        <v>0</v>
      </c>
      <c r="S254" s="6"/>
      <c r="T254" s="51">
        <v>0</v>
      </c>
      <c r="U254" s="51">
        <v>0</v>
      </c>
      <c r="V254" s="51">
        <v>0</v>
      </c>
    </row>
    <row r="255" ht="19.5" customHeight="1">
      <c r="A255" t="s" s="67">
        <v>270</v>
      </c>
      <c r="B255" s="42">
        <f>SUM(C255,G255)</f>
        <v>0</v>
      </c>
      <c r="C255" s="43">
        <f>SUM(H255,I255,J255,K255,L255,M255,N255,O255,P255,Q255,R255,S255,T255,U255,V255)</f>
        <v>0</v>
      </c>
      <c r="D255" s="44"/>
      <c r="E255" s="17"/>
      <c r="F255" s="17"/>
      <c r="G255" s="17"/>
      <c r="H255" s="46"/>
      <c r="I255" s="47"/>
      <c r="J255" s="47"/>
      <c r="K255" s="47"/>
      <c r="L255" s="47"/>
      <c r="M255" s="48">
        <v>0</v>
      </c>
      <c r="N255" s="49"/>
      <c r="O255" s="50"/>
      <c r="P255" s="17"/>
      <c r="Q255" s="51">
        <v>0</v>
      </c>
      <c r="R255" s="47"/>
      <c r="S255" s="17"/>
      <c r="T255" s="47"/>
      <c r="U255" s="47"/>
      <c r="V255" s="51">
        <v>0</v>
      </c>
    </row>
    <row r="256" ht="31.5" customHeight="1">
      <c r="A256" t="s" s="21">
        <v>271</v>
      </c>
      <c r="B256" s="22">
        <f>SUM(C256,G256)</f>
        <v>87875</v>
      </c>
      <c r="C256" s="23">
        <f>SUM(H256,I256,J256,K256,L256,M256,N256,O256,P256,Q256,R256,S256,T256,U256,V256)</f>
        <v>87875</v>
      </c>
      <c r="D256" s="36"/>
      <c r="E256" s="25"/>
      <c r="F256" s="25"/>
      <c r="G256" s="26"/>
      <c r="H256" s="27">
        <v>5000</v>
      </c>
      <c r="I256" s="28">
        <v>100</v>
      </c>
      <c r="J256" s="28">
        <v>50000</v>
      </c>
      <c r="K256" s="28">
        <v>1000</v>
      </c>
      <c r="L256" s="28">
        <v>12000</v>
      </c>
      <c r="M256" s="30">
        <v>8700</v>
      </c>
      <c r="N256" s="30">
        <v>3000</v>
      </c>
      <c r="O256" s="30">
        <v>5900</v>
      </c>
      <c r="P256" s="41">
        <v>700</v>
      </c>
      <c r="Q256" s="28">
        <v>1225</v>
      </c>
      <c r="R256" s="28">
        <v>100</v>
      </c>
      <c r="S256" s="33"/>
      <c r="T256" s="28">
        <v>150</v>
      </c>
      <c r="U256" s="28">
        <v>0</v>
      </c>
      <c r="V256" s="28">
        <v>0</v>
      </c>
    </row>
    <row r="257" ht="31.5" customHeight="1">
      <c r="A257" t="s" s="21">
        <v>272</v>
      </c>
      <c r="B257" s="22">
        <f>SUM(C257,G257)</f>
        <v>31470</v>
      </c>
      <c r="C257" s="23">
        <f>SUM(H257,I257,J257,K257,L257,M257,N257,O257,P257,Q257,R257,S257,T257,U257,V257)</f>
        <v>31470</v>
      </c>
      <c r="D257" s="36"/>
      <c r="E257" s="25"/>
      <c r="F257" s="25"/>
      <c r="G257" s="26"/>
      <c r="H257" s="27">
        <v>200</v>
      </c>
      <c r="I257" s="28">
        <v>1500</v>
      </c>
      <c r="J257" s="28">
        <v>2500</v>
      </c>
      <c r="K257" s="28">
        <v>1200</v>
      </c>
      <c r="L257" s="28">
        <v>350</v>
      </c>
      <c r="M257" s="30">
        <v>8120</v>
      </c>
      <c r="N257" s="30">
        <v>4640</v>
      </c>
      <c r="O257" s="30">
        <v>5830</v>
      </c>
      <c r="P257" s="41">
        <v>2900</v>
      </c>
      <c r="Q257" s="28">
        <v>4205</v>
      </c>
      <c r="R257" s="28">
        <v>0</v>
      </c>
      <c r="S257" s="33"/>
      <c r="T257" s="28">
        <v>25</v>
      </c>
      <c r="U257" s="28">
        <v>0</v>
      </c>
      <c r="V257" s="28">
        <v>0</v>
      </c>
    </row>
    <row r="258" ht="19.5" customHeight="1">
      <c r="A258" t="s" s="67">
        <v>273</v>
      </c>
      <c r="B258" s="42">
        <f>SUM(C258,G258)</f>
        <v>0</v>
      </c>
      <c r="C258" s="43">
        <f>SUM(H258,I258,J258,K258,L258,M258,N258,O258,P258,Q258,R258,S258,T258,U258,V258)</f>
        <v>0</v>
      </c>
      <c r="D258" s="44"/>
      <c r="E258" s="33"/>
      <c r="F258" s="33"/>
      <c r="G258" s="33"/>
      <c r="H258" s="46"/>
      <c r="I258" s="47"/>
      <c r="J258" s="47"/>
      <c r="K258" s="47"/>
      <c r="L258" s="47"/>
      <c r="M258" s="48">
        <v>0</v>
      </c>
      <c r="N258" s="49"/>
      <c r="O258" s="50"/>
      <c r="P258" s="33"/>
      <c r="Q258" s="51">
        <v>0</v>
      </c>
      <c r="R258" s="47"/>
      <c r="S258" s="33"/>
      <c r="T258" s="47"/>
      <c r="U258" s="47"/>
      <c r="V258" s="51">
        <v>0</v>
      </c>
    </row>
    <row r="259" ht="31.5" customHeight="1">
      <c r="A259" t="s" s="21">
        <v>274</v>
      </c>
      <c r="B259" s="22">
        <f>SUM(C259,G259)</f>
        <v>6100</v>
      </c>
      <c r="C259" s="23">
        <f>SUM(H259,I259,J259,K259,L259,M259,N259,O259,P259,Q259,R259,S259,T259,U259,V259)</f>
        <v>6100</v>
      </c>
      <c r="D259" s="36"/>
      <c r="E259" s="25"/>
      <c r="F259" s="25"/>
      <c r="G259" s="26"/>
      <c r="H259" s="27">
        <v>4000</v>
      </c>
      <c r="I259" s="28">
        <v>0</v>
      </c>
      <c r="J259" s="28">
        <v>1000</v>
      </c>
      <c r="K259" s="28">
        <v>100</v>
      </c>
      <c r="L259" s="28">
        <v>0</v>
      </c>
      <c r="M259" s="30">
        <v>0</v>
      </c>
      <c r="N259" s="30">
        <v>0</v>
      </c>
      <c r="O259" s="30">
        <v>0</v>
      </c>
      <c r="P259" s="41">
        <v>0</v>
      </c>
      <c r="Q259" s="28">
        <v>0</v>
      </c>
      <c r="R259" s="28">
        <v>0</v>
      </c>
      <c r="S259" s="75">
        <v>1000</v>
      </c>
      <c r="T259" s="28">
        <v>0</v>
      </c>
      <c r="U259" s="28">
        <v>0</v>
      </c>
      <c r="V259" s="28">
        <v>0</v>
      </c>
    </row>
    <row r="260" ht="31.5" customHeight="1">
      <c r="A260" t="s" s="21">
        <v>275</v>
      </c>
      <c r="B260" s="22">
        <f>SUM(C260,G260)</f>
        <v>1000970</v>
      </c>
      <c r="C260" s="23">
        <f>SUM(H260,I260,J260,K260,L260,M260,N260,O260,P260,Q260,R260,S260,T260,U260,V260)</f>
        <v>1000970</v>
      </c>
      <c r="D260" s="36"/>
      <c r="E260" s="25"/>
      <c r="F260" s="25"/>
      <c r="G260" s="26"/>
      <c r="H260" s="27">
        <v>50000</v>
      </c>
      <c r="I260" s="28">
        <v>40000</v>
      </c>
      <c r="J260" s="28">
        <v>50000</v>
      </c>
      <c r="K260" s="28">
        <v>65000</v>
      </c>
      <c r="L260" s="28">
        <v>80000</v>
      </c>
      <c r="M260" s="30">
        <v>233000</v>
      </c>
      <c r="N260" s="30">
        <v>164400</v>
      </c>
      <c r="O260" s="30">
        <v>150250</v>
      </c>
      <c r="P260" s="41">
        <v>54000</v>
      </c>
      <c r="Q260" s="28">
        <v>90600</v>
      </c>
      <c r="R260" s="28">
        <v>720</v>
      </c>
      <c r="S260" s="33"/>
      <c r="T260" s="28">
        <v>0</v>
      </c>
      <c r="U260" s="28">
        <v>0</v>
      </c>
      <c r="V260" s="28">
        <v>23000</v>
      </c>
    </row>
    <row r="261" ht="78.75" customHeight="1">
      <c r="A261" t="s" s="52">
        <v>276</v>
      </c>
      <c r="B261" s="42">
        <f>SUM(C261,G261)</f>
        <v>168500</v>
      </c>
      <c r="C261" s="43">
        <f>SUM(H261,I261,J261,K261,L261,M261,N261,O261,P261,Q261,R261,S261,T261,U261,V261)</f>
        <v>166500</v>
      </c>
      <c r="D261" s="44"/>
      <c r="E261" s="33"/>
      <c r="F261" s="33"/>
      <c r="G261" s="41">
        <v>2000</v>
      </c>
      <c r="H261" s="27">
        <v>50000</v>
      </c>
      <c r="I261" s="51">
        <v>60000</v>
      </c>
      <c r="J261" s="51">
        <v>30000</v>
      </c>
      <c r="K261" s="51">
        <v>22000</v>
      </c>
      <c r="L261" s="51">
        <v>4500</v>
      </c>
      <c r="M261" s="48">
        <v>0</v>
      </c>
      <c r="N261" s="48">
        <v>0</v>
      </c>
      <c r="O261" s="55">
        <v>0</v>
      </c>
      <c r="P261" s="41">
        <v>0</v>
      </c>
      <c r="Q261" s="51">
        <v>0</v>
      </c>
      <c r="R261" s="51">
        <v>0</v>
      </c>
      <c r="S261" s="33"/>
      <c r="T261" s="51">
        <v>0</v>
      </c>
      <c r="U261" s="51">
        <v>0</v>
      </c>
      <c r="V261" s="51">
        <v>0</v>
      </c>
    </row>
    <row r="262" ht="31.5" customHeight="1">
      <c r="A262" t="s" s="21">
        <v>277</v>
      </c>
      <c r="B262" s="22">
        <f>SUM(C262,G262)</f>
        <v>80720</v>
      </c>
      <c r="C262" s="23">
        <f>SUM(H262,I262,J262,K262,L262,M262,N262,O262,P262,Q262,R262,S262,T262,U262,V262)</f>
        <v>80720</v>
      </c>
      <c r="D262" s="36"/>
      <c r="E262" s="25"/>
      <c r="F262" s="25"/>
      <c r="G262" s="26"/>
      <c r="H262" s="27">
        <v>600</v>
      </c>
      <c r="I262" s="28">
        <v>5000</v>
      </c>
      <c r="J262" s="28">
        <v>5000</v>
      </c>
      <c r="K262" s="28">
        <v>3000</v>
      </c>
      <c r="L262" s="28">
        <v>3500</v>
      </c>
      <c r="M262" s="30">
        <v>14000</v>
      </c>
      <c r="N262" s="30">
        <v>11820</v>
      </c>
      <c r="O262" s="30">
        <v>13140</v>
      </c>
      <c r="P262" s="41">
        <v>10000</v>
      </c>
      <c r="Q262" s="28">
        <v>14150</v>
      </c>
      <c r="R262" s="28">
        <v>60</v>
      </c>
      <c r="S262" s="33"/>
      <c r="T262" s="28">
        <v>0</v>
      </c>
      <c r="U262" s="28">
        <v>0</v>
      </c>
      <c r="V262" s="28">
        <v>450</v>
      </c>
    </row>
    <row r="263" ht="94.5" customHeight="1">
      <c r="A263" t="s" s="21">
        <v>278</v>
      </c>
      <c r="B263" s="22">
        <f>SUM(C263,G263)</f>
        <v>70</v>
      </c>
      <c r="C263" s="23">
        <f>SUM(H263,I263,J263,K263,L263,M263,N263,O263,P263,Q263,R263,S263,T263,U263,V263)</f>
        <v>70</v>
      </c>
      <c r="D263" s="36"/>
      <c r="E263" s="25"/>
      <c r="F263" s="25"/>
      <c r="G263" s="26"/>
      <c r="H263" s="27">
        <v>20</v>
      </c>
      <c r="I263" s="28">
        <v>5</v>
      </c>
      <c r="J263" s="28">
        <v>0</v>
      </c>
      <c r="K263" s="28">
        <v>20</v>
      </c>
      <c r="L263" s="28">
        <v>0</v>
      </c>
      <c r="M263" s="30">
        <v>0</v>
      </c>
      <c r="N263" s="30">
        <v>0</v>
      </c>
      <c r="O263" s="30">
        <v>0</v>
      </c>
      <c r="P263" s="41">
        <v>0</v>
      </c>
      <c r="Q263" s="28">
        <v>0</v>
      </c>
      <c r="R263" s="28">
        <v>0</v>
      </c>
      <c r="S263" s="33"/>
      <c r="T263" s="28">
        <v>25</v>
      </c>
      <c r="U263" s="28">
        <v>0</v>
      </c>
      <c r="V263" s="28">
        <v>0</v>
      </c>
    </row>
    <row r="264" ht="58.5" customHeight="1">
      <c r="A264" t="s" s="52">
        <v>279</v>
      </c>
      <c r="B264" s="42">
        <f>SUM(C264,G264)</f>
        <v>0</v>
      </c>
      <c r="C264" s="43">
        <f>SUM(H264,I264,J264,K264,L264,M264,N264,O264,P264,Q264,R264,S264,T264,U264,V264)</f>
        <v>0</v>
      </c>
      <c r="D264" s="44"/>
      <c r="E264" s="45"/>
      <c r="F264" s="45"/>
      <c r="G264" s="45"/>
      <c r="H264" s="46"/>
      <c r="I264" s="51">
        <v>0</v>
      </c>
      <c r="J264" s="51">
        <v>0</v>
      </c>
      <c r="K264" s="51">
        <v>0</v>
      </c>
      <c r="L264" s="51">
        <v>0</v>
      </c>
      <c r="M264" s="48">
        <v>0</v>
      </c>
      <c r="N264" s="48">
        <v>0</v>
      </c>
      <c r="O264" s="55">
        <v>0</v>
      </c>
      <c r="P264" s="58">
        <v>0</v>
      </c>
      <c r="Q264" s="51">
        <v>0</v>
      </c>
      <c r="R264" s="51">
        <v>0</v>
      </c>
      <c r="S264" s="45"/>
      <c r="T264" s="51">
        <v>0</v>
      </c>
      <c r="U264" s="51">
        <v>0</v>
      </c>
      <c r="V264" s="51">
        <v>0</v>
      </c>
    </row>
    <row r="265" ht="97.5" customHeight="1">
      <c r="A265" t="s" s="52">
        <v>280</v>
      </c>
      <c r="B265" s="42">
        <f>SUM(C265,G265)</f>
        <v>0</v>
      </c>
      <c r="C265" s="43">
        <f>SUM(H265,I265,J265,K265,L265,M265,N265,O265,P265,Q265,R265,S265,T265,U265,V265)</f>
        <v>0</v>
      </c>
      <c r="D265" s="44"/>
      <c r="E265" s="6"/>
      <c r="F265" s="6"/>
      <c r="G265" s="6"/>
      <c r="H265" s="46"/>
      <c r="I265" s="51">
        <v>0</v>
      </c>
      <c r="J265" s="51">
        <v>0</v>
      </c>
      <c r="K265" s="51">
        <v>0</v>
      </c>
      <c r="L265" s="51">
        <v>0</v>
      </c>
      <c r="M265" s="48">
        <v>0</v>
      </c>
      <c r="N265" s="48">
        <v>0</v>
      </c>
      <c r="O265" s="55">
        <v>0</v>
      </c>
      <c r="P265" s="53">
        <v>0</v>
      </c>
      <c r="Q265" s="51">
        <v>0</v>
      </c>
      <c r="R265" s="51">
        <v>0</v>
      </c>
      <c r="S265" s="6"/>
      <c r="T265" s="51">
        <v>0</v>
      </c>
      <c r="U265" s="51">
        <v>0</v>
      </c>
      <c r="V265" s="51">
        <v>0</v>
      </c>
    </row>
    <row r="266" ht="19.5" customHeight="1">
      <c r="A266" t="s" s="67">
        <v>281</v>
      </c>
      <c r="B266" s="42">
        <f>SUM(C266,G266)</f>
        <v>0</v>
      </c>
      <c r="C266" s="43">
        <f>SUM(H266,I266,J266,K266,L266,M266,N266,O266,P266,Q266,R266,S266,T266,U266,V266)</f>
        <v>0</v>
      </c>
      <c r="D266" s="44"/>
      <c r="E266" s="17"/>
      <c r="F266" s="17"/>
      <c r="G266" s="17"/>
      <c r="H266" s="46"/>
      <c r="I266" s="47"/>
      <c r="J266" s="47"/>
      <c r="K266" s="47"/>
      <c r="L266" s="47"/>
      <c r="M266" s="48">
        <v>0</v>
      </c>
      <c r="N266" s="49"/>
      <c r="O266" s="50"/>
      <c r="P266" s="17"/>
      <c r="Q266" s="51">
        <v>0</v>
      </c>
      <c r="R266" s="47"/>
      <c r="S266" s="17"/>
      <c r="T266" s="47"/>
      <c r="U266" s="47"/>
      <c r="V266" s="51">
        <v>0</v>
      </c>
    </row>
    <row r="267" ht="31.5" customHeight="1">
      <c r="A267" t="s" s="10">
        <v>282</v>
      </c>
      <c r="B267" s="34">
        <f>SUM(C267,G267)</f>
        <v>69260</v>
      </c>
      <c r="C267" s="35">
        <f>SUM(H267,I267,J267,K267,L267,M267,N267,O267,P267,Q267,R267,S267,T267,U267,V267)</f>
        <v>69260</v>
      </c>
      <c r="D267" s="36"/>
      <c r="E267" s="25"/>
      <c r="F267" s="25"/>
      <c r="G267" s="26"/>
      <c r="H267" s="27">
        <v>200</v>
      </c>
      <c r="I267" s="38">
        <v>2500</v>
      </c>
      <c r="J267" s="38">
        <v>2500</v>
      </c>
      <c r="K267" s="38">
        <v>300</v>
      </c>
      <c r="L267" s="38">
        <v>5000</v>
      </c>
      <c r="M267" s="40">
        <v>11500</v>
      </c>
      <c r="N267" s="40">
        <v>12330</v>
      </c>
      <c r="O267" s="40">
        <v>13490</v>
      </c>
      <c r="P267" s="41">
        <v>7500</v>
      </c>
      <c r="Q267" s="38">
        <v>13940</v>
      </c>
      <c r="R267" s="38">
        <v>0</v>
      </c>
      <c r="S267" s="33"/>
      <c r="T267" s="38">
        <v>0</v>
      </c>
      <c r="U267" s="38">
        <v>0</v>
      </c>
      <c r="V267" s="38">
        <v>0</v>
      </c>
    </row>
    <row r="268" ht="31.5" customHeight="1">
      <c r="A268" t="s" s="21">
        <v>283</v>
      </c>
      <c r="B268" s="22">
        <f>SUM(C268,G268)</f>
        <v>112848</v>
      </c>
      <c r="C268" s="23">
        <f>SUM(H268,I268,J268,K268,L268,M268,N268,O268,P268,Q268,R268,S268,T268,U268,V268)</f>
        <v>112848</v>
      </c>
      <c r="D268" s="36"/>
      <c r="E268" s="25"/>
      <c r="F268" s="25"/>
      <c r="G268" s="26"/>
      <c r="H268" s="27">
        <v>1000</v>
      </c>
      <c r="I268" s="28">
        <v>0</v>
      </c>
      <c r="J268" s="28">
        <v>3000</v>
      </c>
      <c r="K268" s="28">
        <v>500</v>
      </c>
      <c r="L268" s="28">
        <v>100</v>
      </c>
      <c r="M268" s="30">
        <v>52500</v>
      </c>
      <c r="N268" s="30">
        <v>13390</v>
      </c>
      <c r="O268" s="30">
        <v>21158</v>
      </c>
      <c r="P268" s="41">
        <v>8500</v>
      </c>
      <c r="Q268" s="28">
        <v>12700</v>
      </c>
      <c r="R268" s="28">
        <v>0</v>
      </c>
      <c r="S268" s="33"/>
      <c r="T268" s="28">
        <v>0</v>
      </c>
      <c r="U268" s="28">
        <v>0</v>
      </c>
      <c r="V268" s="28">
        <v>0</v>
      </c>
    </row>
    <row r="269" ht="58.5" customHeight="1">
      <c r="A269" t="s" s="52">
        <v>284</v>
      </c>
      <c r="B269" s="42">
        <f>SUM(C269,G269)</f>
        <v>3400</v>
      </c>
      <c r="C269" s="43">
        <f>SUM(H269,I269,J269,K269,L269,M269,N269,O269,P269,Q269,R269,S269,T269,U269,V269)</f>
        <v>3400</v>
      </c>
      <c r="D269" s="44"/>
      <c r="E269" s="45"/>
      <c r="F269" s="45"/>
      <c r="G269" s="45"/>
      <c r="H269" s="27">
        <v>0</v>
      </c>
      <c r="I269" s="51">
        <v>0</v>
      </c>
      <c r="J269" s="51">
        <v>3000</v>
      </c>
      <c r="K269" s="51">
        <v>400</v>
      </c>
      <c r="L269" s="51">
        <v>0</v>
      </c>
      <c r="M269" s="48">
        <v>0</v>
      </c>
      <c r="N269" s="48">
        <v>0</v>
      </c>
      <c r="O269" s="55">
        <v>0</v>
      </c>
      <c r="P269" s="58">
        <v>0</v>
      </c>
      <c r="Q269" s="51">
        <v>0</v>
      </c>
      <c r="R269" s="51">
        <v>0</v>
      </c>
      <c r="S269" s="45"/>
      <c r="T269" s="51">
        <v>0</v>
      </c>
      <c r="U269" s="51">
        <v>0</v>
      </c>
      <c r="V269" s="51">
        <v>0</v>
      </c>
    </row>
    <row r="270" ht="39" customHeight="1">
      <c r="A270" t="s" s="52">
        <v>285</v>
      </c>
      <c r="B270" s="42">
        <f>SUM(C270,G270)</f>
        <v>100</v>
      </c>
      <c r="C270" s="43">
        <f>SUM(H270,I270,J270,K270,L270,M270,N270,O270,P270,Q270,R270,S270,T270,U270,V270)</f>
        <v>100</v>
      </c>
      <c r="D270" s="44"/>
      <c r="E270" s="6"/>
      <c r="F270" s="6"/>
      <c r="G270" s="6"/>
      <c r="H270" s="46"/>
      <c r="I270" s="51">
        <v>0</v>
      </c>
      <c r="J270" s="51">
        <v>100</v>
      </c>
      <c r="K270" s="51">
        <v>0</v>
      </c>
      <c r="L270" s="51">
        <v>0</v>
      </c>
      <c r="M270" s="48">
        <v>0</v>
      </c>
      <c r="N270" s="48">
        <v>0</v>
      </c>
      <c r="O270" s="55">
        <v>0</v>
      </c>
      <c r="P270" s="53">
        <v>0</v>
      </c>
      <c r="Q270" s="51">
        <v>0</v>
      </c>
      <c r="R270" s="51">
        <v>0</v>
      </c>
      <c r="S270" s="6"/>
      <c r="T270" s="51">
        <v>0</v>
      </c>
      <c r="U270" s="51">
        <v>0</v>
      </c>
      <c r="V270" s="51">
        <v>0</v>
      </c>
    </row>
    <row r="271" ht="31.5" customHeight="1">
      <c r="A271" t="s" s="10">
        <v>286</v>
      </c>
      <c r="B271" s="42">
        <f>SUM(C271,G271)</f>
        <v>0</v>
      </c>
      <c r="C271" s="43">
        <f>SUM(H271,I271,J271,K271,L271,M271,N271,O271,P271,Q271,R271,S271,T271,U271,V271)</f>
        <v>0</v>
      </c>
      <c r="D271" s="44"/>
      <c r="E271" s="6"/>
      <c r="F271" s="6"/>
      <c r="G271" s="6"/>
      <c r="H271" s="46"/>
      <c r="I271" s="47"/>
      <c r="J271" s="47"/>
      <c r="K271" s="47"/>
      <c r="L271" s="47"/>
      <c r="M271" s="48">
        <v>0</v>
      </c>
      <c r="N271" s="49"/>
      <c r="O271" s="50"/>
      <c r="P271" s="6"/>
      <c r="Q271" s="51">
        <v>0</v>
      </c>
      <c r="R271" s="47"/>
      <c r="S271" s="6"/>
      <c r="T271" s="47"/>
      <c r="U271" s="47"/>
      <c r="V271" s="51">
        <v>0</v>
      </c>
    </row>
    <row r="272" ht="19.5" customHeight="1">
      <c r="A272" t="s" s="67">
        <v>287</v>
      </c>
      <c r="B272" s="42">
        <f>SUM(C272,G272)</f>
        <v>0</v>
      </c>
      <c r="C272" s="43">
        <f>SUM(H272,I272,J272,K272,L272,M272,N272,O272,P272,Q272,R272,S272,T272,U272,V272)</f>
        <v>0</v>
      </c>
      <c r="D272" s="44"/>
      <c r="E272" s="6"/>
      <c r="F272" s="6"/>
      <c r="G272" s="6"/>
      <c r="H272" s="46"/>
      <c r="I272" s="47"/>
      <c r="J272" s="47"/>
      <c r="K272" s="47"/>
      <c r="L272" s="47"/>
      <c r="M272" s="48">
        <v>0</v>
      </c>
      <c r="N272" s="49"/>
      <c r="O272" s="50"/>
      <c r="P272" s="6"/>
      <c r="Q272" s="51">
        <v>0</v>
      </c>
      <c r="R272" s="47"/>
      <c r="S272" s="6"/>
      <c r="T272" s="47"/>
      <c r="U272" s="47"/>
      <c r="V272" s="51">
        <v>0</v>
      </c>
    </row>
    <row r="273" ht="31.5" customHeight="1">
      <c r="A273" t="s" s="67">
        <v>288</v>
      </c>
      <c r="B273" s="42">
        <f>SUM(C273,G273)</f>
        <v>0</v>
      </c>
      <c r="C273" s="43">
        <f>SUM(H273,I273,J273,K273,L273,M273,N273,O273,P273,Q273,R273,S273,T273,U273,V273)</f>
        <v>0</v>
      </c>
      <c r="D273" s="44"/>
      <c r="E273" s="17"/>
      <c r="F273" s="17"/>
      <c r="G273" s="17"/>
      <c r="H273" s="46"/>
      <c r="I273" s="47"/>
      <c r="J273" s="47"/>
      <c r="K273" s="47"/>
      <c r="L273" s="47"/>
      <c r="M273" s="48">
        <v>0</v>
      </c>
      <c r="N273" s="49"/>
      <c r="O273" s="50"/>
      <c r="P273" s="17"/>
      <c r="Q273" s="51">
        <v>0</v>
      </c>
      <c r="R273" s="47"/>
      <c r="S273" s="17"/>
      <c r="T273" s="47"/>
      <c r="U273" s="47"/>
      <c r="V273" s="51">
        <v>0</v>
      </c>
    </row>
    <row r="274" ht="253.5" customHeight="1">
      <c r="A274" t="s" s="59">
        <v>289</v>
      </c>
      <c r="B274" s="22">
        <f>SUM(C274,G274)</f>
        <v>6515</v>
      </c>
      <c r="C274" s="23">
        <f>SUM(H274,I274,J274,K274,L274,M274,N274,O274,P274,Q274,R274,S274,T274,U274,V274)</f>
        <v>6515</v>
      </c>
      <c r="D274" s="36"/>
      <c r="E274" s="25"/>
      <c r="F274" s="25"/>
      <c r="G274" s="26"/>
      <c r="H274" s="27">
        <v>500</v>
      </c>
      <c r="I274" s="28">
        <v>25</v>
      </c>
      <c r="J274" s="28">
        <v>1300</v>
      </c>
      <c r="K274" s="28">
        <v>1500</v>
      </c>
      <c r="L274" s="28">
        <v>500</v>
      </c>
      <c r="M274" s="30">
        <v>0</v>
      </c>
      <c r="N274" s="30">
        <v>0</v>
      </c>
      <c r="O274" s="30">
        <v>0</v>
      </c>
      <c r="P274" s="41">
        <v>0</v>
      </c>
      <c r="Q274" s="28">
        <v>0</v>
      </c>
      <c r="R274" s="28">
        <v>2690</v>
      </c>
      <c r="S274" s="33"/>
      <c r="T274" s="28">
        <v>0</v>
      </c>
      <c r="U274" s="28">
        <v>0</v>
      </c>
      <c r="V274" s="28">
        <v>0</v>
      </c>
    </row>
    <row r="275" ht="390" customHeight="1">
      <c r="A275" t="s" s="10">
        <v>290</v>
      </c>
      <c r="B275" s="34">
        <f>SUM(C275,G275)</f>
        <v>13644</v>
      </c>
      <c r="C275" s="35">
        <f>SUM(H275,I275,J275,K275,L275,M275,N275,O275,P275,Q275,R275,S275,T275,U275,V275)</f>
        <v>13624</v>
      </c>
      <c r="D275" s="36"/>
      <c r="E275" s="25"/>
      <c r="F275" s="25"/>
      <c r="G275" s="37">
        <v>20</v>
      </c>
      <c r="H275" s="27">
        <v>3000</v>
      </c>
      <c r="I275" s="38">
        <v>5</v>
      </c>
      <c r="J275" s="38">
        <v>2500</v>
      </c>
      <c r="K275" s="38">
        <v>1800</v>
      </c>
      <c r="L275" s="38">
        <v>300</v>
      </c>
      <c r="M275" s="40">
        <v>0</v>
      </c>
      <c r="N275" s="40">
        <v>0</v>
      </c>
      <c r="O275" s="40">
        <v>0</v>
      </c>
      <c r="P275" s="41">
        <v>0</v>
      </c>
      <c r="Q275" s="38">
        <v>0</v>
      </c>
      <c r="R275" s="38">
        <v>6019</v>
      </c>
      <c r="S275" s="33"/>
      <c r="T275" s="38">
        <v>0</v>
      </c>
      <c r="U275" s="38">
        <v>0</v>
      </c>
      <c r="V275" s="38">
        <v>0</v>
      </c>
    </row>
    <row r="276" ht="234" customHeight="1">
      <c r="A276" t="s" s="10">
        <v>291</v>
      </c>
      <c r="B276" s="34">
        <f>SUM(C276,G276)</f>
        <v>16242</v>
      </c>
      <c r="C276" s="35">
        <f>SUM(H276,I276,J276,K276,L276,M276,N276,O276,P276,Q276,R276,S276,T276,U276,V276)</f>
        <v>16232</v>
      </c>
      <c r="D276" s="36"/>
      <c r="E276" s="25"/>
      <c r="F276" s="25"/>
      <c r="G276" s="37">
        <v>10</v>
      </c>
      <c r="H276" s="27">
        <v>3000</v>
      </c>
      <c r="I276" s="38">
        <v>25</v>
      </c>
      <c r="J276" s="38">
        <v>5000</v>
      </c>
      <c r="K276" s="38">
        <v>1200</v>
      </c>
      <c r="L276" s="38">
        <v>1800</v>
      </c>
      <c r="M276" s="40">
        <v>0</v>
      </c>
      <c r="N276" s="40">
        <v>0</v>
      </c>
      <c r="O276" s="40">
        <v>0</v>
      </c>
      <c r="P276" s="41">
        <v>0</v>
      </c>
      <c r="Q276" s="38">
        <v>0</v>
      </c>
      <c r="R276" s="38">
        <v>5207</v>
      </c>
      <c r="S276" s="33"/>
      <c r="T276" s="38">
        <v>0</v>
      </c>
      <c r="U276" s="38">
        <v>0</v>
      </c>
      <c r="V276" s="38">
        <v>0</v>
      </c>
    </row>
    <row r="277" ht="141.75" customHeight="1">
      <c r="A277" t="s" s="94">
        <v>292</v>
      </c>
      <c r="B277" s="90">
        <f>SUM(C277,G277)</f>
        <v>12500</v>
      </c>
      <c r="C277" s="91">
        <f>SUM(H277,I277,J277,K277,L277,M277,N277,O277,P277,Q277,R277,S277,T277,U277,V277)</f>
        <v>12500</v>
      </c>
      <c r="D277" s="36"/>
      <c r="E277" s="25"/>
      <c r="F277" s="25"/>
      <c r="G277" s="26"/>
      <c r="H277" s="46"/>
      <c r="I277" s="92">
        <v>0</v>
      </c>
      <c r="J277" s="92">
        <v>0</v>
      </c>
      <c r="K277" s="92">
        <v>500</v>
      </c>
      <c r="L277" s="92">
        <v>0</v>
      </c>
      <c r="M277" s="93">
        <v>0</v>
      </c>
      <c r="N277" s="93">
        <v>0</v>
      </c>
      <c r="O277" s="93">
        <v>0</v>
      </c>
      <c r="P277" s="41">
        <v>0</v>
      </c>
      <c r="Q277" s="92">
        <v>0</v>
      </c>
      <c r="R277" s="92">
        <v>12000</v>
      </c>
      <c r="S277" s="33"/>
      <c r="T277" s="92">
        <v>0</v>
      </c>
      <c r="U277" s="92">
        <v>0</v>
      </c>
      <c r="V277" s="92">
        <v>0</v>
      </c>
    </row>
    <row r="278" ht="19.5" customHeight="1">
      <c r="A278" t="s" s="67">
        <v>293</v>
      </c>
      <c r="B278" s="96"/>
      <c r="C278" s="97"/>
      <c r="D278" s="44"/>
      <c r="E278" s="33"/>
      <c r="F278" s="33"/>
      <c r="G278" s="33"/>
      <c r="H278" s="46"/>
      <c r="I278" s="47"/>
      <c r="J278" s="47"/>
      <c r="K278" s="47"/>
      <c r="L278" s="47"/>
      <c r="M278" s="48">
        <v>0</v>
      </c>
      <c r="N278" s="49"/>
      <c r="O278" s="50"/>
      <c r="P278" s="33"/>
      <c r="Q278" s="51">
        <v>0</v>
      </c>
      <c r="R278" s="47"/>
      <c r="S278" s="33"/>
      <c r="T278" s="47"/>
      <c r="U278" s="47"/>
      <c r="V278" s="51">
        <v>0</v>
      </c>
    </row>
    <row r="279" ht="39" customHeight="1">
      <c r="A279" t="s" s="21">
        <v>294</v>
      </c>
      <c r="B279" s="22">
        <f>SUM(C279,G279)</f>
        <v>82570</v>
      </c>
      <c r="C279" s="23">
        <f>SUM(H279,I279,J279,K279,L279,M279,N279,O279,P279,Q279,R279,S279,T279,U279,V279)</f>
        <v>82570</v>
      </c>
      <c r="D279" s="36"/>
      <c r="E279" s="25"/>
      <c r="F279" s="25"/>
      <c r="G279" s="26"/>
      <c r="H279" s="27">
        <v>1000</v>
      </c>
      <c r="I279" s="28">
        <v>0</v>
      </c>
      <c r="J279" s="28">
        <v>15000</v>
      </c>
      <c r="K279" s="28">
        <v>3000</v>
      </c>
      <c r="L279" s="28">
        <v>3000</v>
      </c>
      <c r="M279" s="30">
        <v>12400</v>
      </c>
      <c r="N279" s="30">
        <v>18120</v>
      </c>
      <c r="O279" s="30">
        <v>14100</v>
      </c>
      <c r="P279" s="41">
        <v>6000</v>
      </c>
      <c r="Q279" s="28">
        <v>7950</v>
      </c>
      <c r="R279" s="28">
        <v>2000</v>
      </c>
      <c r="S279" s="33"/>
      <c r="T279" s="28">
        <v>0</v>
      </c>
      <c r="U279" s="28">
        <v>0</v>
      </c>
      <c r="V279" s="28">
        <v>0</v>
      </c>
    </row>
    <row r="280" ht="117" customHeight="1">
      <c r="A280" t="s" s="10">
        <v>295</v>
      </c>
      <c r="B280" s="34">
        <f>SUM(C280,G280)</f>
        <v>141986</v>
      </c>
      <c r="C280" s="35">
        <f>SUM(H280,I280,J280,K280,L280,M280,N280,O280,P280,Q280,R280,S280,T280,U280,V280)</f>
        <v>141986</v>
      </c>
      <c r="D280" s="36"/>
      <c r="E280" s="25"/>
      <c r="F280" s="25"/>
      <c r="G280" s="26"/>
      <c r="H280" s="27">
        <v>15000</v>
      </c>
      <c r="I280" s="38">
        <v>5000</v>
      </c>
      <c r="J280" s="38">
        <v>12000</v>
      </c>
      <c r="K280" s="38">
        <v>8000</v>
      </c>
      <c r="L280" s="38">
        <v>3800</v>
      </c>
      <c r="M280" s="40">
        <v>20000</v>
      </c>
      <c r="N280" s="40">
        <v>27250</v>
      </c>
      <c r="O280" s="40">
        <v>14650</v>
      </c>
      <c r="P280" s="41">
        <v>6000</v>
      </c>
      <c r="Q280" s="38">
        <v>4750</v>
      </c>
      <c r="R280" s="38">
        <v>24036</v>
      </c>
      <c r="S280" s="33"/>
      <c r="T280" s="38">
        <v>0</v>
      </c>
      <c r="U280" s="38">
        <v>1500</v>
      </c>
      <c r="V280" s="38">
        <v>0</v>
      </c>
    </row>
    <row r="281" ht="97.5" customHeight="1">
      <c r="A281" t="s" s="21">
        <v>296</v>
      </c>
      <c r="B281" s="22">
        <f>SUM(C281,G281)</f>
        <v>27000</v>
      </c>
      <c r="C281" s="23">
        <f>SUM(H281,I281,J281,K281,L281,M281,N281,O281,P281,Q281,R281,S281,T281,U281,V281)</f>
        <v>27000</v>
      </c>
      <c r="D281" s="36"/>
      <c r="E281" s="25"/>
      <c r="F281" s="25"/>
      <c r="G281" s="26"/>
      <c r="H281" s="27">
        <v>1000</v>
      </c>
      <c r="I281" s="28">
        <v>0</v>
      </c>
      <c r="J281" s="28">
        <v>2000</v>
      </c>
      <c r="K281" s="28">
        <v>4000</v>
      </c>
      <c r="L281" s="28">
        <v>0</v>
      </c>
      <c r="M281" s="30">
        <v>0</v>
      </c>
      <c r="N281" s="30">
        <v>0</v>
      </c>
      <c r="O281" s="30">
        <v>0</v>
      </c>
      <c r="P281" s="41">
        <v>0</v>
      </c>
      <c r="Q281" s="28">
        <v>0</v>
      </c>
      <c r="R281" s="28">
        <v>20000</v>
      </c>
      <c r="S281" s="33"/>
      <c r="T281" s="28">
        <v>0</v>
      </c>
      <c r="U281" s="28">
        <v>0</v>
      </c>
      <c r="V281" s="28">
        <v>0</v>
      </c>
    </row>
    <row r="282" ht="97.5" customHeight="1">
      <c r="A282" t="s" s="94">
        <v>297</v>
      </c>
      <c r="B282" s="90">
        <f>SUM(C282,G282)</f>
        <v>106400</v>
      </c>
      <c r="C282" s="91">
        <f>SUM(H282,I282,J282,K282,L282,M282,N282,O282,P282,Q282,R282,S282,T282,U282,V282)</f>
        <v>106400</v>
      </c>
      <c r="D282" s="36"/>
      <c r="E282" s="25"/>
      <c r="F282" s="25"/>
      <c r="G282" s="26"/>
      <c r="H282" s="27">
        <v>1000</v>
      </c>
      <c r="I282" s="92">
        <v>0</v>
      </c>
      <c r="J282" s="92">
        <v>10000</v>
      </c>
      <c r="K282" s="92">
        <v>1500</v>
      </c>
      <c r="L282" s="92">
        <v>200</v>
      </c>
      <c r="M282" s="93">
        <v>2500</v>
      </c>
      <c r="N282" s="93">
        <v>1350</v>
      </c>
      <c r="O282" s="93">
        <v>9850</v>
      </c>
      <c r="P282" s="41">
        <v>0</v>
      </c>
      <c r="Q282" s="92">
        <v>0</v>
      </c>
      <c r="R282" s="92">
        <v>80000</v>
      </c>
      <c r="S282" s="33"/>
      <c r="T282" s="92">
        <v>0</v>
      </c>
      <c r="U282" s="92">
        <v>0</v>
      </c>
      <c r="V282" s="92">
        <v>0</v>
      </c>
    </row>
    <row r="283" ht="63" customHeight="1">
      <c r="A283" t="s" s="21">
        <v>298</v>
      </c>
      <c r="B283" s="22">
        <f>SUM(C283,G283)</f>
        <v>62500</v>
      </c>
      <c r="C283" s="23">
        <f>SUM(H283,I283,J283,K283,L283,M283,N283,O283,P283,Q283,R283,S283,T283,U283,V283)</f>
        <v>62500</v>
      </c>
      <c r="D283" s="36"/>
      <c r="E283" s="25"/>
      <c r="F283" s="25"/>
      <c r="G283" s="26"/>
      <c r="H283" s="27">
        <v>5000</v>
      </c>
      <c r="I283" s="28">
        <v>0</v>
      </c>
      <c r="J283" s="28">
        <v>3000</v>
      </c>
      <c r="K283" s="28">
        <v>4000</v>
      </c>
      <c r="L283" s="28">
        <v>500</v>
      </c>
      <c r="M283" s="30">
        <v>0</v>
      </c>
      <c r="N283" s="30">
        <v>0</v>
      </c>
      <c r="O283" s="30">
        <v>0</v>
      </c>
      <c r="P283" s="41">
        <v>0</v>
      </c>
      <c r="Q283" s="28">
        <v>0</v>
      </c>
      <c r="R283" s="28">
        <v>50000</v>
      </c>
      <c r="S283" s="33"/>
      <c r="T283" s="28">
        <v>0</v>
      </c>
      <c r="U283" s="28">
        <v>0</v>
      </c>
      <c r="V283" s="28">
        <v>0</v>
      </c>
    </row>
    <row r="284" ht="19.5" customHeight="1">
      <c r="A284" t="s" s="10">
        <v>299</v>
      </c>
      <c r="B284" s="34">
        <f>SUM(C284,G284)</f>
        <v>18920</v>
      </c>
      <c r="C284" s="35">
        <f>SUM(H284,I284,J284,K284,L284,M284,N284,O284,P284,Q284,R284,S284,T284,U284,V284)</f>
        <v>18920</v>
      </c>
      <c r="D284" s="36"/>
      <c r="E284" s="25"/>
      <c r="F284" s="25"/>
      <c r="G284" s="26"/>
      <c r="H284" s="27">
        <v>1500</v>
      </c>
      <c r="I284" s="38">
        <v>0</v>
      </c>
      <c r="J284" s="38">
        <v>1000</v>
      </c>
      <c r="K284" s="38">
        <v>10000</v>
      </c>
      <c r="L284" s="38">
        <v>420</v>
      </c>
      <c r="M284" s="40">
        <v>0</v>
      </c>
      <c r="N284" s="40">
        <v>0</v>
      </c>
      <c r="O284" s="40">
        <v>0</v>
      </c>
      <c r="P284" s="41">
        <v>0</v>
      </c>
      <c r="Q284" s="38">
        <v>0</v>
      </c>
      <c r="R284" s="38">
        <v>6000</v>
      </c>
      <c r="S284" s="33"/>
      <c r="T284" s="38">
        <v>0</v>
      </c>
      <c r="U284" s="38">
        <v>0</v>
      </c>
      <c r="V284" s="38">
        <v>0</v>
      </c>
    </row>
    <row r="285" ht="47.25" customHeight="1">
      <c r="A285" t="s" s="10">
        <v>300</v>
      </c>
      <c r="B285" s="34">
        <f>SUM(C285,G285)</f>
        <v>12000</v>
      </c>
      <c r="C285" s="35">
        <f>SUM(H285,I285,J285,K285,L285,M285,N285,O285,P285,Q285,R285,S285,T285,U285,V285)</f>
        <v>12000</v>
      </c>
      <c r="D285" s="36"/>
      <c r="E285" s="25"/>
      <c r="F285" s="25"/>
      <c r="G285" s="26"/>
      <c r="H285" s="27">
        <v>1000</v>
      </c>
      <c r="I285" s="38">
        <v>0</v>
      </c>
      <c r="J285" s="38">
        <v>1000</v>
      </c>
      <c r="K285" s="38">
        <v>10000</v>
      </c>
      <c r="L285" s="38">
        <v>0</v>
      </c>
      <c r="M285" s="40">
        <v>0</v>
      </c>
      <c r="N285" s="40">
        <v>0</v>
      </c>
      <c r="O285" s="40">
        <v>0</v>
      </c>
      <c r="P285" s="41">
        <v>0</v>
      </c>
      <c r="Q285" s="38">
        <v>0</v>
      </c>
      <c r="R285" s="38">
        <v>0</v>
      </c>
      <c r="S285" s="33"/>
      <c r="T285" s="38">
        <v>0</v>
      </c>
      <c r="U285" s="38">
        <v>0</v>
      </c>
      <c r="V285" s="38">
        <v>0</v>
      </c>
    </row>
    <row r="286" ht="31.5" customHeight="1">
      <c r="A286" t="s" s="10">
        <v>301</v>
      </c>
      <c r="B286" s="34">
        <f>SUM(C286,G286)</f>
        <v>56000</v>
      </c>
      <c r="C286" s="35">
        <f>SUM(H286,I286,J286,K286,L286,M286,N286,O286,P286,Q286,R286,S286,T286,U286,V286)</f>
        <v>56000</v>
      </c>
      <c r="D286" s="36"/>
      <c r="E286" s="25"/>
      <c r="F286" s="25"/>
      <c r="G286" s="26"/>
      <c r="H286" s="27">
        <v>10000</v>
      </c>
      <c r="I286" s="38">
        <v>0</v>
      </c>
      <c r="J286" s="38">
        <v>1000</v>
      </c>
      <c r="K286" s="38">
        <v>10000</v>
      </c>
      <c r="L286" s="38">
        <v>0</v>
      </c>
      <c r="M286" s="40">
        <v>0</v>
      </c>
      <c r="N286" s="40">
        <v>0</v>
      </c>
      <c r="O286" s="40">
        <v>0</v>
      </c>
      <c r="P286" s="41">
        <v>0</v>
      </c>
      <c r="Q286" s="38">
        <v>0</v>
      </c>
      <c r="R286" s="38">
        <v>35000</v>
      </c>
      <c r="S286" s="33"/>
      <c r="T286" s="38">
        <v>0</v>
      </c>
      <c r="U286" s="38">
        <v>0</v>
      </c>
      <c r="V286" s="38">
        <v>0</v>
      </c>
    </row>
    <row r="287" ht="31.5" customHeight="1">
      <c r="A287" t="s" s="67">
        <v>302</v>
      </c>
      <c r="B287" s="42">
        <f>SUM(C287,G287)</f>
        <v>0</v>
      </c>
      <c r="C287" s="43">
        <f>SUM(H287,I287,J287,K287,L287,M287,N287,O287,P287,Q287,R287,S287,T287,U287,V287)</f>
        <v>0</v>
      </c>
      <c r="D287" s="44"/>
      <c r="E287" s="33"/>
      <c r="F287" s="33"/>
      <c r="G287" s="33"/>
      <c r="H287" s="46"/>
      <c r="I287" s="47"/>
      <c r="J287" s="47"/>
      <c r="K287" s="47"/>
      <c r="L287" s="47"/>
      <c r="M287" s="48">
        <v>0</v>
      </c>
      <c r="N287" s="49"/>
      <c r="O287" s="50"/>
      <c r="P287" s="33"/>
      <c r="Q287" s="51">
        <v>0</v>
      </c>
      <c r="R287" s="47"/>
      <c r="S287" s="33"/>
      <c r="T287" s="47"/>
      <c r="U287" s="47"/>
      <c r="V287" s="51">
        <v>0</v>
      </c>
    </row>
    <row r="288" ht="47.25" customHeight="1">
      <c r="A288" t="s" s="21">
        <v>303</v>
      </c>
      <c r="B288" s="22">
        <f>SUM(C288,G288)</f>
        <v>445</v>
      </c>
      <c r="C288" s="23">
        <f>SUM(H288,I288,J288,K288,L288,M288,N288,O288,P288,Q288,R288,S288,T288,U288,V288)</f>
        <v>425</v>
      </c>
      <c r="D288" s="36"/>
      <c r="E288" s="25"/>
      <c r="F288" s="25"/>
      <c r="G288" s="37">
        <v>20</v>
      </c>
      <c r="H288" s="27">
        <v>100</v>
      </c>
      <c r="I288" s="28">
        <v>5</v>
      </c>
      <c r="J288" s="28">
        <v>10</v>
      </c>
      <c r="K288" s="28">
        <v>10</v>
      </c>
      <c r="L288" s="28">
        <v>0</v>
      </c>
      <c r="M288" s="30">
        <v>0</v>
      </c>
      <c r="N288" s="30">
        <v>0</v>
      </c>
      <c r="O288" s="30">
        <v>0</v>
      </c>
      <c r="P288" s="41">
        <v>0</v>
      </c>
      <c r="Q288" s="28">
        <v>0</v>
      </c>
      <c r="R288" s="28">
        <v>300</v>
      </c>
      <c r="S288" s="33"/>
      <c r="T288" s="28">
        <v>0</v>
      </c>
      <c r="U288" s="28">
        <v>0</v>
      </c>
      <c r="V288" s="28">
        <v>0</v>
      </c>
    </row>
    <row r="289" ht="47.25" customHeight="1">
      <c r="A289" t="s" s="67">
        <v>304</v>
      </c>
      <c r="B289" s="42">
        <f>SUM(C289,G289)</f>
        <v>0</v>
      </c>
      <c r="C289" s="43">
        <f>SUM(H289,I289,J289,K289,L289,M289,N289,O289,P289,Q289,R289,S289,T289,U289,V289)</f>
        <v>0</v>
      </c>
      <c r="D289" s="44"/>
      <c r="E289" s="33"/>
      <c r="F289" s="33"/>
      <c r="G289" s="33"/>
      <c r="H289" s="46"/>
      <c r="I289" s="47"/>
      <c r="J289" s="47"/>
      <c r="K289" s="47"/>
      <c r="L289" s="47"/>
      <c r="M289" s="48">
        <v>0</v>
      </c>
      <c r="N289" s="49"/>
      <c r="O289" s="50"/>
      <c r="P289" s="33"/>
      <c r="Q289" s="51">
        <v>0</v>
      </c>
      <c r="R289" s="47"/>
      <c r="S289" s="33"/>
      <c r="T289" s="47"/>
      <c r="U289" s="47"/>
      <c r="V289" s="51">
        <v>0</v>
      </c>
    </row>
    <row r="290" ht="409.5" customHeight="1">
      <c r="A290" t="s" s="10">
        <v>305</v>
      </c>
      <c r="B290" s="34">
        <f>SUM(C290,G290)</f>
        <v>25</v>
      </c>
      <c r="C290" s="35">
        <f>SUM(H290,I290,J290,K290,L290,M290,N290,O290,P290,Q290,R290,S290,T290,U290,V290)</f>
        <v>25</v>
      </c>
      <c r="D290" s="36"/>
      <c r="E290" s="25"/>
      <c r="F290" s="25"/>
      <c r="G290" s="26"/>
      <c r="H290" s="27">
        <v>0</v>
      </c>
      <c r="I290" s="38">
        <v>0</v>
      </c>
      <c r="J290" s="38">
        <v>25</v>
      </c>
      <c r="K290" s="38">
        <v>0</v>
      </c>
      <c r="L290" s="38">
        <v>0</v>
      </c>
      <c r="M290" s="40">
        <v>0</v>
      </c>
      <c r="N290" s="40">
        <v>0</v>
      </c>
      <c r="O290" s="40">
        <v>0</v>
      </c>
      <c r="P290" s="41">
        <v>0</v>
      </c>
      <c r="Q290" s="38">
        <v>0</v>
      </c>
      <c r="R290" s="38">
        <v>0</v>
      </c>
      <c r="S290" s="33"/>
      <c r="T290" s="38">
        <v>0</v>
      </c>
      <c r="U290" s="38">
        <v>0</v>
      </c>
      <c r="V290" s="38">
        <v>0</v>
      </c>
    </row>
    <row r="291" ht="253.5" customHeight="1">
      <c r="A291" t="s" s="98">
        <v>306</v>
      </c>
      <c r="B291" s="34">
        <f>SUM(C291,G291)</f>
        <v>127370</v>
      </c>
      <c r="C291" s="35">
        <f>SUM(H291,I291,J291,K291,L291,M291,N291,O291,P291,Q291,R291,S291,T291,U291,V291)</f>
        <v>127370</v>
      </c>
      <c r="D291" s="36"/>
      <c r="E291" s="25"/>
      <c r="F291" s="25"/>
      <c r="G291" s="26"/>
      <c r="H291" s="27">
        <v>0</v>
      </c>
      <c r="I291" s="38">
        <v>127370</v>
      </c>
      <c r="J291" s="38">
        <v>0</v>
      </c>
      <c r="K291" s="38">
        <v>0</v>
      </c>
      <c r="L291" s="38">
        <v>0</v>
      </c>
      <c r="M291" s="40">
        <v>0</v>
      </c>
      <c r="N291" s="40">
        <v>0</v>
      </c>
      <c r="O291" s="40">
        <v>0</v>
      </c>
      <c r="P291" s="41">
        <v>0</v>
      </c>
      <c r="Q291" s="38">
        <v>0</v>
      </c>
      <c r="R291" s="38">
        <v>0</v>
      </c>
      <c r="S291" s="33"/>
      <c r="T291" s="38">
        <v>0</v>
      </c>
      <c r="U291" s="38">
        <v>0</v>
      </c>
      <c r="V291" s="80"/>
    </row>
    <row r="292" ht="292.5" customHeight="1">
      <c r="A292" t="s" s="99">
        <v>307</v>
      </c>
      <c r="B292" s="42">
        <f>SUM(C292,G292)</f>
        <v>700</v>
      </c>
      <c r="C292" s="43">
        <f>SUM(H292,I292,J292,K292,L292,M292,N292,O292,P292,Q292,R292,S292,T292,U292,V292)</f>
        <v>700</v>
      </c>
      <c r="D292" s="44"/>
      <c r="E292" s="45"/>
      <c r="F292" s="45"/>
      <c r="G292" s="45"/>
      <c r="H292" s="27">
        <v>0</v>
      </c>
      <c r="I292" s="51">
        <v>0</v>
      </c>
      <c r="J292" s="51">
        <v>500</v>
      </c>
      <c r="K292" s="51">
        <v>200</v>
      </c>
      <c r="L292" s="51">
        <v>0</v>
      </c>
      <c r="M292" s="48">
        <v>0</v>
      </c>
      <c r="N292" s="48">
        <v>0</v>
      </c>
      <c r="O292" s="55">
        <v>0</v>
      </c>
      <c r="P292" s="58">
        <v>0</v>
      </c>
      <c r="Q292" s="51">
        <v>0</v>
      </c>
      <c r="R292" s="51">
        <v>0</v>
      </c>
      <c r="S292" s="45"/>
      <c r="T292" s="51">
        <v>0</v>
      </c>
      <c r="U292" s="51">
        <v>0</v>
      </c>
      <c r="V292" s="51">
        <v>0</v>
      </c>
    </row>
    <row r="293" ht="141.75" customHeight="1">
      <c r="A293" t="s" s="69">
        <v>308</v>
      </c>
      <c r="B293" s="42">
        <f>SUM(C293,G293)</f>
        <v>850</v>
      </c>
      <c r="C293" s="43">
        <f>SUM(H293,I293,J293,K293,L293,M293,N293,O293,P293,Q293,R293,S293,T293,U293,V293)</f>
        <v>850</v>
      </c>
      <c r="D293" s="44"/>
      <c r="E293" s="6"/>
      <c r="F293" s="6"/>
      <c r="G293" s="6"/>
      <c r="H293" s="27">
        <v>0</v>
      </c>
      <c r="I293" s="51">
        <v>150</v>
      </c>
      <c r="J293" s="51">
        <v>500</v>
      </c>
      <c r="K293" s="51">
        <v>200</v>
      </c>
      <c r="L293" s="51">
        <v>0</v>
      </c>
      <c r="M293" s="48">
        <v>0</v>
      </c>
      <c r="N293" s="48">
        <v>0</v>
      </c>
      <c r="O293" s="55">
        <v>0</v>
      </c>
      <c r="P293" s="53">
        <v>0</v>
      </c>
      <c r="Q293" s="51">
        <v>0</v>
      </c>
      <c r="R293" s="51">
        <v>0</v>
      </c>
      <c r="S293" s="6"/>
      <c r="T293" s="51">
        <v>0</v>
      </c>
      <c r="U293" s="51">
        <v>0</v>
      </c>
      <c r="V293" s="47"/>
    </row>
    <row r="294" ht="236.25" customHeight="1">
      <c r="A294" t="s" s="99">
        <v>309</v>
      </c>
      <c r="B294" s="42">
        <f>SUM(C294,G294)</f>
        <v>300</v>
      </c>
      <c r="C294" s="43">
        <f>SUM(H294,I294,J294,K294,L294,M294,N294,O294,P294,Q294,R294,S294,T294,U294,V294)</f>
        <v>300</v>
      </c>
      <c r="D294" s="44"/>
      <c r="E294" s="17"/>
      <c r="F294" s="17"/>
      <c r="G294" s="17"/>
      <c r="H294" s="27">
        <v>200</v>
      </c>
      <c r="I294" s="51">
        <v>0</v>
      </c>
      <c r="J294" s="51">
        <v>100</v>
      </c>
      <c r="K294" s="51">
        <v>0</v>
      </c>
      <c r="L294" s="51">
        <v>0</v>
      </c>
      <c r="M294" s="48">
        <v>0</v>
      </c>
      <c r="N294" s="48">
        <v>0</v>
      </c>
      <c r="O294" s="55">
        <v>0</v>
      </c>
      <c r="P294" s="56">
        <v>0</v>
      </c>
      <c r="Q294" s="51">
        <v>0</v>
      </c>
      <c r="R294" s="51">
        <v>0</v>
      </c>
      <c r="S294" s="17"/>
      <c r="T294" s="51">
        <v>0</v>
      </c>
      <c r="U294" s="51">
        <v>0</v>
      </c>
      <c r="V294" s="51">
        <v>0</v>
      </c>
    </row>
    <row r="295" ht="370.5" customHeight="1">
      <c r="A295" t="s" s="100">
        <v>310</v>
      </c>
      <c r="B295" s="22">
        <f>SUM(C295,G295)</f>
        <v>1750</v>
      </c>
      <c r="C295" s="23">
        <f>SUM(H295,I295,J295,K295,L295,M295,N295,O295,P295,Q295,R295,S295,T295,U295,V295)</f>
        <v>1750</v>
      </c>
      <c r="D295" s="36"/>
      <c r="E295" s="25"/>
      <c r="F295" s="25"/>
      <c r="G295" s="26"/>
      <c r="H295" s="27">
        <v>600</v>
      </c>
      <c r="I295" s="28">
        <v>150</v>
      </c>
      <c r="J295" s="28">
        <v>500</v>
      </c>
      <c r="K295" s="28">
        <v>500</v>
      </c>
      <c r="L295" s="28">
        <v>0</v>
      </c>
      <c r="M295" s="30">
        <v>0</v>
      </c>
      <c r="N295" s="30">
        <v>0</v>
      </c>
      <c r="O295" s="30">
        <v>0</v>
      </c>
      <c r="P295" s="41">
        <v>0</v>
      </c>
      <c r="Q295" s="28">
        <v>0</v>
      </c>
      <c r="R295" s="28">
        <v>0</v>
      </c>
      <c r="S295" s="33"/>
      <c r="T295" s="28">
        <v>0</v>
      </c>
      <c r="U295" s="28">
        <v>0</v>
      </c>
      <c r="V295" s="28">
        <v>0</v>
      </c>
    </row>
    <row r="296" ht="173.25" customHeight="1">
      <c r="A296" t="s" s="69">
        <v>311</v>
      </c>
      <c r="B296" s="42">
        <f>SUM(C296,G296)</f>
        <v>4650</v>
      </c>
      <c r="C296" s="43">
        <f>SUM(H296,I296,J296,K296,L296,M296,N296,O296,P296,Q296,R296,S296,T296,U296,V296)</f>
        <v>4650</v>
      </c>
      <c r="D296" s="44"/>
      <c r="E296" s="45"/>
      <c r="F296" s="45"/>
      <c r="G296" s="45"/>
      <c r="H296" s="27">
        <v>0</v>
      </c>
      <c r="I296" s="51">
        <v>150</v>
      </c>
      <c r="J296" s="51">
        <v>500</v>
      </c>
      <c r="K296" s="51">
        <v>500</v>
      </c>
      <c r="L296" s="51">
        <v>0</v>
      </c>
      <c r="M296" s="48">
        <v>0</v>
      </c>
      <c r="N296" s="48">
        <v>0</v>
      </c>
      <c r="O296" s="55">
        <v>0</v>
      </c>
      <c r="P296" s="58">
        <v>0</v>
      </c>
      <c r="Q296" s="51">
        <v>0</v>
      </c>
      <c r="R296" s="51">
        <v>3500</v>
      </c>
      <c r="S296" s="45"/>
      <c r="T296" s="51">
        <v>0</v>
      </c>
      <c r="U296" s="51">
        <v>0</v>
      </c>
      <c r="V296" s="51">
        <v>0</v>
      </c>
    </row>
    <row r="297" ht="409.5" customHeight="1">
      <c r="A297" t="s" s="69">
        <v>312</v>
      </c>
      <c r="B297" s="42">
        <f>SUM(C297,G297)</f>
        <v>0</v>
      </c>
      <c r="C297" s="43">
        <f>SUM(H297,I297,J297,K297,L297,M297,N297,O297,P297,Q297,R297,S297,T297,U297,V297)</f>
        <v>0</v>
      </c>
      <c r="D297" s="44"/>
      <c r="E297" s="6"/>
      <c r="F297" s="6"/>
      <c r="G297" s="6"/>
      <c r="H297" s="27">
        <v>0</v>
      </c>
      <c r="I297" s="51">
        <v>0</v>
      </c>
      <c r="J297" s="51">
        <v>0</v>
      </c>
      <c r="K297" s="51">
        <v>0</v>
      </c>
      <c r="L297" s="51">
        <v>0</v>
      </c>
      <c r="M297" s="48">
        <v>0</v>
      </c>
      <c r="N297" s="48">
        <v>0</v>
      </c>
      <c r="O297" s="55">
        <v>0</v>
      </c>
      <c r="P297" s="53">
        <v>0</v>
      </c>
      <c r="Q297" s="51">
        <v>0</v>
      </c>
      <c r="R297" s="51">
        <v>0</v>
      </c>
      <c r="S297" s="6"/>
      <c r="T297" s="51">
        <v>0</v>
      </c>
      <c r="U297" s="51">
        <v>0</v>
      </c>
      <c r="V297" s="51">
        <v>0</v>
      </c>
    </row>
    <row r="298" ht="31.5" customHeight="1">
      <c r="A298" t="s" s="67">
        <v>313</v>
      </c>
      <c r="B298" s="42">
        <f>SUM(C298,G298)</f>
        <v>0</v>
      </c>
      <c r="C298" s="43">
        <f>SUM(H298,I298,J298,K298,L298,M298,N298,O298,P298,Q298,R298,S298,T298,U298,V298)</f>
        <v>0</v>
      </c>
      <c r="D298" s="44"/>
      <c r="E298" s="17"/>
      <c r="F298" s="17"/>
      <c r="G298" s="17"/>
      <c r="H298" s="46"/>
      <c r="I298" s="47"/>
      <c r="J298" s="47"/>
      <c r="K298" s="47"/>
      <c r="L298" s="47"/>
      <c r="M298" s="48">
        <v>0</v>
      </c>
      <c r="N298" s="49"/>
      <c r="O298" s="50"/>
      <c r="P298" s="17"/>
      <c r="Q298" s="51">
        <v>0</v>
      </c>
      <c r="R298" s="47"/>
      <c r="S298" s="17"/>
      <c r="T298" s="47"/>
      <c r="U298" s="47"/>
      <c r="V298" s="47"/>
    </row>
    <row r="299" ht="19.5" customHeight="1">
      <c r="A299" t="s" s="21">
        <v>314</v>
      </c>
      <c r="B299" s="22">
        <f>SUM(C299,G299)</f>
        <v>41000</v>
      </c>
      <c r="C299" s="23">
        <f>SUM(H299,I299,J299,K299,L299,M299,N299,O299,P299,Q299,R299,S299,T299,U299,V299)</f>
        <v>41000</v>
      </c>
      <c r="D299" s="36"/>
      <c r="E299" s="25"/>
      <c r="F299" s="25"/>
      <c r="G299" s="26"/>
      <c r="H299" s="27">
        <v>10000</v>
      </c>
      <c r="I299" s="28">
        <v>0</v>
      </c>
      <c r="J299" s="28">
        <v>500</v>
      </c>
      <c r="K299" s="28">
        <v>500</v>
      </c>
      <c r="L299" s="28">
        <v>0</v>
      </c>
      <c r="M299" s="30">
        <v>0</v>
      </c>
      <c r="N299" s="30">
        <v>0</v>
      </c>
      <c r="O299" s="30">
        <v>0</v>
      </c>
      <c r="P299" s="41">
        <v>0</v>
      </c>
      <c r="Q299" s="28">
        <v>0</v>
      </c>
      <c r="R299" s="28">
        <v>30000</v>
      </c>
      <c r="S299" s="33"/>
      <c r="T299" s="28">
        <v>0</v>
      </c>
      <c r="U299" s="28">
        <v>0</v>
      </c>
      <c r="V299" s="28">
        <v>0</v>
      </c>
    </row>
    <row r="300" ht="47.25" customHeight="1">
      <c r="A300" t="s" s="21">
        <v>315</v>
      </c>
      <c r="B300" s="22">
        <f>SUM(C300,G300)</f>
        <v>43000</v>
      </c>
      <c r="C300" s="23">
        <f>SUM(H300,I300,J300,K300,L300,M300,N300,O300,P300,Q300,R300,S300,T300,U300,V300)</f>
        <v>43000</v>
      </c>
      <c r="D300" s="36"/>
      <c r="E300" s="25"/>
      <c r="F300" s="25"/>
      <c r="G300" s="26"/>
      <c r="H300" s="27">
        <v>15000</v>
      </c>
      <c r="I300" s="28">
        <v>0</v>
      </c>
      <c r="J300" s="28">
        <v>20000</v>
      </c>
      <c r="K300" s="28">
        <v>4000</v>
      </c>
      <c r="L300" s="28">
        <v>1500</v>
      </c>
      <c r="M300" s="30">
        <v>0</v>
      </c>
      <c r="N300" s="30">
        <v>0</v>
      </c>
      <c r="O300" s="30">
        <v>0</v>
      </c>
      <c r="P300" s="41">
        <v>0</v>
      </c>
      <c r="Q300" s="28">
        <v>0</v>
      </c>
      <c r="R300" s="28">
        <v>2500</v>
      </c>
      <c r="S300" s="33"/>
      <c r="T300" s="28">
        <v>0</v>
      </c>
      <c r="U300" s="28">
        <v>0</v>
      </c>
      <c r="V300" s="28">
        <v>0</v>
      </c>
    </row>
    <row r="301" ht="47.25" customHeight="1">
      <c r="A301" t="s" s="21">
        <v>316</v>
      </c>
      <c r="B301" s="22">
        <f>SUM(C301,G301)</f>
        <v>44000</v>
      </c>
      <c r="C301" s="23">
        <f>SUM(H301,I301,J301,K301,L301,M301,N301,O301,P301,Q301,R301,S301,T301,U301,V301)</f>
        <v>44000</v>
      </c>
      <c r="D301" s="36"/>
      <c r="E301" s="25"/>
      <c r="F301" s="25"/>
      <c r="G301" s="26"/>
      <c r="H301" s="27">
        <v>15000</v>
      </c>
      <c r="I301" s="28">
        <v>0</v>
      </c>
      <c r="J301" s="28">
        <v>20000</v>
      </c>
      <c r="K301" s="28">
        <v>4000</v>
      </c>
      <c r="L301" s="28">
        <v>0</v>
      </c>
      <c r="M301" s="30">
        <v>0</v>
      </c>
      <c r="N301" s="30">
        <v>0</v>
      </c>
      <c r="O301" s="30">
        <v>0</v>
      </c>
      <c r="P301" s="41">
        <v>0</v>
      </c>
      <c r="Q301" s="28">
        <v>0</v>
      </c>
      <c r="R301" s="28">
        <v>5000</v>
      </c>
      <c r="S301" s="33"/>
      <c r="T301" s="28">
        <v>0</v>
      </c>
      <c r="U301" s="28">
        <v>0</v>
      </c>
      <c r="V301" s="28">
        <v>0</v>
      </c>
    </row>
    <row r="302" ht="141.75" customHeight="1">
      <c r="A302" t="s" s="68">
        <v>317</v>
      </c>
      <c r="B302" s="42">
        <f>SUM(C302,G302)</f>
        <v>0</v>
      </c>
      <c r="C302" s="43">
        <f>SUM(H302,I302,J302,K302,L302,M302,N302,O302,P302,Q302,R302,S302,T302,U302,V302)</f>
        <v>0</v>
      </c>
      <c r="D302" s="44"/>
      <c r="E302" s="45"/>
      <c r="F302" s="45"/>
      <c r="G302" s="45"/>
      <c r="H302" s="27">
        <v>0</v>
      </c>
      <c r="I302" s="47"/>
      <c r="J302" s="47"/>
      <c r="K302" s="47"/>
      <c r="L302" s="51">
        <v>0</v>
      </c>
      <c r="M302" s="48">
        <v>0</v>
      </c>
      <c r="N302" s="48">
        <v>0</v>
      </c>
      <c r="O302" s="55">
        <v>0</v>
      </c>
      <c r="P302" s="58">
        <v>0</v>
      </c>
      <c r="Q302" s="51">
        <v>0</v>
      </c>
      <c r="R302" s="47"/>
      <c r="S302" s="45"/>
      <c r="T302" s="51">
        <v>0</v>
      </c>
      <c r="U302" s="51">
        <v>0</v>
      </c>
      <c r="V302" s="51">
        <v>0</v>
      </c>
    </row>
    <row r="303" ht="31.5" customHeight="1">
      <c r="A303" t="s" s="67">
        <v>318</v>
      </c>
      <c r="B303" s="42">
        <f>SUM(C303,G303)</f>
        <v>0</v>
      </c>
      <c r="C303" s="43">
        <f>SUM(H303,I303,J303,K303,L303,M303,N303,O303,P303,Q303,R303,S303,T303,U303,V303)</f>
        <v>0</v>
      </c>
      <c r="D303" s="44"/>
      <c r="E303" s="6"/>
      <c r="F303" s="6"/>
      <c r="G303" s="6"/>
      <c r="H303" s="46"/>
      <c r="I303" s="47"/>
      <c r="J303" s="47"/>
      <c r="K303" s="47"/>
      <c r="L303" s="47"/>
      <c r="M303" s="48">
        <v>0</v>
      </c>
      <c r="N303" s="49"/>
      <c r="O303" s="50"/>
      <c r="P303" s="6"/>
      <c r="Q303" s="51">
        <v>0</v>
      </c>
      <c r="R303" s="47"/>
      <c r="S303" s="6"/>
      <c r="T303" s="47"/>
      <c r="U303" s="47"/>
      <c r="V303" s="51">
        <v>0</v>
      </c>
    </row>
    <row r="304" ht="409.5" customHeight="1">
      <c r="A304" t="s" s="52">
        <v>319</v>
      </c>
      <c r="B304" s="42">
        <f>SUM(C304,G304)</f>
        <v>419797</v>
      </c>
      <c r="C304" s="43">
        <f>SUM(H304,I304,J304,K304,L304,M304,N304,O304,P304,Q304,R304,S304,T304,U304,V304)</f>
        <v>414797</v>
      </c>
      <c r="D304" s="44"/>
      <c r="E304" s="6"/>
      <c r="F304" s="6"/>
      <c r="G304" s="53">
        <v>5000</v>
      </c>
      <c r="H304" s="27">
        <v>60000</v>
      </c>
      <c r="I304" s="51">
        <v>66240</v>
      </c>
      <c r="J304" s="51">
        <v>100000</v>
      </c>
      <c r="K304" s="51">
        <v>35000</v>
      </c>
      <c r="L304" s="51">
        <v>45000</v>
      </c>
      <c r="M304" s="48">
        <v>17000</v>
      </c>
      <c r="N304" s="48">
        <v>15511</v>
      </c>
      <c r="O304" s="55">
        <v>34500</v>
      </c>
      <c r="P304" s="53">
        <v>2800</v>
      </c>
      <c r="Q304" s="51">
        <v>38100</v>
      </c>
      <c r="R304" s="51">
        <v>100</v>
      </c>
      <c r="S304" s="6"/>
      <c r="T304" s="51">
        <v>526</v>
      </c>
      <c r="U304" s="51">
        <v>0</v>
      </c>
      <c r="V304" s="51">
        <v>20</v>
      </c>
    </row>
    <row r="305" ht="409.5" customHeight="1">
      <c r="A305" t="s" s="52">
        <v>320</v>
      </c>
      <c r="B305" s="42">
        <f>SUM(C305,G305)</f>
        <v>212655</v>
      </c>
      <c r="C305" s="43">
        <f>SUM(H305,I305,J305,K305,L305,M305,N305,O305,P305,Q305,R305,S305,T305,U305,V305)</f>
        <v>207655</v>
      </c>
      <c r="D305" s="44"/>
      <c r="E305" s="17"/>
      <c r="F305" s="17"/>
      <c r="G305" s="56">
        <v>5000</v>
      </c>
      <c r="H305" s="27">
        <v>40000</v>
      </c>
      <c r="I305" s="51">
        <v>10000</v>
      </c>
      <c r="J305" s="51">
        <v>70000</v>
      </c>
      <c r="K305" s="51">
        <v>20000</v>
      </c>
      <c r="L305" s="51">
        <v>5800</v>
      </c>
      <c r="M305" s="48">
        <v>16000</v>
      </c>
      <c r="N305" s="48">
        <v>6785</v>
      </c>
      <c r="O305" s="55">
        <v>16350</v>
      </c>
      <c r="P305" s="56">
        <v>3300</v>
      </c>
      <c r="Q305" s="51">
        <v>17300</v>
      </c>
      <c r="R305" s="51">
        <v>100</v>
      </c>
      <c r="S305" s="17"/>
      <c r="T305" s="51">
        <v>0</v>
      </c>
      <c r="U305" s="51">
        <v>2000</v>
      </c>
      <c r="V305" s="51">
        <v>20</v>
      </c>
    </row>
    <row r="306" ht="31.5" customHeight="1">
      <c r="A306" t="s" s="21">
        <v>321</v>
      </c>
      <c r="B306" s="22">
        <f>SUM(C306,G306)</f>
        <v>157800</v>
      </c>
      <c r="C306" s="23">
        <f>SUM(H306,I306,J306,K306,L306,M306,N306,O306,P306,Q306,R306,S306,T306,U306,V306)</f>
        <v>157800</v>
      </c>
      <c r="D306" s="36"/>
      <c r="E306" s="25"/>
      <c r="F306" s="25"/>
      <c r="G306" s="26"/>
      <c r="H306" s="27">
        <v>100000</v>
      </c>
      <c r="I306" s="28">
        <v>0</v>
      </c>
      <c r="J306" s="28">
        <v>20000</v>
      </c>
      <c r="K306" s="28">
        <v>16000</v>
      </c>
      <c r="L306" s="28">
        <v>3500</v>
      </c>
      <c r="M306" s="30">
        <v>0</v>
      </c>
      <c r="N306" s="30">
        <v>0</v>
      </c>
      <c r="O306" s="30">
        <v>0</v>
      </c>
      <c r="P306" s="41">
        <v>0</v>
      </c>
      <c r="Q306" s="28">
        <v>0</v>
      </c>
      <c r="R306" s="28">
        <v>1200</v>
      </c>
      <c r="S306" s="75">
        <v>12000</v>
      </c>
      <c r="T306" s="28">
        <v>1000</v>
      </c>
      <c r="U306" s="28">
        <v>4000</v>
      </c>
      <c r="V306" s="28">
        <v>100</v>
      </c>
    </row>
    <row r="307" ht="173.25" customHeight="1">
      <c r="A307" t="s" s="21">
        <v>322</v>
      </c>
      <c r="B307" s="22">
        <f>SUM(C307,G307)</f>
        <v>1150</v>
      </c>
      <c r="C307" s="23">
        <f>SUM(H307,I307,J307,K307,L307,M307,N307,O307,P307,Q307,R307,S307,T307,U307,V307)</f>
        <v>1150</v>
      </c>
      <c r="D307" s="36"/>
      <c r="E307" s="25"/>
      <c r="F307" s="25"/>
      <c r="G307" s="26"/>
      <c r="H307" s="27">
        <v>1000</v>
      </c>
      <c r="I307" s="28">
        <v>0</v>
      </c>
      <c r="J307" s="28">
        <v>0</v>
      </c>
      <c r="K307" s="28">
        <v>100</v>
      </c>
      <c r="L307" s="28">
        <v>50</v>
      </c>
      <c r="M307" s="30">
        <v>0</v>
      </c>
      <c r="N307" s="30">
        <v>0</v>
      </c>
      <c r="O307" s="30">
        <v>0</v>
      </c>
      <c r="P307" s="41">
        <v>0</v>
      </c>
      <c r="Q307" s="28">
        <v>0</v>
      </c>
      <c r="R307" s="28">
        <v>0</v>
      </c>
      <c r="S307" s="33"/>
      <c r="T307" s="28">
        <v>0</v>
      </c>
      <c r="U307" s="28">
        <v>0</v>
      </c>
      <c r="V307" s="28">
        <v>0</v>
      </c>
    </row>
    <row r="308" ht="19.5" customHeight="1">
      <c r="A308" t="s" s="67">
        <v>323</v>
      </c>
      <c r="B308" s="42">
        <f>SUM(C308,G308)</f>
        <v>0</v>
      </c>
      <c r="C308" s="43">
        <f>SUM(H308,I308,J308,K308,L308,M308,N308,O308,P308,Q308,R308,S308,T308,U308,V308)</f>
        <v>0</v>
      </c>
      <c r="D308" s="44"/>
      <c r="E308" s="33"/>
      <c r="F308" s="33"/>
      <c r="G308" s="33"/>
      <c r="H308" s="46"/>
      <c r="I308" s="47"/>
      <c r="J308" s="47"/>
      <c r="K308" s="47"/>
      <c r="L308" s="47"/>
      <c r="M308" s="48">
        <v>0</v>
      </c>
      <c r="N308" s="49"/>
      <c r="O308" s="50"/>
      <c r="P308" s="33"/>
      <c r="Q308" s="51">
        <v>0</v>
      </c>
      <c r="R308" s="47"/>
      <c r="S308" s="33"/>
      <c r="T308" s="47"/>
      <c r="U308" s="47"/>
      <c r="V308" s="51">
        <v>0</v>
      </c>
    </row>
    <row r="309" ht="29.25" customHeight="1">
      <c r="A309" t="s" s="21">
        <v>324</v>
      </c>
      <c r="B309" s="22">
        <f>SUM(C309,G309)</f>
        <v>66600</v>
      </c>
      <c r="C309" s="23">
        <f>SUM(H309,I309,J309,K309,L309,M309,N309,O309,P309,Q309,R309,S309,T309,U309,V309)</f>
        <v>66600</v>
      </c>
      <c r="D309" s="36"/>
      <c r="E309" s="25"/>
      <c r="F309" s="25"/>
      <c r="G309" s="26"/>
      <c r="H309" s="27">
        <v>0</v>
      </c>
      <c r="I309" s="28">
        <v>40000</v>
      </c>
      <c r="J309" s="28">
        <v>25000</v>
      </c>
      <c r="K309" s="28">
        <v>1600</v>
      </c>
      <c r="L309" s="28">
        <v>0</v>
      </c>
      <c r="M309" s="30">
        <v>0</v>
      </c>
      <c r="N309" s="30">
        <v>0</v>
      </c>
      <c r="O309" s="30">
        <v>0</v>
      </c>
      <c r="P309" s="41">
        <v>0</v>
      </c>
      <c r="Q309" s="28">
        <v>0</v>
      </c>
      <c r="R309" s="28">
        <v>0</v>
      </c>
      <c r="S309" s="33"/>
      <c r="T309" s="28">
        <v>0</v>
      </c>
      <c r="U309" s="28">
        <v>0</v>
      </c>
      <c r="V309" s="28">
        <v>0</v>
      </c>
    </row>
    <row r="310" ht="31.5" customHeight="1">
      <c r="A310" t="s" s="10">
        <v>325</v>
      </c>
      <c r="B310" s="34">
        <f>SUM(C310,G310)</f>
        <v>6530</v>
      </c>
      <c r="C310" s="35">
        <f>SUM(H310,I310,J310,K310,L310,M310,N310,O310,P310,Q310,R310,S310,T310,U310,V310)</f>
        <v>6530</v>
      </c>
      <c r="D310" s="36"/>
      <c r="E310" s="25"/>
      <c r="F310" s="25"/>
      <c r="G310" s="26"/>
      <c r="H310" s="27">
        <v>0</v>
      </c>
      <c r="I310" s="38">
        <v>200</v>
      </c>
      <c r="J310" s="38">
        <v>1500</v>
      </c>
      <c r="K310" s="38">
        <v>180</v>
      </c>
      <c r="L310" s="38">
        <v>350</v>
      </c>
      <c r="M310" s="40">
        <v>1000</v>
      </c>
      <c r="N310" s="40">
        <v>1000</v>
      </c>
      <c r="O310" s="40">
        <v>1000</v>
      </c>
      <c r="P310" s="41">
        <v>500</v>
      </c>
      <c r="Q310" s="38">
        <v>800</v>
      </c>
      <c r="R310" s="38">
        <v>0</v>
      </c>
      <c r="S310" s="33"/>
      <c r="T310" s="38">
        <v>0</v>
      </c>
      <c r="U310" s="38">
        <v>0</v>
      </c>
      <c r="V310" s="38">
        <v>0</v>
      </c>
    </row>
    <row r="311" ht="45.75" customHeight="1">
      <c r="A311" t="s" s="101">
        <v>326</v>
      </c>
      <c r="B311" s="34">
        <f>SUM(C311,G311)</f>
        <v>400</v>
      </c>
      <c r="C311" s="35">
        <f>SUM(H311,I311,J311,K311,L311,M311,N311,O311,P311,Q311,R311,S311,T311,U311,V311)</f>
        <v>400</v>
      </c>
      <c r="D311" s="36"/>
      <c r="E311" s="25"/>
      <c r="F311" s="25"/>
      <c r="G311" s="26"/>
      <c r="H311" s="27">
        <v>0</v>
      </c>
      <c r="I311" s="38">
        <v>0</v>
      </c>
      <c r="J311" s="38">
        <v>0</v>
      </c>
      <c r="K311" s="38">
        <v>200</v>
      </c>
      <c r="L311" s="38">
        <v>200</v>
      </c>
      <c r="M311" s="40">
        <v>0</v>
      </c>
      <c r="N311" s="79"/>
      <c r="O311" s="40">
        <v>0</v>
      </c>
      <c r="P311" s="41">
        <v>0</v>
      </c>
      <c r="Q311" s="38">
        <v>0</v>
      </c>
      <c r="R311" s="80"/>
      <c r="S311" s="33"/>
      <c r="T311" s="38">
        <v>0</v>
      </c>
      <c r="U311" s="38">
        <v>0</v>
      </c>
      <c r="V311" s="38">
        <v>0</v>
      </c>
    </row>
    <row r="312" ht="31.5" customHeight="1">
      <c r="A312" t="s" s="67">
        <v>327</v>
      </c>
      <c r="B312" s="42">
        <f>SUM(C312,G312)</f>
        <v>0</v>
      </c>
      <c r="C312" s="43">
        <f>SUM(H312,I312,J312,K312,L312,M312,N312,O312,P312,Q312,R312,S312,T312,U312,V312)</f>
        <v>0</v>
      </c>
      <c r="D312" s="44"/>
      <c r="E312" s="33"/>
      <c r="F312" s="33"/>
      <c r="G312" s="33"/>
      <c r="H312" s="46"/>
      <c r="I312" s="47"/>
      <c r="J312" s="47"/>
      <c r="K312" s="47"/>
      <c r="L312" s="47"/>
      <c r="M312" s="48">
        <v>0</v>
      </c>
      <c r="N312" s="49"/>
      <c r="O312" s="50"/>
      <c r="P312" s="33"/>
      <c r="Q312" s="51">
        <v>0</v>
      </c>
      <c r="R312" s="47"/>
      <c r="S312" s="33"/>
      <c r="T312" s="47"/>
      <c r="U312" s="47"/>
      <c r="V312" s="51">
        <v>0</v>
      </c>
    </row>
    <row r="313" ht="19.5" customHeight="1">
      <c r="A313" t="s" s="21">
        <v>328</v>
      </c>
      <c r="B313" s="22">
        <f>SUM(C313,G313)</f>
        <v>21000</v>
      </c>
      <c r="C313" s="23">
        <f>SUM(H313,I313,J313,K313,L313,M313,N313,O313,P313,Q313,R313,S313,T313,U313,V313)</f>
        <v>21000</v>
      </c>
      <c r="D313" s="36"/>
      <c r="E313" s="25"/>
      <c r="F313" s="25"/>
      <c r="G313" s="26"/>
      <c r="H313" s="27">
        <v>20000</v>
      </c>
      <c r="I313" s="28">
        <v>0</v>
      </c>
      <c r="J313" s="28">
        <v>100</v>
      </c>
      <c r="K313" s="28">
        <v>600</v>
      </c>
      <c r="L313" s="28">
        <v>300</v>
      </c>
      <c r="M313" s="30">
        <v>0</v>
      </c>
      <c r="N313" s="30">
        <v>0</v>
      </c>
      <c r="O313" s="30">
        <v>0</v>
      </c>
      <c r="P313" s="41">
        <v>0</v>
      </c>
      <c r="Q313" s="28">
        <v>0</v>
      </c>
      <c r="R313" s="28">
        <v>0</v>
      </c>
      <c r="S313" s="33"/>
      <c r="T313" s="28">
        <v>0</v>
      </c>
      <c r="U313" s="28">
        <v>0</v>
      </c>
      <c r="V313" s="28">
        <v>0</v>
      </c>
    </row>
    <row r="314" ht="31.5" customHeight="1">
      <c r="A314" t="s" s="67">
        <v>329</v>
      </c>
      <c r="B314" s="42">
        <f>SUM(C314,G314)</f>
        <v>0</v>
      </c>
      <c r="C314" s="43">
        <f>SUM(H314,I314,J314,K314,L314,M314,N314,O314,P314,Q314,R314,S314,T314,U314,V314)</f>
        <v>0</v>
      </c>
      <c r="D314" s="44"/>
      <c r="E314" s="45"/>
      <c r="F314" s="45"/>
      <c r="G314" s="45"/>
      <c r="H314" s="46"/>
      <c r="I314" s="47"/>
      <c r="J314" s="47"/>
      <c r="K314" s="47"/>
      <c r="L314" s="47"/>
      <c r="M314" s="48">
        <v>0</v>
      </c>
      <c r="N314" s="49"/>
      <c r="O314" s="50"/>
      <c r="P314" s="45"/>
      <c r="Q314" s="51">
        <v>0</v>
      </c>
      <c r="R314" s="47"/>
      <c r="S314" s="45"/>
      <c r="T314" s="47"/>
      <c r="U314" s="47"/>
      <c r="V314" s="51">
        <v>0</v>
      </c>
    </row>
    <row r="315" ht="19.5" customHeight="1">
      <c r="A315" t="s" s="67">
        <v>330</v>
      </c>
      <c r="B315" s="42">
        <f>SUM(C315,G315)</f>
        <v>0</v>
      </c>
      <c r="C315" s="43">
        <f>SUM(H315,I315,J315,K315,L315,M315,N315,O315,P315,Q315,R315,S315,T315,U315,V315)</f>
        <v>0</v>
      </c>
      <c r="D315" s="44"/>
      <c r="E315" s="6"/>
      <c r="F315" s="6"/>
      <c r="G315" s="6"/>
      <c r="H315" s="46"/>
      <c r="I315" s="47"/>
      <c r="J315" s="51">
        <v>0</v>
      </c>
      <c r="K315" s="47"/>
      <c r="L315" s="47"/>
      <c r="M315" s="48">
        <v>0</v>
      </c>
      <c r="N315" s="49"/>
      <c r="O315" s="50"/>
      <c r="P315" s="6"/>
      <c r="Q315" s="51">
        <v>0</v>
      </c>
      <c r="R315" s="47"/>
      <c r="S315" s="6"/>
      <c r="T315" s="47"/>
      <c r="U315" s="47"/>
      <c r="V315" s="51">
        <v>0</v>
      </c>
    </row>
    <row r="316" ht="409.5" customHeight="1">
      <c r="A316" t="s" s="52">
        <v>331</v>
      </c>
      <c r="B316" s="42">
        <f>SUM(C316,G316)</f>
        <v>0</v>
      </c>
      <c r="C316" s="43">
        <f>SUM(H316,I316,J316,K316,L316,M316,N316,O316,P316,Q316,R316,S316,T316,U316,V316)</f>
        <v>0</v>
      </c>
      <c r="D316" s="44"/>
      <c r="E316" s="6"/>
      <c r="F316" s="6"/>
      <c r="G316" s="6"/>
      <c r="H316" s="27">
        <v>0</v>
      </c>
      <c r="I316" s="51">
        <v>0</v>
      </c>
      <c r="J316" s="51">
        <v>0</v>
      </c>
      <c r="K316" s="51">
        <v>0</v>
      </c>
      <c r="L316" s="51">
        <v>0</v>
      </c>
      <c r="M316" s="48">
        <v>0</v>
      </c>
      <c r="N316" s="48">
        <v>0</v>
      </c>
      <c r="O316" s="55">
        <v>0</v>
      </c>
      <c r="P316" s="53">
        <v>0</v>
      </c>
      <c r="Q316" s="51">
        <v>0</v>
      </c>
      <c r="R316" s="51">
        <v>0</v>
      </c>
      <c r="S316" s="6"/>
      <c r="T316" s="51">
        <v>0</v>
      </c>
      <c r="U316" s="51">
        <v>0</v>
      </c>
      <c r="V316" s="51">
        <v>0</v>
      </c>
    </row>
    <row r="317" ht="409.5" customHeight="1">
      <c r="A317" t="s" s="52">
        <v>332</v>
      </c>
      <c r="B317" s="42">
        <f>SUM(C317,G317)</f>
        <v>0</v>
      </c>
      <c r="C317" s="43">
        <f>SUM(H317,I317,J317,K317,L317,M317,N317,O317,P317,Q317,R317,S317,T317,U317,V317)</f>
        <v>0</v>
      </c>
      <c r="D317" s="44"/>
      <c r="E317" s="6"/>
      <c r="F317" s="6"/>
      <c r="G317" s="6"/>
      <c r="H317" s="27">
        <v>0</v>
      </c>
      <c r="I317" s="51">
        <v>0</v>
      </c>
      <c r="J317" s="47"/>
      <c r="K317" s="51">
        <v>0</v>
      </c>
      <c r="L317" s="51">
        <v>0</v>
      </c>
      <c r="M317" s="48">
        <v>0</v>
      </c>
      <c r="N317" s="48">
        <v>0</v>
      </c>
      <c r="O317" s="55">
        <v>0</v>
      </c>
      <c r="P317" s="53">
        <v>0</v>
      </c>
      <c r="Q317" s="51">
        <v>0</v>
      </c>
      <c r="R317" s="51">
        <v>0</v>
      </c>
      <c r="S317" s="6"/>
      <c r="T317" s="51">
        <v>0</v>
      </c>
      <c r="U317" s="51">
        <v>0</v>
      </c>
      <c r="V317" s="51">
        <v>0</v>
      </c>
    </row>
    <row r="318" ht="45.75" customHeight="1">
      <c r="A318" t="s" s="67">
        <v>333</v>
      </c>
      <c r="B318" s="42">
        <f>SUM(C318,G318)</f>
        <v>0</v>
      </c>
      <c r="C318" s="43">
        <f>SUM(H318,I318,J318,K318,L318,M318,N318,O318,P318,Q318,R318,S318,T318,U318,V318)</f>
        <v>0</v>
      </c>
      <c r="D318" s="44"/>
      <c r="E318" s="17"/>
      <c r="F318" s="17"/>
      <c r="G318" s="17"/>
      <c r="H318" s="46"/>
      <c r="I318" s="47"/>
      <c r="J318" s="47"/>
      <c r="K318" s="47"/>
      <c r="L318" s="51">
        <v>0</v>
      </c>
      <c r="M318" s="48">
        <v>0</v>
      </c>
      <c r="N318" s="49"/>
      <c r="O318" s="50"/>
      <c r="P318" s="17"/>
      <c r="Q318" s="51">
        <v>0</v>
      </c>
      <c r="R318" s="51">
        <v>0</v>
      </c>
      <c r="S318" s="17"/>
      <c r="T318" s="47"/>
      <c r="U318" s="47"/>
      <c r="V318" s="47"/>
    </row>
    <row r="319" ht="38.25" customHeight="1">
      <c r="A319" t="s" s="10">
        <v>334</v>
      </c>
      <c r="B319" s="34">
        <f>SUM(C319,G319)</f>
        <v>500</v>
      </c>
      <c r="C319" s="35">
        <f>SUM(H319,I319,J319,K319,L319,M319,N319,O319,P319,Q319,R319,S319,T319,U319,V319)</f>
        <v>500</v>
      </c>
      <c r="D319" s="36"/>
      <c r="E319" s="25"/>
      <c r="F319" s="25"/>
      <c r="G319" s="26"/>
      <c r="H319" s="27">
        <v>300</v>
      </c>
      <c r="I319" s="38">
        <v>0</v>
      </c>
      <c r="J319" s="38">
        <v>200</v>
      </c>
      <c r="K319" s="38">
        <v>0</v>
      </c>
      <c r="L319" s="38">
        <v>0</v>
      </c>
      <c r="M319" s="40">
        <v>0</v>
      </c>
      <c r="N319" s="40">
        <v>0</v>
      </c>
      <c r="O319" s="40">
        <v>0</v>
      </c>
      <c r="P319" s="41">
        <v>0</v>
      </c>
      <c r="Q319" s="38">
        <v>0</v>
      </c>
      <c r="R319" s="38">
        <v>0</v>
      </c>
      <c r="S319" s="33"/>
      <c r="T319" s="38">
        <v>0</v>
      </c>
      <c r="U319" s="38">
        <v>0</v>
      </c>
      <c r="V319" s="38">
        <v>0</v>
      </c>
    </row>
    <row r="320" ht="31.5" customHeight="1">
      <c r="A320" t="s" s="10">
        <v>335</v>
      </c>
      <c r="B320" s="34">
        <f>SUM(C320,G320)</f>
        <v>500</v>
      </c>
      <c r="C320" s="35">
        <f>SUM(H320,I320,J320,K320,L320,M320,N320,O320,P320,Q320,R320,S320,T320,U320,V320)</f>
        <v>500</v>
      </c>
      <c r="D320" s="36"/>
      <c r="E320" s="25"/>
      <c r="F320" s="25"/>
      <c r="G320" s="26"/>
      <c r="H320" s="27">
        <v>0</v>
      </c>
      <c r="I320" s="38">
        <v>0</v>
      </c>
      <c r="J320" s="38">
        <v>0</v>
      </c>
      <c r="K320" s="38">
        <v>0</v>
      </c>
      <c r="L320" s="38">
        <v>0</v>
      </c>
      <c r="M320" s="40">
        <v>0</v>
      </c>
      <c r="N320" s="40">
        <v>0</v>
      </c>
      <c r="O320" s="40">
        <v>0</v>
      </c>
      <c r="P320" s="41">
        <v>0</v>
      </c>
      <c r="Q320" s="38">
        <v>0</v>
      </c>
      <c r="R320" s="38">
        <v>0</v>
      </c>
      <c r="S320" s="102">
        <v>500</v>
      </c>
      <c r="T320" s="38">
        <v>0</v>
      </c>
      <c r="U320" s="38">
        <v>0</v>
      </c>
      <c r="V320" s="38">
        <v>0</v>
      </c>
    </row>
    <row r="321" ht="409.5" customHeight="1">
      <c r="A321" t="s" s="103">
        <v>336</v>
      </c>
      <c r="B321" s="34">
        <f>SUM(C321,G321)</f>
        <v>0</v>
      </c>
      <c r="C321" s="35">
        <f>SUM(H321,I321,J321,K321,L321,M321,N321,O321,P321,Q321,R321,S321,T321,U321,V321)</f>
        <v>0</v>
      </c>
      <c r="D321" s="36"/>
      <c r="E321" s="25"/>
      <c r="F321" s="25"/>
      <c r="G321" s="26"/>
      <c r="H321" s="27">
        <v>0</v>
      </c>
      <c r="I321" s="38">
        <v>0</v>
      </c>
      <c r="J321" s="38">
        <v>0</v>
      </c>
      <c r="K321" s="38">
        <v>0</v>
      </c>
      <c r="L321" s="38">
        <v>0</v>
      </c>
      <c r="M321" s="40">
        <v>0</v>
      </c>
      <c r="N321" s="40">
        <v>0</v>
      </c>
      <c r="O321" s="40">
        <v>0</v>
      </c>
      <c r="P321" s="41">
        <v>0</v>
      </c>
      <c r="Q321" s="38">
        <v>0</v>
      </c>
      <c r="R321" s="38">
        <v>0</v>
      </c>
      <c r="S321" s="33"/>
      <c r="T321" s="38">
        <v>0</v>
      </c>
      <c r="U321" s="38">
        <v>0</v>
      </c>
      <c r="V321" s="38">
        <v>0</v>
      </c>
    </row>
    <row r="322" ht="19.5" customHeight="1">
      <c r="A322" t="s" s="82">
        <v>337</v>
      </c>
      <c r="B322" s="42">
        <f>SUM(C322,G322)</f>
        <v>0</v>
      </c>
      <c r="C322" s="43">
        <f>SUM(H322,I322,J322,K322,L322,M322,N322,O322,P322,Q322,R322,S322,T322,U322,V322)</f>
        <v>0</v>
      </c>
      <c r="D322" s="44"/>
      <c r="E322" s="33"/>
      <c r="F322" s="33"/>
      <c r="G322" s="104"/>
      <c r="H322" s="105"/>
      <c r="I322" s="47"/>
      <c r="J322" s="47"/>
      <c r="K322" s="47"/>
      <c r="L322" s="47"/>
      <c r="M322" s="48">
        <v>0</v>
      </c>
      <c r="N322" s="49"/>
      <c r="O322" s="50"/>
      <c r="P322" s="33"/>
      <c r="Q322" s="51">
        <v>0</v>
      </c>
      <c r="R322" s="47"/>
      <c r="S322" s="33"/>
      <c r="T322" s="47"/>
      <c r="U322" s="47"/>
      <c r="V322" s="51">
        <v>0</v>
      </c>
    </row>
    <row r="323" ht="78" customHeight="1">
      <c r="A323" t="s" s="21">
        <v>338</v>
      </c>
      <c r="B323" s="22">
        <f>SUM(C323,G323)</f>
        <v>2490</v>
      </c>
      <c r="C323" s="23">
        <f>SUM(H323,I323,J323,K323,L323,M323,N323,O323,P323,Q323,R323,S323,T323,U323,V323)</f>
        <v>2490</v>
      </c>
      <c r="D323" s="36"/>
      <c r="E323" s="25"/>
      <c r="F323" s="25"/>
      <c r="G323" s="25"/>
      <c r="H323" s="37">
        <v>0</v>
      </c>
      <c r="I323" s="28">
        <v>100</v>
      </c>
      <c r="J323" s="28">
        <v>750</v>
      </c>
      <c r="K323" s="28">
        <v>200</v>
      </c>
      <c r="L323" s="28">
        <v>0</v>
      </c>
      <c r="M323" s="30">
        <v>0</v>
      </c>
      <c r="N323" s="30">
        <v>0</v>
      </c>
      <c r="O323" s="30">
        <v>0</v>
      </c>
      <c r="P323" s="41">
        <v>0</v>
      </c>
      <c r="Q323" s="28">
        <v>0</v>
      </c>
      <c r="R323" s="28">
        <v>1440</v>
      </c>
      <c r="S323" s="33"/>
      <c r="T323" s="28">
        <v>0</v>
      </c>
      <c r="U323" s="28">
        <v>0</v>
      </c>
      <c r="V323" s="28">
        <v>0</v>
      </c>
    </row>
    <row r="324" ht="19.5" customHeight="1">
      <c r="A324" t="s" s="21">
        <v>339</v>
      </c>
      <c r="B324" s="22">
        <f>SUM(C324,G324)</f>
        <v>5300</v>
      </c>
      <c r="C324" s="23">
        <f>SUM(H324,I324,J324,K324,L324,M324,N324,O324,P324,Q324,R324,S324,T324,U324,V324)</f>
        <v>5300</v>
      </c>
      <c r="D324" s="36"/>
      <c r="E324" s="25"/>
      <c r="F324" s="25"/>
      <c r="G324" s="25"/>
      <c r="H324" s="37">
        <v>200</v>
      </c>
      <c r="I324" s="28">
        <v>100</v>
      </c>
      <c r="J324" s="28">
        <v>5000</v>
      </c>
      <c r="K324" s="28">
        <v>0</v>
      </c>
      <c r="L324" s="28">
        <v>0</v>
      </c>
      <c r="M324" s="30">
        <v>0</v>
      </c>
      <c r="N324" s="30">
        <v>0</v>
      </c>
      <c r="O324" s="30">
        <v>0</v>
      </c>
      <c r="P324" s="41">
        <v>0</v>
      </c>
      <c r="Q324" s="28">
        <v>0</v>
      </c>
      <c r="R324" s="28">
        <v>0</v>
      </c>
      <c r="S324" s="33"/>
      <c r="T324" s="28">
        <v>0</v>
      </c>
      <c r="U324" s="28">
        <v>0</v>
      </c>
      <c r="V324" s="28">
        <v>0</v>
      </c>
    </row>
    <row r="325" ht="157.5" customHeight="1">
      <c r="A325" t="s" s="88">
        <v>340</v>
      </c>
      <c r="B325" s="42">
        <f>SUM(C325,G325)</f>
        <v>0</v>
      </c>
      <c r="C325" s="43">
        <f>SUM(H325,I325,J325,K325,L325,M325,N325,O325,P325,Q325,R325,S325,T325,U325,V325)</f>
        <v>0</v>
      </c>
      <c r="D325" s="44"/>
      <c r="E325" s="33"/>
      <c r="F325" s="33"/>
      <c r="G325" s="106"/>
      <c r="H325" s="107">
        <v>0</v>
      </c>
      <c r="I325" s="47"/>
      <c r="J325" s="47"/>
      <c r="K325" s="47"/>
      <c r="L325" s="47"/>
      <c r="M325" s="48">
        <v>0</v>
      </c>
      <c r="N325" s="49"/>
      <c r="O325" s="50"/>
      <c r="P325" s="33"/>
      <c r="Q325" s="51">
        <v>0</v>
      </c>
      <c r="R325" s="47"/>
      <c r="S325" s="33"/>
      <c r="T325" s="47"/>
      <c r="U325" s="47"/>
      <c r="V325" s="51">
        <v>0</v>
      </c>
    </row>
    <row r="326" ht="58.5" customHeight="1">
      <c r="A326" t="s" s="21">
        <v>341</v>
      </c>
      <c r="B326" s="22">
        <f>SUM(C326,G326)</f>
        <v>48000</v>
      </c>
      <c r="C326" s="23">
        <f>SUM(H326,I326,J326,K326,L326,M326,N326,O326,P326,Q326,R326,S326,T326,U326,V326)</f>
        <v>48000</v>
      </c>
      <c r="D326" s="36"/>
      <c r="E326" s="25"/>
      <c r="F326" s="25"/>
      <c r="G326" s="26"/>
      <c r="H326" s="27">
        <v>30000</v>
      </c>
      <c r="I326" s="28">
        <v>0</v>
      </c>
      <c r="J326" s="28">
        <v>10000</v>
      </c>
      <c r="K326" s="28">
        <v>5000</v>
      </c>
      <c r="L326" s="28">
        <v>1200</v>
      </c>
      <c r="M326" s="30">
        <v>0</v>
      </c>
      <c r="N326" s="30">
        <v>0</v>
      </c>
      <c r="O326" s="30">
        <v>0</v>
      </c>
      <c r="P326" s="41">
        <v>0</v>
      </c>
      <c r="Q326" s="28">
        <v>0</v>
      </c>
      <c r="R326" s="28">
        <v>1800</v>
      </c>
      <c r="S326" s="33"/>
      <c r="T326" s="28">
        <v>0</v>
      </c>
      <c r="U326" s="28">
        <v>0</v>
      </c>
      <c r="V326" s="28">
        <v>0</v>
      </c>
    </row>
    <row r="327" ht="117" customHeight="1">
      <c r="A327" t="s" s="21">
        <v>342</v>
      </c>
      <c r="B327" s="22">
        <f>SUM(C327,G327)</f>
        <v>44100</v>
      </c>
      <c r="C327" s="23">
        <f>SUM(H327,I327,J327,K327,L327,M327,N327,O327,P327,Q327,R327,S327,T327,U327,V327)</f>
        <v>44100</v>
      </c>
      <c r="D327" s="36"/>
      <c r="E327" s="25"/>
      <c r="F327" s="25"/>
      <c r="G327" s="26"/>
      <c r="H327" s="27">
        <v>25000</v>
      </c>
      <c r="I327" s="28">
        <v>0</v>
      </c>
      <c r="J327" s="28">
        <v>10000</v>
      </c>
      <c r="K327" s="28">
        <v>6000</v>
      </c>
      <c r="L327" s="28">
        <v>1000</v>
      </c>
      <c r="M327" s="30">
        <v>0</v>
      </c>
      <c r="N327" s="30">
        <v>0</v>
      </c>
      <c r="O327" s="30">
        <v>0</v>
      </c>
      <c r="P327" s="41">
        <v>0</v>
      </c>
      <c r="Q327" s="28">
        <v>0</v>
      </c>
      <c r="R327" s="28">
        <v>1800</v>
      </c>
      <c r="S327" s="75">
        <v>300</v>
      </c>
      <c r="T327" s="28">
        <v>0</v>
      </c>
      <c r="U327" s="28">
        <v>0</v>
      </c>
      <c r="V327" s="28">
        <v>0</v>
      </c>
    </row>
    <row r="328" ht="31.5" customHeight="1">
      <c r="A328" t="s" s="21">
        <v>343</v>
      </c>
      <c r="B328" s="22">
        <f>SUM(C328,G328)</f>
        <v>69884</v>
      </c>
      <c r="C328" s="23">
        <f>SUM(H328,I328,J328,K328,L328,M328,N328,O328,P328,Q328,R328,S328,T328,U328,V328)</f>
        <v>69884</v>
      </c>
      <c r="D328" s="36"/>
      <c r="E328" s="25"/>
      <c r="F328" s="25"/>
      <c r="G328" s="26"/>
      <c r="H328" s="27">
        <v>10000</v>
      </c>
      <c r="I328" s="28">
        <v>0</v>
      </c>
      <c r="J328" s="28">
        <v>25000</v>
      </c>
      <c r="K328" s="28">
        <v>4000</v>
      </c>
      <c r="L328" s="28">
        <v>2300</v>
      </c>
      <c r="M328" s="30">
        <v>0</v>
      </c>
      <c r="N328" s="30">
        <v>0</v>
      </c>
      <c r="O328" s="30">
        <v>0</v>
      </c>
      <c r="P328" s="41">
        <v>0</v>
      </c>
      <c r="Q328" s="28">
        <v>0</v>
      </c>
      <c r="R328" s="28">
        <v>28584</v>
      </c>
      <c r="S328" s="33"/>
      <c r="T328" s="28">
        <v>0</v>
      </c>
      <c r="U328" s="28">
        <v>0</v>
      </c>
      <c r="V328" s="28">
        <v>0</v>
      </c>
    </row>
    <row r="329" ht="31.5" customHeight="1">
      <c r="A329" t="s" s="10">
        <v>344</v>
      </c>
      <c r="B329" s="42">
        <f>SUM(C329,G329)</f>
        <v>0</v>
      </c>
      <c r="C329" s="43">
        <f>SUM(H329,I329,J329,K329,L329,M329,N329,O329,P329,Q329,R329,S329,T329,U329,V329)</f>
        <v>0</v>
      </c>
      <c r="D329" s="44"/>
      <c r="E329" s="45"/>
      <c r="F329" s="45"/>
      <c r="G329" s="45"/>
      <c r="H329" t="s" s="108">
        <v>345</v>
      </c>
      <c r="I329" s="47"/>
      <c r="J329" s="47"/>
      <c r="K329" s="47"/>
      <c r="L329" s="47"/>
      <c r="M329" s="48">
        <v>0</v>
      </c>
      <c r="N329" s="49"/>
      <c r="O329" s="55">
        <v>0</v>
      </c>
      <c r="P329" s="45"/>
      <c r="Q329" s="51">
        <v>0</v>
      </c>
      <c r="R329" s="47"/>
      <c r="S329" s="45"/>
      <c r="T329" s="47"/>
      <c r="U329" s="47"/>
      <c r="V329" s="51">
        <v>0</v>
      </c>
    </row>
    <row r="330" ht="19.5" customHeight="1">
      <c r="A330" t="s" s="67">
        <v>346</v>
      </c>
      <c r="B330" s="42">
        <f>SUM(C330,G330)</f>
        <v>0</v>
      </c>
      <c r="C330" s="43">
        <f>SUM(H330,I330,J330,K330,L330,M330,N330,O330,P330,Q330,R330,S330,T330,U330,V330)</f>
        <v>0</v>
      </c>
      <c r="D330" s="44"/>
      <c r="E330" s="6"/>
      <c r="F330" s="6"/>
      <c r="G330" s="6"/>
      <c r="H330" s="46"/>
      <c r="I330" s="47"/>
      <c r="J330" s="47"/>
      <c r="K330" s="47"/>
      <c r="L330" s="47"/>
      <c r="M330" s="48">
        <v>0</v>
      </c>
      <c r="N330" s="49"/>
      <c r="O330" s="55">
        <v>0</v>
      </c>
      <c r="P330" s="6"/>
      <c r="Q330" s="51">
        <v>0</v>
      </c>
      <c r="R330" s="47"/>
      <c r="S330" s="6"/>
      <c r="T330" s="47"/>
      <c r="U330" s="47"/>
      <c r="V330" s="51">
        <v>0</v>
      </c>
    </row>
    <row r="331" ht="97.5" customHeight="1">
      <c r="A331" t="s" s="52">
        <v>347</v>
      </c>
      <c r="B331" s="42">
        <f>SUM(C331,G331)</f>
        <v>26090</v>
      </c>
      <c r="C331" s="43">
        <f>SUM(H331,I331,J331,K331,L331,M331,N331,O331,P331,Q331,R331,S331,T331,U331,V331)</f>
        <v>26090</v>
      </c>
      <c r="D331" s="44"/>
      <c r="E331" s="17"/>
      <c r="F331" s="17"/>
      <c r="G331" s="17"/>
      <c r="H331" s="27">
        <v>0</v>
      </c>
      <c r="I331" s="51">
        <v>16000</v>
      </c>
      <c r="J331" s="51">
        <v>4000</v>
      </c>
      <c r="K331" s="51">
        <v>6000</v>
      </c>
      <c r="L331" s="51">
        <v>0</v>
      </c>
      <c r="M331" s="48">
        <v>30</v>
      </c>
      <c r="N331" s="48">
        <v>60</v>
      </c>
      <c r="O331" s="55">
        <v>0</v>
      </c>
      <c r="P331" s="56">
        <v>0</v>
      </c>
      <c r="Q331" s="51">
        <v>0</v>
      </c>
      <c r="R331" s="51">
        <v>0</v>
      </c>
      <c r="S331" s="17"/>
      <c r="T331" s="51">
        <v>0</v>
      </c>
      <c r="U331" s="51">
        <v>0</v>
      </c>
      <c r="V331" s="51">
        <v>0</v>
      </c>
    </row>
    <row r="332" ht="47.25" customHeight="1">
      <c r="A332" t="s" s="21">
        <v>348</v>
      </c>
      <c r="B332" s="22">
        <f>SUM(C332,G332)</f>
        <v>35185</v>
      </c>
      <c r="C332" s="23">
        <f>SUM(H332,I332,J332,K332,L332,M332,N332,O332,P332,Q332,R332,S332,T332,U332,V332)</f>
        <v>35185</v>
      </c>
      <c r="D332" s="36"/>
      <c r="E332" s="25"/>
      <c r="F332" s="25"/>
      <c r="G332" s="26"/>
      <c r="H332" s="27">
        <v>0</v>
      </c>
      <c r="I332" s="28">
        <v>15000</v>
      </c>
      <c r="J332" s="28">
        <v>10000</v>
      </c>
      <c r="K332" s="28">
        <v>10000</v>
      </c>
      <c r="L332" s="28">
        <v>15</v>
      </c>
      <c r="M332" s="30">
        <v>20</v>
      </c>
      <c r="N332" s="30">
        <v>150</v>
      </c>
      <c r="O332" s="30">
        <v>0</v>
      </c>
      <c r="P332" s="41">
        <v>0</v>
      </c>
      <c r="Q332" s="28">
        <v>0</v>
      </c>
      <c r="R332" s="28">
        <v>0</v>
      </c>
      <c r="S332" s="33"/>
      <c r="T332" s="28">
        <v>0</v>
      </c>
      <c r="U332" s="28">
        <v>0</v>
      </c>
      <c r="V332" s="28">
        <v>0</v>
      </c>
    </row>
    <row r="333" ht="409.5" customHeight="1">
      <c r="A333" t="s" s="52">
        <v>349</v>
      </c>
      <c r="B333" s="42">
        <f>SUM(C333,G333)</f>
        <v>27000</v>
      </c>
      <c r="C333" s="43">
        <f>SUM(H333,I333,J333,K333,L333,M333,N333,O333,P333,Q333,R333,S333,T333,U333,V333)</f>
        <v>27000</v>
      </c>
      <c r="D333" s="44"/>
      <c r="E333" s="45"/>
      <c r="F333" s="45"/>
      <c r="G333" s="45"/>
      <c r="H333" s="27">
        <v>0</v>
      </c>
      <c r="I333" s="51">
        <v>4000</v>
      </c>
      <c r="J333" s="51">
        <v>15000</v>
      </c>
      <c r="K333" s="51">
        <v>8000</v>
      </c>
      <c r="L333" s="51">
        <v>0</v>
      </c>
      <c r="M333" s="48">
        <v>0</v>
      </c>
      <c r="N333" s="48">
        <v>0</v>
      </c>
      <c r="O333" s="55">
        <v>0</v>
      </c>
      <c r="P333" s="58">
        <v>0</v>
      </c>
      <c r="Q333" s="51">
        <v>0</v>
      </c>
      <c r="R333" s="51">
        <v>0</v>
      </c>
      <c r="S333" s="45"/>
      <c r="T333" s="51">
        <v>0</v>
      </c>
      <c r="U333" s="51">
        <v>0</v>
      </c>
      <c r="V333" s="51">
        <v>0</v>
      </c>
    </row>
    <row r="334" ht="19.5" customHeight="1">
      <c r="A334" t="s" s="67">
        <v>350</v>
      </c>
      <c r="B334" s="42">
        <f>SUM(C334,G334)</f>
        <v>0</v>
      </c>
      <c r="C334" s="43">
        <f>SUM(H334,I334,J334,K334,L334,M334,N334,O334,P334,Q334,R334,S334,T334,U334,V334)</f>
        <v>0</v>
      </c>
      <c r="D334" s="44"/>
      <c r="E334" s="6"/>
      <c r="F334" s="6"/>
      <c r="G334" s="6"/>
      <c r="H334" s="46"/>
      <c r="I334" s="47"/>
      <c r="J334" s="47"/>
      <c r="K334" s="47"/>
      <c r="L334" s="47"/>
      <c r="M334" s="48">
        <v>0</v>
      </c>
      <c r="N334" s="49"/>
      <c r="O334" s="50"/>
      <c r="P334" s="6"/>
      <c r="Q334" s="51">
        <v>0</v>
      </c>
      <c r="R334" s="47"/>
      <c r="S334" s="6"/>
      <c r="T334" s="47"/>
      <c r="U334" s="47"/>
      <c r="V334" s="51">
        <v>0</v>
      </c>
    </row>
    <row r="335" ht="31.5" customHeight="1">
      <c r="A335" t="s" s="52">
        <v>351</v>
      </c>
      <c r="B335" s="42">
        <f>SUM(C335,G335)</f>
        <v>0</v>
      </c>
      <c r="C335" s="43">
        <f>SUM(H335,I335,J335,K335,L335,M335,N335,O335,P335,Q335,R335,S335,T335,U335,V335)</f>
        <v>0</v>
      </c>
      <c r="D335" s="44"/>
      <c r="E335" s="6"/>
      <c r="F335" s="6"/>
      <c r="G335" s="6"/>
      <c r="H335" s="27">
        <v>0</v>
      </c>
      <c r="I335" s="51">
        <v>0</v>
      </c>
      <c r="J335" s="51">
        <v>0</v>
      </c>
      <c r="K335" s="51">
        <v>0</v>
      </c>
      <c r="L335" s="51">
        <v>0</v>
      </c>
      <c r="M335" s="48">
        <v>0</v>
      </c>
      <c r="N335" s="48">
        <v>0</v>
      </c>
      <c r="O335" s="55">
        <v>0</v>
      </c>
      <c r="P335" s="53">
        <v>0</v>
      </c>
      <c r="Q335" s="51">
        <v>0</v>
      </c>
      <c r="R335" s="51">
        <v>0</v>
      </c>
      <c r="S335" s="6"/>
      <c r="T335" s="51">
        <v>0</v>
      </c>
      <c r="U335" s="51">
        <v>0</v>
      </c>
      <c r="V335" s="51">
        <v>0</v>
      </c>
    </row>
    <row r="336" ht="31.5" customHeight="1">
      <c r="A336" t="s" s="67">
        <v>352</v>
      </c>
      <c r="B336" s="42">
        <f>SUM(C336,G336)</f>
        <v>0</v>
      </c>
      <c r="C336" s="43">
        <f>SUM(H336,I336,J336,K336,L336,M336,N336,O336,P336,Q336,R336,S336,T336,U336,V336)</f>
        <v>0</v>
      </c>
      <c r="D336" s="44"/>
      <c r="E336" s="6"/>
      <c r="F336" s="6"/>
      <c r="G336" s="6"/>
      <c r="H336" s="46"/>
      <c r="I336" s="47"/>
      <c r="J336" s="47"/>
      <c r="K336" s="47"/>
      <c r="L336" s="47"/>
      <c r="M336" s="48">
        <v>0</v>
      </c>
      <c r="N336" s="49"/>
      <c r="O336" s="50"/>
      <c r="P336" s="6"/>
      <c r="Q336" s="51">
        <v>0</v>
      </c>
      <c r="R336" s="47"/>
      <c r="S336" s="6"/>
      <c r="T336" s="47"/>
      <c r="U336" s="47"/>
      <c r="V336" s="51">
        <v>0</v>
      </c>
    </row>
    <row r="337" ht="31.5" customHeight="1">
      <c r="A337" t="s" s="52">
        <v>353</v>
      </c>
      <c r="B337" s="42">
        <f>SUM(C337,G337)</f>
        <v>26493</v>
      </c>
      <c r="C337" s="43">
        <f>SUM(H337,I337,J337,K337,L337,M337,N337,O337,P337,Q337,R337,S337,T337,U337,V337)</f>
        <v>26493</v>
      </c>
      <c r="D337" s="44"/>
      <c r="E337" s="6"/>
      <c r="F337" s="6"/>
      <c r="G337" s="6"/>
      <c r="H337" s="27">
        <v>1000</v>
      </c>
      <c r="I337" s="51">
        <v>600</v>
      </c>
      <c r="J337" s="51">
        <v>2000</v>
      </c>
      <c r="K337" s="51">
        <v>800</v>
      </c>
      <c r="L337" s="51">
        <v>500</v>
      </c>
      <c r="M337" s="48">
        <v>6300</v>
      </c>
      <c r="N337" s="48">
        <v>4190</v>
      </c>
      <c r="O337" s="55">
        <v>3000</v>
      </c>
      <c r="P337" s="53">
        <v>4600</v>
      </c>
      <c r="Q337" s="51">
        <v>3190</v>
      </c>
      <c r="R337" s="51">
        <v>0</v>
      </c>
      <c r="S337" s="6"/>
      <c r="T337" s="51">
        <v>313</v>
      </c>
      <c r="U337" s="51">
        <v>0</v>
      </c>
      <c r="V337" s="51">
        <v>0</v>
      </c>
    </row>
    <row r="338" ht="31.5" customHeight="1">
      <c r="A338" t="s" s="52">
        <v>354</v>
      </c>
      <c r="B338" s="42">
        <f>SUM(C338,G338)</f>
        <v>13000</v>
      </c>
      <c r="C338" s="43">
        <f>SUM(H338,I338,J338,K338,L338,M338,N338,O338,P338,Q338,R338,S338,T338,U338,V338)</f>
        <v>13000</v>
      </c>
      <c r="D338" s="44"/>
      <c r="E338" s="6"/>
      <c r="F338" s="6"/>
      <c r="G338" s="6"/>
      <c r="H338" s="27">
        <v>0</v>
      </c>
      <c r="I338" s="51">
        <v>6000</v>
      </c>
      <c r="J338" s="51">
        <v>6000</v>
      </c>
      <c r="K338" s="51">
        <v>1000</v>
      </c>
      <c r="L338" s="47"/>
      <c r="M338" s="48">
        <v>0</v>
      </c>
      <c r="N338" s="48">
        <v>0</v>
      </c>
      <c r="O338" s="55">
        <v>0</v>
      </c>
      <c r="P338" s="53">
        <v>0</v>
      </c>
      <c r="Q338" s="51">
        <v>0</v>
      </c>
      <c r="R338" s="51">
        <v>0</v>
      </c>
      <c r="S338" s="6"/>
      <c r="T338" s="51">
        <v>0</v>
      </c>
      <c r="U338" s="51">
        <v>0</v>
      </c>
      <c r="V338" s="51">
        <v>0</v>
      </c>
    </row>
    <row r="339" ht="31.5" customHeight="1">
      <c r="A339" t="s" s="52">
        <v>355</v>
      </c>
      <c r="B339" s="42">
        <f>SUM(C339,G339)</f>
        <v>29520</v>
      </c>
      <c r="C339" s="43">
        <f>SUM(H339,I339,J339,K339,L339,M339,N339,O339,P339,Q339,R339,S339,T339,U339,V339)</f>
        <v>29520</v>
      </c>
      <c r="D339" s="44"/>
      <c r="E339" s="6"/>
      <c r="F339" s="6"/>
      <c r="G339" s="6"/>
      <c r="H339" s="27">
        <v>0</v>
      </c>
      <c r="I339" s="51">
        <v>1500</v>
      </c>
      <c r="J339" s="51">
        <v>3000</v>
      </c>
      <c r="K339" s="51">
        <v>200</v>
      </c>
      <c r="L339" s="51">
        <v>2000</v>
      </c>
      <c r="M339" s="48">
        <v>5000</v>
      </c>
      <c r="N339" s="48">
        <v>5760</v>
      </c>
      <c r="O339" s="55">
        <v>4350</v>
      </c>
      <c r="P339" s="53">
        <v>3050</v>
      </c>
      <c r="Q339" s="51">
        <v>4560</v>
      </c>
      <c r="R339" s="51">
        <v>0</v>
      </c>
      <c r="S339" s="6"/>
      <c r="T339" s="51">
        <v>100</v>
      </c>
      <c r="U339" s="51">
        <v>0</v>
      </c>
      <c r="V339" s="51">
        <v>0</v>
      </c>
    </row>
    <row r="340" ht="19.5" customHeight="1">
      <c r="A340" t="s" s="109">
        <v>356</v>
      </c>
      <c r="B340" s="42">
        <f>SUM(C340,G340)</f>
        <v>0</v>
      </c>
      <c r="C340" s="43">
        <f>SUM(H340,I340,J340,K340,L340,M340,N340,O340,P340,Q340,R340,S340,T340,U340,V340)</f>
        <v>0</v>
      </c>
      <c r="D340" s="44"/>
      <c r="E340" s="6"/>
      <c r="F340" s="6"/>
      <c r="G340" s="6"/>
      <c r="H340" s="46"/>
      <c r="I340" s="47"/>
      <c r="J340" s="47"/>
      <c r="K340" s="47"/>
      <c r="L340" s="47"/>
      <c r="M340" s="48">
        <v>0</v>
      </c>
      <c r="N340" s="49"/>
      <c r="O340" s="50"/>
      <c r="P340" s="6"/>
      <c r="Q340" s="51">
        <v>0</v>
      </c>
      <c r="R340" s="47"/>
      <c r="S340" s="6"/>
      <c r="T340" s="47"/>
      <c r="U340" s="47"/>
      <c r="V340" s="51">
        <v>0</v>
      </c>
    </row>
    <row r="341" ht="19.5" customHeight="1">
      <c r="A341" t="s" s="67">
        <v>357</v>
      </c>
      <c r="B341" s="42">
        <f>SUM(C341,G341)</f>
        <v>0</v>
      </c>
      <c r="C341" s="43">
        <f>SUM(H341,I341,J341,K341,L341,M341,N341,O341,P341,Q341,R341,S341,T341,U341,V341)</f>
        <v>0</v>
      </c>
      <c r="D341" s="44"/>
      <c r="E341" s="17"/>
      <c r="F341" s="17"/>
      <c r="G341" s="17"/>
      <c r="H341" s="46"/>
      <c r="I341" s="47"/>
      <c r="J341" s="47"/>
      <c r="K341" s="47"/>
      <c r="L341" s="47"/>
      <c r="M341" s="48">
        <v>0</v>
      </c>
      <c r="N341" s="49"/>
      <c r="O341" s="50"/>
      <c r="P341" s="17"/>
      <c r="Q341" s="51">
        <v>0</v>
      </c>
      <c r="R341" s="47"/>
      <c r="S341" s="17"/>
      <c r="T341" s="47"/>
      <c r="U341" s="47"/>
      <c r="V341" s="51">
        <v>0</v>
      </c>
    </row>
    <row r="342" ht="31.5" customHeight="1">
      <c r="A342" t="s" s="10">
        <v>358</v>
      </c>
      <c r="B342" s="34">
        <f>SUM(C342,G342)</f>
        <v>170740</v>
      </c>
      <c r="C342" s="35">
        <f>SUM(H342,I342,J342,K342,L342,M342,N342,O342,P342,Q342,R342,S342,T342,U342,V342)</f>
        <v>170740</v>
      </c>
      <c r="D342" s="36"/>
      <c r="E342" s="25"/>
      <c r="F342" s="25"/>
      <c r="G342" s="26"/>
      <c r="H342" s="27">
        <v>0</v>
      </c>
      <c r="I342" s="38">
        <v>6000</v>
      </c>
      <c r="J342" s="38">
        <v>8400</v>
      </c>
      <c r="K342" s="38">
        <v>3780</v>
      </c>
      <c r="L342" s="38">
        <v>15000</v>
      </c>
      <c r="M342" s="40">
        <v>42000</v>
      </c>
      <c r="N342" s="40">
        <v>30460</v>
      </c>
      <c r="O342" s="40">
        <v>42000</v>
      </c>
      <c r="P342" s="41">
        <v>10500</v>
      </c>
      <c r="Q342" s="38">
        <v>12600</v>
      </c>
      <c r="R342" s="38">
        <v>0</v>
      </c>
      <c r="S342" s="33"/>
      <c r="T342" s="38">
        <v>0</v>
      </c>
      <c r="U342" s="38">
        <v>0</v>
      </c>
      <c r="V342" s="38">
        <v>0</v>
      </c>
    </row>
    <row r="343" ht="31.5" customHeight="1">
      <c r="A343" t="s" s="67">
        <v>359</v>
      </c>
      <c r="B343" s="42">
        <f>SUM(C343,G343)</f>
        <v>0</v>
      </c>
      <c r="C343" s="43">
        <f>SUM(H343,I343,J343,K343,L343,M343,N343,O343,P343,Q343,R343,S343,T343,U343,V343)</f>
        <v>0</v>
      </c>
      <c r="D343" s="44"/>
      <c r="E343" s="33"/>
      <c r="F343" s="33"/>
      <c r="G343" s="33"/>
      <c r="H343" s="46"/>
      <c r="I343" s="47"/>
      <c r="J343" s="47"/>
      <c r="K343" s="47"/>
      <c r="L343" s="47"/>
      <c r="M343" s="48">
        <v>0</v>
      </c>
      <c r="N343" s="49"/>
      <c r="O343" s="50"/>
      <c r="P343" s="33"/>
      <c r="Q343" s="51">
        <v>0</v>
      </c>
      <c r="R343" s="47"/>
      <c r="S343" s="33"/>
      <c r="T343" s="47"/>
      <c r="U343" s="47"/>
      <c r="V343" s="51">
        <v>0</v>
      </c>
    </row>
    <row r="344" ht="29.25" customHeight="1">
      <c r="A344" t="s" s="10">
        <v>360</v>
      </c>
      <c r="B344" s="34">
        <f>SUM(C344,G344)</f>
        <v>119150</v>
      </c>
      <c r="C344" s="35">
        <f>SUM(H344,I344,J344,K344,L344,M344,N344,O344,P344,Q344,R344,S344,T344,U344,V344)</f>
        <v>119150</v>
      </c>
      <c r="D344" s="36"/>
      <c r="E344" s="25"/>
      <c r="F344" s="25"/>
      <c r="G344" s="26"/>
      <c r="H344" s="27">
        <v>0</v>
      </c>
      <c r="I344" s="38">
        <v>10000</v>
      </c>
      <c r="J344" s="38">
        <v>6300</v>
      </c>
      <c r="K344" s="38">
        <v>5000</v>
      </c>
      <c r="L344" s="38">
        <v>10000</v>
      </c>
      <c r="M344" s="40">
        <v>21000</v>
      </c>
      <c r="N344" s="40">
        <v>19250</v>
      </c>
      <c r="O344" s="40">
        <v>21000</v>
      </c>
      <c r="P344" s="41">
        <v>14000</v>
      </c>
      <c r="Q344" s="38">
        <v>12600</v>
      </c>
      <c r="R344" s="38">
        <v>0</v>
      </c>
      <c r="S344" s="33"/>
      <c r="T344" s="38">
        <v>0</v>
      </c>
      <c r="U344" s="38">
        <v>0</v>
      </c>
      <c r="V344" s="38">
        <v>0</v>
      </c>
    </row>
    <row r="345" ht="31.5" customHeight="1">
      <c r="A345" t="s" s="67">
        <v>361</v>
      </c>
      <c r="B345" s="42">
        <f>SUM(C345,G345)</f>
        <v>0</v>
      </c>
      <c r="C345" s="43">
        <f>SUM(H345,I345,J345,K345,L345,M345,N345,O345,P345,Q345,R345,S345,T345,U345,V345)</f>
        <v>0</v>
      </c>
      <c r="D345" s="44"/>
      <c r="E345" s="33"/>
      <c r="F345" s="33"/>
      <c r="G345" s="33"/>
      <c r="H345" s="46"/>
      <c r="I345" s="47"/>
      <c r="J345" s="47"/>
      <c r="K345" s="47"/>
      <c r="L345" s="47"/>
      <c r="M345" s="48">
        <v>0</v>
      </c>
      <c r="N345" s="49"/>
      <c r="O345" s="50"/>
      <c r="P345" s="33"/>
      <c r="Q345" s="51">
        <v>0</v>
      </c>
      <c r="R345" s="47"/>
      <c r="S345" s="33"/>
      <c r="T345" s="47"/>
      <c r="U345" s="47"/>
      <c r="V345" s="51">
        <v>0</v>
      </c>
    </row>
    <row r="346" ht="97.5" customHeight="1">
      <c r="A346" t="s" s="21">
        <v>362</v>
      </c>
      <c r="B346" s="22">
        <f>SUM(C346,G346)</f>
        <v>45200</v>
      </c>
      <c r="C346" s="23">
        <f>SUM(H346,I346,J346,K346,L346,M346,N346,O346,P346,Q346,R346,S346,T346,U346,V346)</f>
        <v>45200</v>
      </c>
      <c r="D346" s="36"/>
      <c r="E346" s="25"/>
      <c r="F346" s="25"/>
      <c r="G346" s="26"/>
      <c r="H346" s="27">
        <v>40000</v>
      </c>
      <c r="I346" s="28">
        <v>0</v>
      </c>
      <c r="J346" s="28">
        <v>4000</v>
      </c>
      <c r="K346" s="28">
        <v>1200</v>
      </c>
      <c r="L346" s="28">
        <v>0</v>
      </c>
      <c r="M346" s="30">
        <v>0</v>
      </c>
      <c r="N346" s="30">
        <v>0</v>
      </c>
      <c r="O346" s="30">
        <v>0</v>
      </c>
      <c r="P346" s="41">
        <v>0</v>
      </c>
      <c r="Q346" s="28">
        <v>0</v>
      </c>
      <c r="R346" s="28">
        <v>0</v>
      </c>
      <c r="S346" s="33"/>
      <c r="T346" s="28">
        <v>0</v>
      </c>
      <c r="U346" s="28">
        <v>0</v>
      </c>
      <c r="V346" s="28">
        <v>0</v>
      </c>
    </row>
    <row r="347" ht="31.5" customHeight="1">
      <c r="A347" t="s" s="10">
        <v>363</v>
      </c>
      <c r="B347" s="42">
        <f>SUM(C347,G347)</f>
        <v>0</v>
      </c>
      <c r="C347" s="43">
        <f>SUM(H347,I347,J347,K347,L347,M347,N347,O347,P347,Q347,R347,S347,T347,U347,V347)</f>
        <v>0</v>
      </c>
      <c r="D347" s="44"/>
      <c r="E347" s="45"/>
      <c r="F347" s="45"/>
      <c r="G347" s="45"/>
      <c r="H347" s="46"/>
      <c r="I347" s="47"/>
      <c r="J347" s="47"/>
      <c r="K347" s="47"/>
      <c r="L347" s="47"/>
      <c r="M347" s="48">
        <v>0</v>
      </c>
      <c r="N347" s="49"/>
      <c r="O347" s="50"/>
      <c r="P347" s="45"/>
      <c r="Q347" s="51">
        <v>0</v>
      </c>
      <c r="R347" s="47"/>
      <c r="S347" s="45"/>
      <c r="T347" s="47"/>
      <c r="U347" s="47"/>
      <c r="V347" s="51">
        <v>0</v>
      </c>
    </row>
    <row r="348" ht="31.5" customHeight="1">
      <c r="A348" t="s" s="67">
        <v>364</v>
      </c>
      <c r="B348" s="42">
        <f>SUM(C348,G348)</f>
        <v>0</v>
      </c>
      <c r="C348" s="43">
        <f>SUM(H348,I348,J348,K348,L348,M348,N348,O348,P348,Q348,R348,S348,T348,U348,V348)</f>
        <v>0</v>
      </c>
      <c r="D348" s="44"/>
      <c r="E348" s="6"/>
      <c r="F348" s="6"/>
      <c r="G348" s="6"/>
      <c r="H348" s="46"/>
      <c r="I348" s="47"/>
      <c r="J348" s="47"/>
      <c r="K348" s="47"/>
      <c r="L348" s="47"/>
      <c r="M348" s="48">
        <v>0</v>
      </c>
      <c r="N348" s="49"/>
      <c r="O348" s="50"/>
      <c r="P348" s="6"/>
      <c r="Q348" s="51">
        <v>0</v>
      </c>
      <c r="R348" s="47"/>
      <c r="S348" s="6"/>
      <c r="T348" s="47"/>
      <c r="U348" s="47"/>
      <c r="V348" s="51">
        <v>0</v>
      </c>
    </row>
    <row r="349" ht="31.5" customHeight="1">
      <c r="A349" t="s" s="67">
        <v>365</v>
      </c>
      <c r="B349" s="42">
        <f>SUM(C349,G349)</f>
        <v>0</v>
      </c>
      <c r="C349" s="43">
        <f>SUM(H349,I349,J349,K349,L349,M349,N349,O349,P349,Q349,R349,S349,T349,U349,V349)</f>
        <v>0</v>
      </c>
      <c r="D349" s="44"/>
      <c r="E349" s="17"/>
      <c r="F349" s="17"/>
      <c r="G349" s="17"/>
      <c r="H349" s="46"/>
      <c r="I349" s="47"/>
      <c r="J349" s="47"/>
      <c r="K349" s="47"/>
      <c r="L349" s="47"/>
      <c r="M349" s="48">
        <v>0</v>
      </c>
      <c r="N349" s="49"/>
      <c r="O349" s="50"/>
      <c r="P349" s="17"/>
      <c r="Q349" s="51">
        <v>0</v>
      </c>
      <c r="R349" s="47"/>
      <c r="S349" s="17"/>
      <c r="T349" s="47"/>
      <c r="U349" s="47"/>
      <c r="V349" s="51">
        <v>0</v>
      </c>
    </row>
    <row r="350" ht="31.5" customHeight="1">
      <c r="A350" t="s" s="21">
        <v>366</v>
      </c>
      <c r="B350" s="22">
        <f>SUM(C350,G350)</f>
        <v>8950</v>
      </c>
      <c r="C350" s="23">
        <f>SUM(H350,I350,J350,K350,L350,M350,N350,O350,P350,Q350,R350,S350,T350,U350,V350)</f>
        <v>8950</v>
      </c>
      <c r="D350" s="36"/>
      <c r="E350" s="25"/>
      <c r="F350" s="25"/>
      <c r="G350" s="26"/>
      <c r="H350" s="27">
        <v>100</v>
      </c>
      <c r="I350" s="28">
        <v>3500</v>
      </c>
      <c r="J350" s="28">
        <v>2500</v>
      </c>
      <c r="K350" s="28">
        <v>1200</v>
      </c>
      <c r="L350" s="28">
        <v>1600</v>
      </c>
      <c r="M350" s="30">
        <v>0</v>
      </c>
      <c r="N350" s="30">
        <v>0</v>
      </c>
      <c r="O350" s="30">
        <v>0</v>
      </c>
      <c r="P350" s="41">
        <v>0</v>
      </c>
      <c r="Q350" s="28">
        <v>0</v>
      </c>
      <c r="R350" s="28">
        <v>50</v>
      </c>
      <c r="S350" s="33"/>
      <c r="T350" s="28">
        <v>0</v>
      </c>
      <c r="U350" s="28">
        <v>0</v>
      </c>
      <c r="V350" s="28">
        <v>0</v>
      </c>
    </row>
    <row r="351" ht="26.25" customHeight="1">
      <c r="A351" t="s" s="10">
        <v>367</v>
      </c>
      <c r="B351" s="34">
        <f>SUM(C351,G351)</f>
        <v>170850</v>
      </c>
      <c r="C351" s="35">
        <f>SUM(H351,I351,J351,K351,L351,M351,N351,O351,P351,Q351,R351,S351,T351,U351,V351)</f>
        <v>170850</v>
      </c>
      <c r="D351" s="36"/>
      <c r="E351" s="25"/>
      <c r="F351" s="25"/>
      <c r="G351" s="26"/>
      <c r="H351" s="27">
        <v>1000</v>
      </c>
      <c r="I351" s="38">
        <v>25000</v>
      </c>
      <c r="J351" s="38">
        <v>20000</v>
      </c>
      <c r="K351" s="38">
        <v>10000</v>
      </c>
      <c r="L351" s="38">
        <v>2000</v>
      </c>
      <c r="M351" s="40">
        <v>28500</v>
      </c>
      <c r="N351" s="40">
        <v>39700</v>
      </c>
      <c r="O351" s="40">
        <v>17600</v>
      </c>
      <c r="P351" s="41">
        <v>14600</v>
      </c>
      <c r="Q351" s="38">
        <v>7950</v>
      </c>
      <c r="R351" s="38">
        <v>500</v>
      </c>
      <c r="S351" s="102">
        <v>4000</v>
      </c>
      <c r="T351" s="38">
        <v>0</v>
      </c>
      <c r="U351" s="38">
        <v>0</v>
      </c>
      <c r="V351" s="38">
        <v>0</v>
      </c>
    </row>
    <row r="352" ht="47.25" customHeight="1">
      <c r="A352" t="s" s="21">
        <v>368</v>
      </c>
      <c r="B352" s="22">
        <f>SUM(C352,G352)</f>
        <v>5416</v>
      </c>
      <c r="C352" s="23">
        <f>SUM(H352,I352,J352,K352,L352,M352,N352,O352,P352,Q352,R352,S352,T352,U352,V352)</f>
        <v>5416</v>
      </c>
      <c r="D352" s="36"/>
      <c r="E352" s="25"/>
      <c r="F352" s="25"/>
      <c r="G352" s="26"/>
      <c r="H352" s="27">
        <v>100</v>
      </c>
      <c r="I352" s="28">
        <v>300</v>
      </c>
      <c r="J352" s="28">
        <v>300</v>
      </c>
      <c r="K352" s="28">
        <v>500</v>
      </c>
      <c r="L352" s="28">
        <v>350</v>
      </c>
      <c r="M352" s="30">
        <v>1600</v>
      </c>
      <c r="N352" s="30">
        <v>1716</v>
      </c>
      <c r="O352" s="30">
        <v>550</v>
      </c>
      <c r="P352" s="41">
        <v>0</v>
      </c>
      <c r="Q352" s="28">
        <v>0</v>
      </c>
      <c r="R352" s="28">
        <v>0</v>
      </c>
      <c r="S352" s="33"/>
      <c r="T352" s="28">
        <v>0</v>
      </c>
      <c r="U352" s="28">
        <v>0</v>
      </c>
      <c r="V352" s="28">
        <v>0</v>
      </c>
    </row>
    <row r="353" ht="78.75" customHeight="1">
      <c r="A353" t="s" s="21">
        <v>369</v>
      </c>
      <c r="B353" s="22">
        <f>SUM(C353,G353)</f>
        <v>12400</v>
      </c>
      <c r="C353" s="23">
        <f>SUM(H353,I353,J353,K353,L353,M353,N353,O353,P353,Q353,R353,S353,T353,U353,V353)</f>
        <v>12400</v>
      </c>
      <c r="D353" s="36"/>
      <c r="E353" s="25"/>
      <c r="F353" s="25"/>
      <c r="G353" s="26"/>
      <c r="H353" s="27">
        <v>12000</v>
      </c>
      <c r="I353" s="28">
        <v>0</v>
      </c>
      <c r="J353" s="28">
        <v>300</v>
      </c>
      <c r="K353" s="28">
        <v>100</v>
      </c>
      <c r="L353" s="28">
        <v>0</v>
      </c>
      <c r="M353" s="30">
        <v>0</v>
      </c>
      <c r="N353" s="30">
        <v>0</v>
      </c>
      <c r="O353" s="30">
        <v>0</v>
      </c>
      <c r="P353" s="41">
        <v>0</v>
      </c>
      <c r="Q353" s="28">
        <v>0</v>
      </c>
      <c r="R353" s="28">
        <v>0</v>
      </c>
      <c r="S353" s="33"/>
      <c r="T353" s="28">
        <v>0</v>
      </c>
      <c r="U353" s="28">
        <v>0</v>
      </c>
      <c r="V353" s="28">
        <v>0</v>
      </c>
    </row>
    <row r="354" ht="78.75" customHeight="1">
      <c r="A354" t="s" s="88">
        <v>370</v>
      </c>
      <c r="B354" s="42">
        <f>SUM(C354,G354)</f>
        <v>0</v>
      </c>
      <c r="C354" s="43">
        <f>SUM(H354,I354,J354,K354,L354,M354,N354,O354,P354,Q354,R354,S354,T354,U354,V354)</f>
        <v>0</v>
      </c>
      <c r="D354" s="44"/>
      <c r="E354" s="33"/>
      <c r="F354" s="33"/>
      <c r="G354" s="33"/>
      <c r="H354" s="46"/>
      <c r="I354" s="47"/>
      <c r="J354" s="47"/>
      <c r="K354" s="47"/>
      <c r="L354" s="47"/>
      <c r="M354" s="48">
        <v>0</v>
      </c>
      <c r="N354" s="49"/>
      <c r="O354" s="50"/>
      <c r="P354" s="33"/>
      <c r="Q354" s="51">
        <v>0</v>
      </c>
      <c r="R354" s="47"/>
      <c r="S354" s="33"/>
      <c r="T354" s="47"/>
      <c r="U354" s="47"/>
      <c r="V354" s="51">
        <v>0</v>
      </c>
    </row>
    <row r="355" ht="19.5" customHeight="1">
      <c r="A355" t="s" s="21">
        <v>371</v>
      </c>
      <c r="B355" s="22">
        <f>SUM(C355,G355)</f>
        <v>639400</v>
      </c>
      <c r="C355" s="23">
        <f>SUM(H355,I355,J355,K355,L355,M355,N355,O355,P355,Q355,R355,S355,T355,U355,V355)</f>
        <v>639400</v>
      </c>
      <c r="D355" s="36"/>
      <c r="E355" s="25"/>
      <c r="F355" s="25"/>
      <c r="G355" s="26"/>
      <c r="H355" s="27">
        <v>5000</v>
      </c>
      <c r="I355" s="28">
        <v>112000</v>
      </c>
      <c r="J355" s="28">
        <v>25000</v>
      </c>
      <c r="K355" s="28">
        <v>45000</v>
      </c>
      <c r="L355" s="28">
        <v>40000</v>
      </c>
      <c r="M355" s="30">
        <v>270000</v>
      </c>
      <c r="N355" s="30">
        <v>60800</v>
      </c>
      <c r="O355" s="30">
        <v>41600</v>
      </c>
      <c r="P355" s="41">
        <v>11000</v>
      </c>
      <c r="Q355" s="28">
        <v>25000</v>
      </c>
      <c r="R355" s="28">
        <v>0</v>
      </c>
      <c r="S355" s="75">
        <v>4000</v>
      </c>
      <c r="T355" s="28">
        <v>0</v>
      </c>
      <c r="U355" s="28">
        <v>0</v>
      </c>
      <c r="V355" s="28">
        <v>0</v>
      </c>
    </row>
    <row r="356" ht="110.25" customHeight="1">
      <c r="A356" t="s" s="52">
        <v>372</v>
      </c>
      <c r="B356" s="42">
        <f>SUM(C356,G356)</f>
        <v>39610</v>
      </c>
      <c r="C356" s="43">
        <f>SUM(H356,I356,J356,K356,L356,M356,N356,O356,P356,Q356,R356,S356,T356,U356,V356)</f>
        <v>39610</v>
      </c>
      <c r="D356" s="44"/>
      <c r="E356" s="33"/>
      <c r="F356" s="33"/>
      <c r="G356" s="33"/>
      <c r="H356" s="27">
        <v>4000</v>
      </c>
      <c r="I356" s="51">
        <v>110</v>
      </c>
      <c r="J356" s="51">
        <v>800</v>
      </c>
      <c r="K356" s="51">
        <v>2400</v>
      </c>
      <c r="L356" s="51">
        <v>6000</v>
      </c>
      <c r="M356" s="48">
        <v>4800</v>
      </c>
      <c r="N356" s="48">
        <v>3790</v>
      </c>
      <c r="O356" s="55">
        <v>13850</v>
      </c>
      <c r="P356" s="41">
        <v>1200</v>
      </c>
      <c r="Q356" s="51">
        <v>1660</v>
      </c>
      <c r="R356" s="51">
        <v>1000</v>
      </c>
      <c r="S356" s="33"/>
      <c r="T356" s="51">
        <v>0</v>
      </c>
      <c r="U356" s="51">
        <v>0</v>
      </c>
      <c r="V356" s="51">
        <v>0</v>
      </c>
    </row>
    <row r="357" ht="39" customHeight="1">
      <c r="A357" t="s" s="10">
        <v>373</v>
      </c>
      <c r="B357" s="34">
        <f>SUM(C357,G357)</f>
        <v>35100</v>
      </c>
      <c r="C357" s="35">
        <f>SUM(H357,I357,J357,K357,L357,M357,N357,O357,P357,Q357,R357,S357,T357,U357,V357)</f>
        <v>35100</v>
      </c>
      <c r="D357" s="36"/>
      <c r="E357" s="25"/>
      <c r="F357" s="25"/>
      <c r="G357" s="26"/>
      <c r="H357" s="27">
        <v>0</v>
      </c>
      <c r="I357" s="38">
        <v>5000</v>
      </c>
      <c r="J357" s="38">
        <v>2500</v>
      </c>
      <c r="K357" s="38">
        <v>15000</v>
      </c>
      <c r="L357" s="38">
        <v>5000</v>
      </c>
      <c r="M357" s="40">
        <v>0</v>
      </c>
      <c r="N357" s="40">
        <v>1000</v>
      </c>
      <c r="O357" s="40">
        <v>6600</v>
      </c>
      <c r="P357" s="41">
        <v>0</v>
      </c>
      <c r="Q357" s="38">
        <v>0</v>
      </c>
      <c r="R357" s="38">
        <v>0</v>
      </c>
      <c r="S357" s="33"/>
      <c r="T357" s="38">
        <v>0</v>
      </c>
      <c r="U357" s="38">
        <v>0</v>
      </c>
      <c r="V357" s="38">
        <v>0</v>
      </c>
    </row>
    <row r="358" ht="94.5" customHeight="1">
      <c r="A358" t="s" s="88">
        <v>374</v>
      </c>
      <c r="B358" s="42">
        <f>SUM(C358,G358)</f>
        <v>0</v>
      </c>
      <c r="C358" s="43">
        <f>SUM(H358,I358,J358,K358,L358,M358,N358,O358,P358,Q358,R358,S358,T358,U358,V358)</f>
        <v>0</v>
      </c>
      <c r="D358" s="44"/>
      <c r="E358" s="33"/>
      <c r="F358" s="33"/>
      <c r="G358" s="33"/>
      <c r="H358" s="46"/>
      <c r="I358" s="47"/>
      <c r="J358" s="47"/>
      <c r="K358" s="47"/>
      <c r="L358" s="47"/>
      <c r="M358" s="48">
        <v>0</v>
      </c>
      <c r="N358" s="49"/>
      <c r="O358" s="50"/>
      <c r="P358" s="33"/>
      <c r="Q358" s="51">
        <v>0</v>
      </c>
      <c r="R358" s="47"/>
      <c r="S358" s="33"/>
      <c r="T358" s="47"/>
      <c r="U358" s="47"/>
      <c r="V358" s="51">
        <v>0</v>
      </c>
    </row>
    <row r="359" ht="110.25" customHeight="1">
      <c r="A359" t="s" s="98">
        <v>375</v>
      </c>
      <c r="B359" s="34">
        <f>SUM(C359,G359)</f>
        <v>7800</v>
      </c>
      <c r="C359" s="35">
        <f>SUM(H359,I359,J359,K359,L359,M359,N359,O359,P359,Q359,R359,S359,T359,U359,V359)</f>
        <v>7800</v>
      </c>
      <c r="D359" s="36"/>
      <c r="E359" s="25"/>
      <c r="F359" s="25"/>
      <c r="G359" s="26"/>
      <c r="H359" s="27">
        <v>5000</v>
      </c>
      <c r="I359" s="38">
        <v>0</v>
      </c>
      <c r="J359" s="38">
        <v>400</v>
      </c>
      <c r="K359" s="38">
        <v>2400</v>
      </c>
      <c r="L359" s="38">
        <v>0</v>
      </c>
      <c r="M359" s="40">
        <v>0</v>
      </c>
      <c r="N359" s="40">
        <v>0</v>
      </c>
      <c r="O359" s="40">
        <v>0</v>
      </c>
      <c r="P359" s="41">
        <v>0</v>
      </c>
      <c r="Q359" s="38">
        <v>0</v>
      </c>
      <c r="R359" s="38">
        <v>0</v>
      </c>
      <c r="S359" s="33"/>
      <c r="T359" s="38">
        <v>0</v>
      </c>
      <c r="U359" s="38">
        <v>0</v>
      </c>
      <c r="V359" s="38">
        <v>0</v>
      </c>
    </row>
    <row r="360" ht="175.5" customHeight="1">
      <c r="A360" t="s" s="98">
        <v>376</v>
      </c>
      <c r="B360" s="34">
        <f>SUM(C360,G360)</f>
        <v>7700</v>
      </c>
      <c r="C360" s="35">
        <f>SUM(H360,I360,J360,K360,L360,M360,N360,O360,P360,Q360,R360,S360,T360,U360,V360)</f>
        <v>7700</v>
      </c>
      <c r="D360" s="36"/>
      <c r="E360" s="25"/>
      <c r="F360" s="25"/>
      <c r="G360" s="26"/>
      <c r="H360" s="27">
        <v>5000</v>
      </c>
      <c r="I360" s="38">
        <v>0</v>
      </c>
      <c r="J360" s="38">
        <v>300</v>
      </c>
      <c r="K360" s="38">
        <v>2400</v>
      </c>
      <c r="L360" s="38">
        <v>0</v>
      </c>
      <c r="M360" s="40">
        <v>0</v>
      </c>
      <c r="N360" s="40">
        <v>0</v>
      </c>
      <c r="O360" s="40">
        <v>0</v>
      </c>
      <c r="P360" s="41">
        <v>0</v>
      </c>
      <c r="Q360" s="38">
        <v>0</v>
      </c>
      <c r="R360" s="38">
        <v>0</v>
      </c>
      <c r="S360" s="33"/>
      <c r="T360" s="38">
        <v>0</v>
      </c>
      <c r="U360" s="38">
        <v>0</v>
      </c>
      <c r="V360" s="38">
        <v>0</v>
      </c>
    </row>
    <row r="361" ht="126" customHeight="1">
      <c r="A361" t="s" s="10">
        <v>377</v>
      </c>
      <c r="B361" s="34">
        <f>SUM(C361,G361)</f>
        <v>36000</v>
      </c>
      <c r="C361" s="35">
        <f>SUM(H361,I361,J361,K361,L361,M361,N361,O361,P361,Q361,R361,S361,T361,U361,V361)</f>
        <v>36000</v>
      </c>
      <c r="D361" s="36"/>
      <c r="E361" s="25"/>
      <c r="F361" s="25"/>
      <c r="G361" s="26"/>
      <c r="H361" s="27">
        <v>30750</v>
      </c>
      <c r="I361" s="38">
        <v>0</v>
      </c>
      <c r="J361" s="38">
        <v>4050</v>
      </c>
      <c r="K361" s="38">
        <v>1200</v>
      </c>
      <c r="L361" s="38">
        <v>0</v>
      </c>
      <c r="M361" s="40">
        <v>0</v>
      </c>
      <c r="N361" s="40">
        <v>0</v>
      </c>
      <c r="O361" s="40">
        <v>0</v>
      </c>
      <c r="P361" s="41">
        <v>0</v>
      </c>
      <c r="Q361" s="38">
        <v>0</v>
      </c>
      <c r="R361" s="38">
        <v>0</v>
      </c>
      <c r="S361" s="33"/>
      <c r="T361" s="38">
        <v>0</v>
      </c>
      <c r="U361" s="38">
        <v>0</v>
      </c>
      <c r="V361" s="38">
        <v>0</v>
      </c>
    </row>
    <row r="362" ht="175.5" customHeight="1">
      <c r="A362" t="s" s="98">
        <v>378</v>
      </c>
      <c r="B362" s="34">
        <f>SUM(C362,G362)</f>
        <v>22700</v>
      </c>
      <c r="C362" s="35">
        <f>SUM(H362,I362,J362,K362,L362,M362,N362,O362,P362,Q362,R362,S362,T362,U362,V362)</f>
        <v>22700</v>
      </c>
      <c r="D362" s="36"/>
      <c r="E362" s="25"/>
      <c r="F362" s="25"/>
      <c r="G362" s="26"/>
      <c r="H362" s="27">
        <v>20000</v>
      </c>
      <c r="I362" s="38">
        <v>0</v>
      </c>
      <c r="J362" s="38">
        <v>1500</v>
      </c>
      <c r="K362" s="38">
        <v>1200</v>
      </c>
      <c r="L362" s="38">
        <v>0</v>
      </c>
      <c r="M362" s="40">
        <v>0</v>
      </c>
      <c r="N362" s="40">
        <v>0</v>
      </c>
      <c r="O362" s="40">
        <v>0</v>
      </c>
      <c r="P362" s="41">
        <v>0</v>
      </c>
      <c r="Q362" s="38">
        <v>0</v>
      </c>
      <c r="R362" s="80"/>
      <c r="S362" s="33"/>
      <c r="T362" s="38">
        <v>0</v>
      </c>
      <c r="U362" s="38">
        <v>0</v>
      </c>
      <c r="V362" s="38">
        <v>0</v>
      </c>
    </row>
    <row r="363" ht="31.5" customHeight="1">
      <c r="A363" t="s" s="67">
        <v>379</v>
      </c>
      <c r="B363" s="42">
        <f>SUM(C363,G363)</f>
        <v>0</v>
      </c>
      <c r="C363" s="43">
        <f>SUM(H363,I363,J363,K363,L363,M363,N363,O363,P363,Q363,R363,S363,T363,U363,V363)</f>
        <v>0</v>
      </c>
      <c r="D363" s="44"/>
      <c r="E363" s="45"/>
      <c r="F363" s="45"/>
      <c r="G363" s="45"/>
      <c r="H363" s="46"/>
      <c r="I363" s="47"/>
      <c r="J363" s="47"/>
      <c r="K363" s="47"/>
      <c r="L363" s="47"/>
      <c r="M363" s="48">
        <v>0</v>
      </c>
      <c r="N363" s="49"/>
      <c r="O363" s="50"/>
      <c r="P363" s="45"/>
      <c r="Q363" s="51">
        <v>0</v>
      </c>
      <c r="R363" s="47"/>
      <c r="S363" s="45"/>
      <c r="T363" s="47"/>
      <c r="U363" s="47"/>
      <c r="V363" s="51">
        <v>0</v>
      </c>
    </row>
    <row r="364" ht="97.5" customHeight="1">
      <c r="A364" t="s" s="110">
        <v>380</v>
      </c>
      <c r="B364" s="42">
        <f>SUM(C364,G364)</f>
        <v>59100</v>
      </c>
      <c r="C364" s="43">
        <f>SUM(H364,I364,J364,K364,L364,M364,N364,O364,P364,Q364,R364,S364,T364,U364,V364)</f>
        <v>59000</v>
      </c>
      <c r="D364" s="44"/>
      <c r="E364" s="17"/>
      <c r="F364" s="17"/>
      <c r="G364" s="56">
        <v>100</v>
      </c>
      <c r="H364" s="27">
        <v>13000</v>
      </c>
      <c r="I364" s="51">
        <v>17000</v>
      </c>
      <c r="J364" s="51">
        <v>20000</v>
      </c>
      <c r="K364" s="51">
        <v>5000</v>
      </c>
      <c r="L364" s="51">
        <v>4000</v>
      </c>
      <c r="M364" s="48">
        <v>0</v>
      </c>
      <c r="N364" s="48">
        <v>0</v>
      </c>
      <c r="O364" s="55">
        <v>0</v>
      </c>
      <c r="P364" s="56">
        <v>0</v>
      </c>
      <c r="Q364" s="51">
        <v>0</v>
      </c>
      <c r="R364" s="51">
        <v>0</v>
      </c>
      <c r="S364" s="17"/>
      <c r="T364" s="51">
        <v>0</v>
      </c>
      <c r="U364" s="51">
        <v>0</v>
      </c>
      <c r="V364" s="51">
        <v>0</v>
      </c>
    </row>
    <row r="365" ht="195" customHeight="1">
      <c r="A365" t="s" s="21">
        <v>381</v>
      </c>
      <c r="B365" s="22">
        <f>SUM(C365,G365)</f>
        <v>40</v>
      </c>
      <c r="C365" s="23">
        <f>SUM(H365,I365,J365,K365,L365,M365,N365,O365,P365,Q365,R365,S365,T365,U365,V365)</f>
        <v>40</v>
      </c>
      <c r="D365" s="36"/>
      <c r="E365" s="25"/>
      <c r="F365" s="25"/>
      <c r="G365" s="26"/>
      <c r="H365" s="27">
        <v>20</v>
      </c>
      <c r="I365" s="28">
        <v>5</v>
      </c>
      <c r="J365" s="28">
        <v>5</v>
      </c>
      <c r="K365" s="28">
        <v>0</v>
      </c>
      <c r="L365" s="28">
        <v>10</v>
      </c>
      <c r="M365" s="30">
        <v>0</v>
      </c>
      <c r="N365" s="30">
        <v>0</v>
      </c>
      <c r="O365" s="30">
        <v>0</v>
      </c>
      <c r="P365" s="41">
        <v>0</v>
      </c>
      <c r="Q365" s="28">
        <v>0</v>
      </c>
      <c r="R365" s="28">
        <v>0</v>
      </c>
      <c r="S365" s="33"/>
      <c r="T365" s="28">
        <v>0</v>
      </c>
      <c r="U365" s="28">
        <v>0</v>
      </c>
      <c r="V365" s="28">
        <v>0</v>
      </c>
    </row>
    <row r="366" ht="16.6" customHeight="1">
      <c r="A366" t="s" s="10">
        <v>382</v>
      </c>
      <c r="B366" s="34">
        <f>SUM(C366,G366)</f>
        <v>500</v>
      </c>
      <c r="C366" s="35">
        <f>SUM(H366,I366,J366,K366,L366,M366,N366,O366,P366,Q366,R366,S366,T366,U366,V366)</f>
        <v>500</v>
      </c>
      <c r="D366" s="36"/>
      <c r="E366" s="25"/>
      <c r="F366" s="25"/>
      <c r="G366" s="26"/>
      <c r="H366" s="27">
        <v>300</v>
      </c>
      <c r="I366" s="38">
        <v>0</v>
      </c>
      <c r="J366" s="38">
        <v>100</v>
      </c>
      <c r="K366" s="38">
        <v>100</v>
      </c>
      <c r="L366" s="38">
        <v>0</v>
      </c>
      <c r="M366" s="40">
        <v>0</v>
      </c>
      <c r="N366" s="40">
        <v>0</v>
      </c>
      <c r="O366" s="40">
        <v>0</v>
      </c>
      <c r="P366" s="41">
        <v>0</v>
      </c>
      <c r="Q366" s="38">
        <v>0</v>
      </c>
      <c r="R366" s="38">
        <v>0</v>
      </c>
      <c r="S366" s="33"/>
      <c r="T366" s="38">
        <v>0</v>
      </c>
      <c r="U366" s="38">
        <v>0</v>
      </c>
      <c r="V366" s="38">
        <v>0</v>
      </c>
    </row>
    <row r="367" ht="78" customHeight="1">
      <c r="A367" t="s" s="21">
        <v>383</v>
      </c>
      <c r="B367" s="22">
        <f>SUM(C367,G367)</f>
        <v>1500</v>
      </c>
      <c r="C367" s="23">
        <f>SUM(H367,I367,J367,K367,L367,M367,N367,O367,P367,Q367,R367,S367,T367,U367,V367)</f>
        <v>1500</v>
      </c>
      <c r="D367" s="36"/>
      <c r="E367" s="25"/>
      <c r="F367" s="25"/>
      <c r="G367" s="26"/>
      <c r="H367" s="27">
        <v>1000</v>
      </c>
      <c r="I367" s="28">
        <v>0</v>
      </c>
      <c r="J367" s="28">
        <v>100</v>
      </c>
      <c r="K367" s="28">
        <v>400</v>
      </c>
      <c r="L367" s="28">
        <v>0</v>
      </c>
      <c r="M367" s="30">
        <v>0</v>
      </c>
      <c r="N367" s="30">
        <v>0</v>
      </c>
      <c r="O367" s="30">
        <v>0</v>
      </c>
      <c r="P367" s="41">
        <v>0</v>
      </c>
      <c r="Q367" s="28">
        <v>0</v>
      </c>
      <c r="R367" s="28">
        <v>0</v>
      </c>
      <c r="S367" s="33"/>
      <c r="T367" s="28">
        <v>0</v>
      </c>
      <c r="U367" s="28">
        <v>0</v>
      </c>
      <c r="V367" s="28">
        <v>0</v>
      </c>
    </row>
    <row r="368" ht="19.5" customHeight="1">
      <c r="A368" t="s" s="21">
        <v>384</v>
      </c>
      <c r="B368" s="22">
        <f>SUM(C368,G368)</f>
        <v>1500</v>
      </c>
      <c r="C368" s="23">
        <f>SUM(H368,I368,J368,K368,L368,M368,N368,O368,P368,Q368,R368,S368,T368,U368,V368)</f>
        <v>1500</v>
      </c>
      <c r="D368" s="36"/>
      <c r="E368" s="25"/>
      <c r="F368" s="25"/>
      <c r="G368" s="26"/>
      <c r="H368" s="27">
        <v>1000</v>
      </c>
      <c r="I368" s="28">
        <v>0</v>
      </c>
      <c r="J368" s="28">
        <v>100</v>
      </c>
      <c r="K368" s="28">
        <v>400</v>
      </c>
      <c r="L368" s="28">
        <v>0</v>
      </c>
      <c r="M368" s="30">
        <v>0</v>
      </c>
      <c r="N368" s="30">
        <v>0</v>
      </c>
      <c r="O368" s="30">
        <v>0</v>
      </c>
      <c r="P368" s="41">
        <v>0</v>
      </c>
      <c r="Q368" s="28">
        <v>0</v>
      </c>
      <c r="R368" s="28">
        <v>0</v>
      </c>
      <c r="S368" s="33"/>
      <c r="T368" s="28">
        <v>0</v>
      </c>
      <c r="U368" s="28">
        <v>0</v>
      </c>
      <c r="V368" s="28">
        <v>0</v>
      </c>
    </row>
    <row r="369" ht="63" customHeight="1">
      <c r="A369" t="s" s="10">
        <v>385</v>
      </c>
      <c r="B369" s="34">
        <f>SUM(C369,G369)</f>
        <v>30700</v>
      </c>
      <c r="C369" s="35">
        <f>SUM(H369,I369,J369,K369,L369,M369,N369,O369,P369,Q369,R369,S369,T369,U369,V369)</f>
        <v>30400</v>
      </c>
      <c r="D369" s="36"/>
      <c r="E369" s="25"/>
      <c r="F369" s="25"/>
      <c r="G369" s="37">
        <v>300</v>
      </c>
      <c r="H369" s="27">
        <v>20000</v>
      </c>
      <c r="I369" s="38">
        <v>5000</v>
      </c>
      <c r="J369" s="38">
        <v>2400</v>
      </c>
      <c r="K369" s="38">
        <v>2000</v>
      </c>
      <c r="L369" s="38">
        <v>1000</v>
      </c>
      <c r="M369" s="40">
        <v>0</v>
      </c>
      <c r="N369" s="40">
        <v>0</v>
      </c>
      <c r="O369" s="40">
        <v>0</v>
      </c>
      <c r="P369" s="41">
        <v>0</v>
      </c>
      <c r="Q369" s="38">
        <v>0</v>
      </c>
      <c r="R369" s="38">
        <v>0</v>
      </c>
      <c r="S369" s="33"/>
      <c r="T369" s="38">
        <v>0</v>
      </c>
      <c r="U369" s="38">
        <v>0</v>
      </c>
      <c r="V369" s="38">
        <v>0</v>
      </c>
    </row>
    <row r="370" ht="19.5" customHeight="1">
      <c r="A370" t="s" s="67">
        <v>386</v>
      </c>
      <c r="B370" s="42">
        <f>SUM(C370,G370)</f>
        <v>0</v>
      </c>
      <c r="C370" s="43">
        <f>SUM(H370,I370,J370,K370,L370,M370,N370,O370,P370,Q370,R370,S370,T370,U370,V370)</f>
        <v>0</v>
      </c>
      <c r="D370" s="44"/>
      <c r="E370" s="33"/>
      <c r="F370" s="33"/>
      <c r="G370" s="33"/>
      <c r="H370" s="46"/>
      <c r="I370" s="47"/>
      <c r="J370" s="47"/>
      <c r="K370" s="47"/>
      <c r="L370" s="47"/>
      <c r="M370" s="48">
        <v>0</v>
      </c>
      <c r="N370" s="49"/>
      <c r="O370" s="50"/>
      <c r="P370" s="33"/>
      <c r="Q370" s="51">
        <v>0</v>
      </c>
      <c r="R370" s="47"/>
      <c r="S370" s="33"/>
      <c r="T370" s="47"/>
      <c r="U370" s="47"/>
      <c r="V370" s="51">
        <v>0</v>
      </c>
    </row>
    <row r="371" ht="346.5" customHeight="1">
      <c r="A371" t="s" s="111">
        <v>387</v>
      </c>
      <c r="B371" s="112">
        <f>SUM(C371,G371)</f>
        <v>11000</v>
      </c>
      <c r="C371" s="113">
        <f>SUM(H371,I371,J371,K371,L371,M371,N371,O371,P371,Q371,R371,S371,T371,U371,V371)</f>
        <v>11000</v>
      </c>
      <c r="D371" s="36"/>
      <c r="E371" s="25"/>
      <c r="F371" s="25"/>
      <c r="G371" s="26"/>
      <c r="H371" s="27">
        <v>8000</v>
      </c>
      <c r="I371" s="51">
        <v>0</v>
      </c>
      <c r="J371" s="51">
        <v>3000</v>
      </c>
      <c r="K371" s="51">
        <v>0</v>
      </c>
      <c r="L371" s="51">
        <v>0</v>
      </c>
      <c r="M371" s="48">
        <v>0</v>
      </c>
      <c r="N371" s="48">
        <v>0</v>
      </c>
      <c r="O371" s="48">
        <v>0</v>
      </c>
      <c r="P371" s="41">
        <v>0</v>
      </c>
      <c r="Q371" s="51">
        <v>0</v>
      </c>
      <c r="R371" s="51">
        <v>0</v>
      </c>
      <c r="S371" s="33"/>
      <c r="T371" s="51">
        <v>0</v>
      </c>
      <c r="U371" s="51">
        <v>0</v>
      </c>
      <c r="V371" s="51">
        <v>0</v>
      </c>
    </row>
    <row r="372" ht="409.5" customHeight="1">
      <c r="A372" t="s" s="10">
        <v>388</v>
      </c>
      <c r="B372" s="34">
        <f>SUM(C372,G372)</f>
        <v>83229</v>
      </c>
      <c r="C372" s="35">
        <f>SUM(H372,I372,J372,K372,L372,M372,N372,O372,P372,Q372,R372,S372,T372,U372,V372)</f>
        <v>82929</v>
      </c>
      <c r="D372" s="36"/>
      <c r="E372" s="25"/>
      <c r="F372" s="25"/>
      <c r="G372" s="37">
        <v>300</v>
      </c>
      <c r="H372" s="27">
        <v>40000</v>
      </c>
      <c r="I372" s="38">
        <v>0</v>
      </c>
      <c r="J372" s="38">
        <v>15000</v>
      </c>
      <c r="K372" s="38">
        <v>20000</v>
      </c>
      <c r="L372" s="38">
        <v>2300</v>
      </c>
      <c r="M372" s="40">
        <v>0</v>
      </c>
      <c r="N372" s="40">
        <v>0</v>
      </c>
      <c r="O372" s="40">
        <v>0</v>
      </c>
      <c r="P372" s="41">
        <v>2000</v>
      </c>
      <c r="Q372" s="38">
        <v>0</v>
      </c>
      <c r="R372" s="38">
        <v>3629</v>
      </c>
      <c r="S372" s="33"/>
      <c r="T372" s="38">
        <v>0</v>
      </c>
      <c r="U372" s="38">
        <v>0</v>
      </c>
      <c r="V372" s="38">
        <v>0</v>
      </c>
    </row>
    <row r="373" ht="19.5" customHeight="1">
      <c r="A373" t="s" s="67">
        <v>389</v>
      </c>
      <c r="B373" s="42">
        <f>SUM(C373,G373)</f>
        <v>0</v>
      </c>
      <c r="C373" s="43">
        <f>SUM(H373,I373,J373,K373,L373,M373,N373,O373,P373,Q373,R373,S373,T373,U373,V373)</f>
        <v>0</v>
      </c>
      <c r="D373" s="44"/>
      <c r="E373" s="45"/>
      <c r="F373" s="45"/>
      <c r="G373" s="45"/>
      <c r="H373" s="46"/>
      <c r="I373" s="47"/>
      <c r="J373" s="47"/>
      <c r="K373" s="47"/>
      <c r="L373" s="47"/>
      <c r="M373" s="48">
        <v>0</v>
      </c>
      <c r="N373" s="49"/>
      <c r="O373" s="50"/>
      <c r="P373" s="45"/>
      <c r="Q373" s="51">
        <v>0</v>
      </c>
      <c r="R373" s="47"/>
      <c r="S373" s="45"/>
      <c r="T373" s="47"/>
      <c r="U373" s="47"/>
      <c r="V373" s="51">
        <v>0</v>
      </c>
    </row>
    <row r="374" ht="47.25" customHeight="1">
      <c r="A374" t="s" s="69">
        <v>390</v>
      </c>
      <c r="B374" s="42">
        <f>SUM(C374,G374)</f>
        <v>360</v>
      </c>
      <c r="C374" s="43">
        <f>SUM(H374,I374,J374,K374,L374,M374,N374,O374,P374,Q374,R374,S374,T374,U374,V374)</f>
        <v>360</v>
      </c>
      <c r="D374" s="44"/>
      <c r="E374" s="6"/>
      <c r="F374" s="6"/>
      <c r="G374" s="6"/>
      <c r="H374" s="27">
        <v>350</v>
      </c>
      <c r="I374" s="51">
        <v>0</v>
      </c>
      <c r="J374" s="51">
        <v>0</v>
      </c>
      <c r="K374" s="51">
        <v>10</v>
      </c>
      <c r="L374" s="51">
        <v>0</v>
      </c>
      <c r="M374" s="48">
        <v>0</v>
      </c>
      <c r="N374" s="48">
        <v>0</v>
      </c>
      <c r="O374" s="55">
        <v>0</v>
      </c>
      <c r="P374" s="53">
        <v>0</v>
      </c>
      <c r="Q374" s="51">
        <v>0</v>
      </c>
      <c r="R374" s="51">
        <v>0</v>
      </c>
      <c r="S374" s="6"/>
      <c r="T374" s="51">
        <v>0</v>
      </c>
      <c r="U374" s="51">
        <v>0</v>
      </c>
      <c r="V374" s="51">
        <v>0</v>
      </c>
    </row>
    <row r="375" ht="19.5" customHeight="1">
      <c r="A375" t="s" s="67">
        <v>391</v>
      </c>
      <c r="B375" s="42">
        <f>SUM(C375,G375)</f>
        <v>0</v>
      </c>
      <c r="C375" s="43">
        <f>SUM(H375,I375,J375,K375,L375,M375,N375,O375,P375,Q375,R375,S375,T375,U375,V375)</f>
        <v>0</v>
      </c>
      <c r="D375" s="44"/>
      <c r="E375" s="17"/>
      <c r="F375" s="17"/>
      <c r="G375" s="17"/>
      <c r="H375" s="46"/>
      <c r="I375" s="47"/>
      <c r="J375" s="47"/>
      <c r="K375" s="47"/>
      <c r="L375" s="47"/>
      <c r="M375" s="48">
        <v>0</v>
      </c>
      <c r="N375" s="49"/>
      <c r="O375" s="50"/>
      <c r="P375" s="17"/>
      <c r="Q375" s="51">
        <v>0</v>
      </c>
      <c r="R375" s="47"/>
      <c r="S375" s="17"/>
      <c r="T375" s="47"/>
      <c r="U375" s="47"/>
      <c r="V375" s="51">
        <v>0</v>
      </c>
    </row>
    <row r="376" ht="31.5" customHeight="1">
      <c r="A376" t="s" s="21">
        <v>392</v>
      </c>
      <c r="B376" s="22">
        <f>SUM(C376,G376)</f>
        <v>6010</v>
      </c>
      <c r="C376" s="23">
        <f>SUM(H376,I376,J376,K376,L376,M376,N376,O376,P376,Q376,R376,S376,T376,U376,V376)</f>
        <v>6010</v>
      </c>
      <c r="D376" s="36"/>
      <c r="E376" s="25"/>
      <c r="F376" s="25"/>
      <c r="G376" s="26"/>
      <c r="H376" s="27">
        <v>3000</v>
      </c>
      <c r="I376" s="28">
        <v>1870</v>
      </c>
      <c r="J376" s="28">
        <v>800</v>
      </c>
      <c r="K376" s="28">
        <v>200</v>
      </c>
      <c r="L376" s="28">
        <v>40</v>
      </c>
      <c r="M376" s="30">
        <v>100</v>
      </c>
      <c r="N376" s="30">
        <v>0</v>
      </c>
      <c r="O376" s="30">
        <v>0</v>
      </c>
      <c r="P376" s="41">
        <v>0</v>
      </c>
      <c r="Q376" s="28">
        <v>0</v>
      </c>
      <c r="R376" s="28">
        <v>0</v>
      </c>
      <c r="S376" s="33"/>
      <c r="T376" s="28">
        <v>0</v>
      </c>
      <c r="U376" s="28">
        <v>0</v>
      </c>
      <c r="V376" s="28">
        <v>0</v>
      </c>
    </row>
    <row r="377" ht="19.5" customHeight="1">
      <c r="A377" t="s" s="21">
        <v>393</v>
      </c>
      <c r="B377" s="22">
        <f>SUM(C377,G377)</f>
        <v>19800</v>
      </c>
      <c r="C377" s="23">
        <f>SUM(H377,I377,J377,K377,L377,M377,N377,O377,P377,Q377,R377,S377,T377,U377,V377)</f>
        <v>19800</v>
      </c>
      <c r="D377" s="36"/>
      <c r="E377" s="25"/>
      <c r="F377" s="25"/>
      <c r="G377" s="26"/>
      <c r="H377" s="27">
        <v>100</v>
      </c>
      <c r="I377" s="28">
        <v>10000</v>
      </c>
      <c r="J377" s="28">
        <v>5000</v>
      </c>
      <c r="K377" s="28">
        <v>1200</v>
      </c>
      <c r="L377" s="28">
        <v>0</v>
      </c>
      <c r="M377" s="30">
        <v>2000</v>
      </c>
      <c r="N377" s="30">
        <v>1500</v>
      </c>
      <c r="O377" s="30">
        <v>0</v>
      </c>
      <c r="P377" s="41">
        <v>0</v>
      </c>
      <c r="Q377" s="28">
        <v>0</v>
      </c>
      <c r="R377" s="28">
        <v>0</v>
      </c>
      <c r="S377" s="33"/>
      <c r="T377" s="28">
        <v>0</v>
      </c>
      <c r="U377" s="28">
        <v>0</v>
      </c>
      <c r="V377" s="28">
        <v>0</v>
      </c>
    </row>
    <row r="378" ht="31.5" customHeight="1">
      <c r="A378" t="s" s="67">
        <v>394</v>
      </c>
      <c r="B378" s="42">
        <f>SUM(C378,G378)</f>
        <v>0</v>
      </c>
      <c r="C378" s="43">
        <f>SUM(H378,I378,J378,K378,L378,M378,N378,O378,P378,Q378,R378,S378,T378,U378,V378)</f>
        <v>0</v>
      </c>
      <c r="D378" s="44"/>
      <c r="E378" s="45"/>
      <c r="F378" s="45"/>
      <c r="G378" s="45"/>
      <c r="H378" s="46"/>
      <c r="I378" s="47"/>
      <c r="J378" s="47"/>
      <c r="K378" s="47"/>
      <c r="L378" s="47"/>
      <c r="M378" s="48">
        <v>0</v>
      </c>
      <c r="N378" s="49"/>
      <c r="O378" s="50"/>
      <c r="P378" s="45"/>
      <c r="Q378" s="51">
        <v>0</v>
      </c>
      <c r="R378" s="47"/>
      <c r="S378" s="45"/>
      <c r="T378" s="47"/>
      <c r="U378" s="47"/>
      <c r="V378" s="51">
        <v>0</v>
      </c>
    </row>
    <row r="379" ht="214.5" customHeight="1">
      <c r="A379" t="s" s="69">
        <v>395</v>
      </c>
      <c r="B379" s="42">
        <f>SUM(C379,G379)</f>
        <v>2000</v>
      </c>
      <c r="C379" s="43">
        <f>SUM(H379,I379,J379,K379,L379,M379,N379,O379,P379,Q379,R379,S379,T379,U379,V379)</f>
        <v>2000</v>
      </c>
      <c r="D379" s="44"/>
      <c r="E379" s="17"/>
      <c r="F379" s="17"/>
      <c r="G379" s="17"/>
      <c r="H379" s="27">
        <v>400</v>
      </c>
      <c r="I379" s="51">
        <v>1200</v>
      </c>
      <c r="J379" s="51">
        <v>400</v>
      </c>
      <c r="K379" s="51">
        <v>0</v>
      </c>
      <c r="L379" s="51">
        <v>0</v>
      </c>
      <c r="M379" s="48">
        <v>0</v>
      </c>
      <c r="N379" s="48">
        <v>0</v>
      </c>
      <c r="O379" s="55">
        <v>0</v>
      </c>
      <c r="P379" s="56">
        <v>0</v>
      </c>
      <c r="Q379" s="51">
        <v>0</v>
      </c>
      <c r="R379" s="51">
        <v>0</v>
      </c>
      <c r="S379" s="17"/>
      <c r="T379" s="51">
        <v>0</v>
      </c>
      <c r="U379" s="51">
        <v>0</v>
      </c>
      <c r="V379" s="51">
        <v>0</v>
      </c>
    </row>
    <row r="380" ht="390" customHeight="1">
      <c r="A380" t="s" s="114">
        <v>396</v>
      </c>
      <c r="B380" s="22">
        <f>SUM(C380,G380)</f>
        <v>1550</v>
      </c>
      <c r="C380" s="23">
        <f>SUM(H380,I380,J380,K380,L380,M380,N380,O380,P380,Q380,R380,S380,T380,U380,V380)</f>
        <v>1550</v>
      </c>
      <c r="D380" s="36"/>
      <c r="E380" s="25"/>
      <c r="F380" s="25"/>
      <c r="G380" s="26"/>
      <c r="H380" s="27">
        <v>50</v>
      </c>
      <c r="I380" s="28">
        <v>1500</v>
      </c>
      <c r="J380" s="28">
        <v>0</v>
      </c>
      <c r="K380" s="28">
        <v>0</v>
      </c>
      <c r="L380" s="28">
        <v>0</v>
      </c>
      <c r="M380" s="30">
        <v>0</v>
      </c>
      <c r="N380" s="30">
        <v>0</v>
      </c>
      <c r="O380" s="30">
        <v>0</v>
      </c>
      <c r="P380" s="41">
        <v>0</v>
      </c>
      <c r="Q380" s="28">
        <v>0</v>
      </c>
      <c r="R380" s="28">
        <v>0</v>
      </c>
      <c r="S380" s="33"/>
      <c r="T380" s="28">
        <v>0</v>
      </c>
      <c r="U380" s="28">
        <v>0</v>
      </c>
      <c r="V380" s="28">
        <v>0</v>
      </c>
    </row>
    <row r="381" ht="409.5" customHeight="1">
      <c r="A381" t="s" s="115">
        <v>397</v>
      </c>
      <c r="B381" s="34">
        <f>SUM(C381,G381)</f>
        <v>130</v>
      </c>
      <c r="C381" s="35">
        <f>SUM(H381,I381,J381,K381,L381,M381,N381,O381,P381,Q381,R381,S381,T381,U381,V381)</f>
        <v>130</v>
      </c>
      <c r="D381" s="36"/>
      <c r="E381" s="25"/>
      <c r="F381" s="25"/>
      <c r="G381" s="26"/>
      <c r="H381" s="27">
        <v>30</v>
      </c>
      <c r="I381" s="38">
        <v>100</v>
      </c>
      <c r="J381" s="38">
        <v>0</v>
      </c>
      <c r="K381" s="38">
        <v>0</v>
      </c>
      <c r="L381" s="38">
        <v>0</v>
      </c>
      <c r="M381" s="40">
        <v>0</v>
      </c>
      <c r="N381" s="40">
        <v>0</v>
      </c>
      <c r="O381" s="40">
        <v>0</v>
      </c>
      <c r="P381" s="41">
        <v>0</v>
      </c>
      <c r="Q381" s="38">
        <v>0</v>
      </c>
      <c r="R381" s="38">
        <v>0</v>
      </c>
      <c r="S381" s="33"/>
      <c r="T381" s="38">
        <v>0</v>
      </c>
      <c r="U381" s="38">
        <v>0</v>
      </c>
      <c r="V381" s="38">
        <v>0</v>
      </c>
    </row>
    <row r="382" ht="110.25" customHeight="1">
      <c r="A382" t="s" s="69">
        <v>398</v>
      </c>
      <c r="B382" s="42">
        <f>SUM(C382,G382)</f>
        <v>50</v>
      </c>
      <c r="C382" s="43">
        <f>SUM(H382,I382,J382,K382,L382,M382,N382,O382,P382,Q382,R382,S382,T382,U382,V382)</f>
        <v>50</v>
      </c>
      <c r="D382" s="44"/>
      <c r="E382" s="45"/>
      <c r="F382" s="45"/>
      <c r="G382" s="45"/>
      <c r="H382" s="46"/>
      <c r="I382" s="51">
        <v>50</v>
      </c>
      <c r="J382" s="51">
        <v>0</v>
      </c>
      <c r="K382" s="51">
        <v>0</v>
      </c>
      <c r="L382" s="51">
        <v>0</v>
      </c>
      <c r="M382" s="48">
        <v>0</v>
      </c>
      <c r="N382" s="48">
        <v>0</v>
      </c>
      <c r="O382" s="55">
        <v>0</v>
      </c>
      <c r="P382" s="58">
        <v>0</v>
      </c>
      <c r="Q382" s="51">
        <v>0</v>
      </c>
      <c r="R382" s="51">
        <v>0</v>
      </c>
      <c r="S382" s="45"/>
      <c r="T382" s="51">
        <v>0</v>
      </c>
      <c r="U382" s="51">
        <v>0</v>
      </c>
      <c r="V382" s="51">
        <v>0</v>
      </c>
    </row>
    <row r="383" ht="156" customHeight="1">
      <c r="A383" t="s" s="69">
        <v>399</v>
      </c>
      <c r="B383" s="42">
        <f>SUM(C383,G383)</f>
        <v>1000</v>
      </c>
      <c r="C383" s="43">
        <f>SUM(H383,I383,J383,K383,L383,M383,N383,O383,P383,Q383,R383,S383,T383,U383,V383)</f>
        <v>1000</v>
      </c>
      <c r="D383" s="44"/>
      <c r="E383" s="6"/>
      <c r="F383" s="6"/>
      <c r="G383" s="6"/>
      <c r="H383" s="46"/>
      <c r="I383" s="51">
        <v>1000</v>
      </c>
      <c r="J383" s="51">
        <v>0</v>
      </c>
      <c r="K383" s="51">
        <v>0</v>
      </c>
      <c r="L383" s="51">
        <v>0</v>
      </c>
      <c r="M383" s="48">
        <v>0</v>
      </c>
      <c r="N383" s="48">
        <v>0</v>
      </c>
      <c r="O383" s="55">
        <v>0</v>
      </c>
      <c r="P383" s="53">
        <v>0</v>
      </c>
      <c r="Q383" s="51">
        <v>0</v>
      </c>
      <c r="R383" s="51">
        <v>0</v>
      </c>
      <c r="S383" s="6"/>
      <c r="T383" s="51">
        <v>0</v>
      </c>
      <c r="U383" s="51">
        <v>0</v>
      </c>
      <c r="V383" s="51">
        <v>0</v>
      </c>
    </row>
    <row r="384" ht="117" customHeight="1">
      <c r="A384" t="s" s="69">
        <v>400</v>
      </c>
      <c r="B384" s="42">
        <f>SUM(C384,G384)</f>
        <v>1682</v>
      </c>
      <c r="C384" s="43">
        <f>SUM(H384,I384,J384,K384,L384,M384,N384,O384,P384,Q384,R384,S384,T384,U384,V384)</f>
        <v>1682</v>
      </c>
      <c r="D384" s="44"/>
      <c r="E384" s="6"/>
      <c r="F384" s="6"/>
      <c r="G384" s="6"/>
      <c r="H384" s="46"/>
      <c r="I384" s="51">
        <v>1682</v>
      </c>
      <c r="J384" s="51">
        <v>0</v>
      </c>
      <c r="K384" s="51">
        <v>0</v>
      </c>
      <c r="L384" s="51">
        <v>0</v>
      </c>
      <c r="M384" s="48">
        <v>0</v>
      </c>
      <c r="N384" s="48">
        <v>0</v>
      </c>
      <c r="O384" s="55">
        <v>0</v>
      </c>
      <c r="P384" s="53">
        <v>0</v>
      </c>
      <c r="Q384" s="51">
        <v>0</v>
      </c>
      <c r="R384" s="51">
        <v>0</v>
      </c>
      <c r="S384" s="6"/>
      <c r="T384" s="51">
        <v>0</v>
      </c>
      <c r="U384" s="51">
        <v>0</v>
      </c>
      <c r="V384" s="51">
        <v>0</v>
      </c>
    </row>
    <row r="385" ht="409.5" customHeight="1">
      <c r="A385" t="s" s="69">
        <v>401</v>
      </c>
      <c r="B385" s="42">
        <f>SUM(C385,G385)</f>
        <v>0</v>
      </c>
      <c r="C385" s="43">
        <f>SUM(H385,I385,J385,K385,L385,M385,N385,O385,P385,Q385,R385,S385,T385,U385,V385)</f>
        <v>0</v>
      </c>
      <c r="D385" s="44"/>
      <c r="E385" s="6"/>
      <c r="F385" s="6"/>
      <c r="G385" s="6"/>
      <c r="H385" s="46"/>
      <c r="I385" s="51">
        <v>0</v>
      </c>
      <c r="J385" s="51">
        <v>0</v>
      </c>
      <c r="K385" s="51">
        <v>0</v>
      </c>
      <c r="L385" s="51">
        <v>0</v>
      </c>
      <c r="M385" s="48">
        <v>0</v>
      </c>
      <c r="N385" s="48">
        <v>0</v>
      </c>
      <c r="O385" s="55">
        <v>0</v>
      </c>
      <c r="P385" s="53">
        <v>0</v>
      </c>
      <c r="Q385" s="51">
        <v>0</v>
      </c>
      <c r="R385" s="51">
        <v>0</v>
      </c>
      <c r="S385" s="6"/>
      <c r="T385" s="51">
        <v>0</v>
      </c>
      <c r="U385" s="51">
        <v>0</v>
      </c>
      <c r="V385" s="51">
        <v>0</v>
      </c>
    </row>
    <row r="386" ht="136.5" customHeight="1">
      <c r="A386" t="s" s="69">
        <v>402</v>
      </c>
      <c r="B386" s="42">
        <f>SUM(C386,G386)</f>
        <v>0</v>
      </c>
      <c r="C386" s="43">
        <f>SUM(H386,I386,J386,K386,L386,M386,N386,O386,P386,Q386,R386,S386,T386,U386,V386)</f>
        <v>0</v>
      </c>
      <c r="D386" s="44"/>
      <c r="E386" s="6"/>
      <c r="F386" s="6"/>
      <c r="G386" s="6"/>
      <c r="H386" s="46"/>
      <c r="I386" s="51">
        <v>0</v>
      </c>
      <c r="J386" s="51">
        <v>0</v>
      </c>
      <c r="K386" s="51">
        <v>0</v>
      </c>
      <c r="L386" s="51">
        <v>0</v>
      </c>
      <c r="M386" s="48">
        <v>0</v>
      </c>
      <c r="N386" s="48">
        <v>0</v>
      </c>
      <c r="O386" s="55">
        <v>0</v>
      </c>
      <c r="P386" s="53">
        <v>0</v>
      </c>
      <c r="Q386" s="51">
        <v>0</v>
      </c>
      <c r="R386" s="51">
        <v>0</v>
      </c>
      <c r="S386" s="6"/>
      <c r="T386" s="51">
        <v>0</v>
      </c>
      <c r="U386" s="51">
        <v>0</v>
      </c>
      <c r="V386" s="47"/>
    </row>
    <row r="387" ht="409.5" customHeight="1">
      <c r="A387" t="s" s="69">
        <v>403</v>
      </c>
      <c r="B387" s="42">
        <f>SUM(C387,G387)</f>
        <v>0</v>
      </c>
      <c r="C387" s="43">
        <f>SUM(H387,I387,J387,K387,L387,M387,N387,O387,P387,Q387,R387,S387,T387,U387,V387)</f>
        <v>0</v>
      </c>
      <c r="D387" s="44"/>
      <c r="E387" s="6"/>
      <c r="F387" s="6"/>
      <c r="G387" s="6"/>
      <c r="H387" s="46"/>
      <c r="I387" s="51">
        <v>0</v>
      </c>
      <c r="J387" s="51">
        <v>0</v>
      </c>
      <c r="K387" s="51">
        <v>0</v>
      </c>
      <c r="L387" s="51">
        <v>0</v>
      </c>
      <c r="M387" s="48">
        <v>0</v>
      </c>
      <c r="N387" s="48">
        <v>0</v>
      </c>
      <c r="O387" s="55">
        <v>0</v>
      </c>
      <c r="P387" s="53">
        <v>0</v>
      </c>
      <c r="Q387" s="51">
        <v>0</v>
      </c>
      <c r="R387" s="51">
        <v>0</v>
      </c>
      <c r="S387" s="6"/>
      <c r="T387" s="51">
        <v>0</v>
      </c>
      <c r="U387" s="51">
        <v>0</v>
      </c>
      <c r="V387" s="51">
        <v>0</v>
      </c>
    </row>
    <row r="388" ht="283.5" customHeight="1">
      <c r="A388" t="s" s="70">
        <v>404</v>
      </c>
      <c r="B388" s="42">
        <f>SUM(C388,G388)</f>
        <v>0</v>
      </c>
      <c r="C388" s="43">
        <f>SUM(H388,I388,J388,K388,L388,M388,N388,O388,P388,Q388,R388,S388,T388,U388,V388)</f>
        <v>0</v>
      </c>
      <c r="D388" s="44"/>
      <c r="E388" s="6"/>
      <c r="F388" s="6"/>
      <c r="G388" s="6"/>
      <c r="H388" s="46"/>
      <c r="I388" s="51">
        <v>0</v>
      </c>
      <c r="J388" s="51">
        <v>0</v>
      </c>
      <c r="K388" s="51">
        <v>0</v>
      </c>
      <c r="L388" s="51">
        <v>0</v>
      </c>
      <c r="M388" s="48">
        <v>0</v>
      </c>
      <c r="N388" s="48">
        <v>0</v>
      </c>
      <c r="O388" s="55">
        <v>0</v>
      </c>
      <c r="P388" s="53">
        <v>0</v>
      </c>
      <c r="Q388" s="51">
        <v>0</v>
      </c>
      <c r="R388" s="51">
        <v>0</v>
      </c>
      <c r="S388" s="6"/>
      <c r="T388" s="51">
        <v>0</v>
      </c>
      <c r="U388" s="51">
        <v>0</v>
      </c>
      <c r="V388" s="51">
        <v>0</v>
      </c>
    </row>
    <row r="389" ht="409.5" customHeight="1">
      <c r="A389" t="s" s="69">
        <v>405</v>
      </c>
      <c r="B389" s="42">
        <f>SUM(C389,G389)</f>
        <v>0</v>
      </c>
      <c r="C389" s="43">
        <f>SUM(H389,I389,J389,K389,L389,M389,N389,O389,P389,Q389,R389,S389,T389,U389,V389)</f>
        <v>0</v>
      </c>
      <c r="D389" s="44"/>
      <c r="E389" s="6"/>
      <c r="F389" s="6"/>
      <c r="G389" s="6"/>
      <c r="H389" s="46"/>
      <c r="I389" s="51">
        <v>0</v>
      </c>
      <c r="J389" s="51">
        <v>0</v>
      </c>
      <c r="K389" s="51">
        <v>0</v>
      </c>
      <c r="L389" s="51">
        <v>0</v>
      </c>
      <c r="M389" s="48">
        <v>0</v>
      </c>
      <c r="N389" s="48">
        <v>0</v>
      </c>
      <c r="O389" s="55">
        <v>0</v>
      </c>
      <c r="P389" s="53">
        <v>0</v>
      </c>
      <c r="Q389" s="51">
        <v>0</v>
      </c>
      <c r="R389" s="51">
        <v>0</v>
      </c>
      <c r="S389" s="6"/>
      <c r="T389" s="51">
        <v>0</v>
      </c>
      <c r="U389" s="51">
        <v>0</v>
      </c>
      <c r="V389" s="51">
        <v>0</v>
      </c>
    </row>
    <row r="390" ht="312" customHeight="1">
      <c r="A390" t="s" s="69">
        <v>406</v>
      </c>
      <c r="B390" s="42">
        <f>SUM(C390,G390)</f>
        <v>75</v>
      </c>
      <c r="C390" s="43">
        <f>SUM(H390,I390,J390,K390,L390,M390,N390,O390,P390,Q390,R390,S390,T390,U390,V390)</f>
        <v>75</v>
      </c>
      <c r="D390" s="44"/>
      <c r="E390" s="6"/>
      <c r="F390" s="6"/>
      <c r="G390" s="6"/>
      <c r="H390" s="46"/>
      <c r="I390" s="38">
        <v>75</v>
      </c>
      <c r="J390" s="51">
        <v>0</v>
      </c>
      <c r="K390" s="51">
        <v>0</v>
      </c>
      <c r="L390" s="51">
        <v>0</v>
      </c>
      <c r="M390" s="48">
        <v>0</v>
      </c>
      <c r="N390" s="48">
        <v>0</v>
      </c>
      <c r="O390" s="55">
        <v>0</v>
      </c>
      <c r="P390" s="53">
        <v>0</v>
      </c>
      <c r="Q390" s="51">
        <v>0</v>
      </c>
      <c r="R390" s="51">
        <v>0</v>
      </c>
      <c r="S390" s="6"/>
      <c r="T390" s="51">
        <v>0</v>
      </c>
      <c r="U390" s="51">
        <v>0</v>
      </c>
      <c r="V390" s="51">
        <v>0</v>
      </c>
    </row>
    <row r="391" ht="312" customHeight="1">
      <c r="A391" t="s" s="69">
        <v>407</v>
      </c>
      <c r="B391" s="42">
        <f>SUM(C391,G391)</f>
        <v>91</v>
      </c>
      <c r="C391" s="43">
        <f>SUM(H391,I391,J391,K391,L391,M391,N391,O391,P391,Q391,R391,S391,T391,U391,V391)</f>
        <v>91</v>
      </c>
      <c r="D391" s="44"/>
      <c r="E391" s="6"/>
      <c r="F391" s="6"/>
      <c r="G391" s="6"/>
      <c r="H391" s="46"/>
      <c r="I391" s="38">
        <v>91</v>
      </c>
      <c r="J391" s="51">
        <v>0</v>
      </c>
      <c r="K391" s="51">
        <v>0</v>
      </c>
      <c r="L391" s="51">
        <v>0</v>
      </c>
      <c r="M391" s="48">
        <v>0</v>
      </c>
      <c r="N391" s="48">
        <v>0</v>
      </c>
      <c r="O391" s="55">
        <v>0</v>
      </c>
      <c r="P391" s="53">
        <v>0</v>
      </c>
      <c r="Q391" s="51">
        <v>0</v>
      </c>
      <c r="R391" s="51">
        <v>0</v>
      </c>
      <c r="S391" s="6"/>
      <c r="T391" s="51">
        <v>0</v>
      </c>
      <c r="U391" s="51">
        <v>0</v>
      </c>
      <c r="V391" s="51">
        <v>0</v>
      </c>
    </row>
    <row r="392" ht="19.5" customHeight="1">
      <c r="A392" t="s" s="67">
        <v>114</v>
      </c>
      <c r="B392" s="42">
        <f>SUM(C392,G392)</f>
        <v>0</v>
      </c>
      <c r="C392" s="43">
        <f>SUM(H392,I392,J392,K392,L392,M392,N392,O392,P392,Q392,R392,S392,T392,U392,V392)</f>
        <v>0</v>
      </c>
      <c r="D392" s="44"/>
      <c r="E392" s="6"/>
      <c r="F392" s="6"/>
      <c r="G392" s="6"/>
      <c r="H392" s="46"/>
      <c r="I392" s="47"/>
      <c r="J392" s="47"/>
      <c r="K392" s="47"/>
      <c r="L392" s="47"/>
      <c r="M392" s="48">
        <v>0</v>
      </c>
      <c r="N392" s="49"/>
      <c r="O392" s="50"/>
      <c r="P392" s="6"/>
      <c r="Q392" s="51">
        <v>0</v>
      </c>
      <c r="R392" s="47"/>
      <c r="S392" s="6"/>
      <c r="T392" s="47"/>
      <c r="U392" s="47"/>
      <c r="V392" s="51">
        <v>0</v>
      </c>
    </row>
    <row r="393" ht="252" customHeight="1">
      <c r="A393" t="s" s="52">
        <v>408</v>
      </c>
      <c r="B393" s="42">
        <f>SUM(C393,G393)</f>
        <v>0</v>
      </c>
      <c r="C393" s="43">
        <f>SUM(H393,I393,J393,K393,L393,M393,N393,O393,P393,Q393,R393,S393,T393,U393,V393)</f>
        <v>0</v>
      </c>
      <c r="D393" s="44"/>
      <c r="E393" s="6"/>
      <c r="F393" s="6"/>
      <c r="G393" s="6"/>
      <c r="H393" s="27">
        <v>0</v>
      </c>
      <c r="I393" s="51">
        <v>0</v>
      </c>
      <c r="J393" s="51">
        <v>0</v>
      </c>
      <c r="K393" s="51">
        <v>0</v>
      </c>
      <c r="L393" s="51">
        <v>0</v>
      </c>
      <c r="M393" s="48">
        <v>0</v>
      </c>
      <c r="N393" s="48">
        <v>0</v>
      </c>
      <c r="O393" s="55">
        <v>0</v>
      </c>
      <c r="P393" s="53">
        <v>0</v>
      </c>
      <c r="Q393" s="51">
        <v>0</v>
      </c>
      <c r="R393" s="51">
        <v>0</v>
      </c>
      <c r="S393" s="6"/>
      <c r="T393" s="51">
        <v>0</v>
      </c>
      <c r="U393" s="51">
        <v>0</v>
      </c>
      <c r="V393" s="51">
        <v>0</v>
      </c>
    </row>
    <row r="394" ht="141.75" customHeight="1">
      <c r="A394" t="s" s="52">
        <v>409</v>
      </c>
      <c r="B394" s="42">
        <f>SUM(C394,G394)</f>
        <v>0</v>
      </c>
      <c r="C394" s="43">
        <f>SUM(H394,I394,J394,K394,L394,M394,N394,O394,P394,Q394,R394,S394,T394,U394,V394)</f>
        <v>0</v>
      </c>
      <c r="D394" s="44"/>
      <c r="E394" s="6"/>
      <c r="F394" s="6"/>
      <c r="G394" s="6"/>
      <c r="H394" s="27">
        <v>0</v>
      </c>
      <c r="I394" s="51">
        <v>0</v>
      </c>
      <c r="J394" s="51">
        <v>0</v>
      </c>
      <c r="K394" s="51">
        <v>0</v>
      </c>
      <c r="L394" s="51">
        <v>0</v>
      </c>
      <c r="M394" s="48">
        <v>0</v>
      </c>
      <c r="N394" s="48">
        <v>0</v>
      </c>
      <c r="O394" s="55">
        <v>0</v>
      </c>
      <c r="P394" s="53">
        <v>0</v>
      </c>
      <c r="Q394" s="51">
        <v>0</v>
      </c>
      <c r="R394" s="51">
        <v>0</v>
      </c>
      <c r="S394" s="6"/>
      <c r="T394" s="51">
        <v>0</v>
      </c>
      <c r="U394" s="51">
        <v>0</v>
      </c>
      <c r="V394" s="51">
        <v>0</v>
      </c>
    </row>
    <row r="395" ht="19.5" customHeight="1">
      <c r="A395" t="s" s="10">
        <v>410</v>
      </c>
      <c r="B395" s="42">
        <f>SUM(C395,G395)</f>
        <v>0</v>
      </c>
      <c r="C395" s="43">
        <f>SUM(H395,I395,J395,K395,L395,M395,N395,O395,P395,Q395,R395,S395,T395,U395,V395)</f>
        <v>0</v>
      </c>
      <c r="D395" s="44"/>
      <c r="E395" s="6"/>
      <c r="F395" s="6"/>
      <c r="G395" s="6"/>
      <c r="H395" s="46"/>
      <c r="I395" s="47"/>
      <c r="J395" s="47"/>
      <c r="K395" s="47"/>
      <c r="L395" s="47"/>
      <c r="M395" s="48">
        <v>0</v>
      </c>
      <c r="N395" s="49"/>
      <c r="O395" s="50"/>
      <c r="P395" s="6"/>
      <c r="Q395" s="51">
        <v>0</v>
      </c>
      <c r="R395" s="47"/>
      <c r="S395" s="6"/>
      <c r="T395" s="47"/>
      <c r="U395" s="47"/>
      <c r="V395" s="51">
        <v>0</v>
      </c>
    </row>
    <row r="396" ht="19.5" customHeight="1">
      <c r="A396" t="s" s="67">
        <v>411</v>
      </c>
      <c r="B396" s="42">
        <f>SUM(C396,G396)</f>
        <v>0</v>
      </c>
      <c r="C396" s="43">
        <f>SUM(H396,I396,J396,K396,L396,M396,N396,O396,P396,Q396,R396,S396,T396,U396,V396)</f>
        <v>0</v>
      </c>
      <c r="D396" s="44"/>
      <c r="E396" s="6"/>
      <c r="F396" s="6"/>
      <c r="G396" s="6"/>
      <c r="H396" s="46"/>
      <c r="I396" s="47"/>
      <c r="J396" s="47"/>
      <c r="K396" s="47"/>
      <c r="L396" s="47"/>
      <c r="M396" s="48">
        <v>0</v>
      </c>
      <c r="N396" s="49"/>
      <c r="O396" s="50"/>
      <c r="P396" s="6"/>
      <c r="Q396" s="51">
        <v>0</v>
      </c>
      <c r="R396" s="47"/>
      <c r="S396" s="6"/>
      <c r="T396" s="47"/>
      <c r="U396" s="47"/>
      <c r="V396" s="51">
        <v>0</v>
      </c>
    </row>
    <row r="397" ht="19.5" customHeight="1">
      <c r="A397" t="s" s="67">
        <v>412</v>
      </c>
      <c r="B397" s="42">
        <f>SUM(C397,G397)</f>
        <v>0</v>
      </c>
      <c r="C397" s="43">
        <f>SUM(H397,I397,J397,K397,L397,M397,N397,O397,P397,Q397,R397,S397,T397,U397,V397)</f>
        <v>0</v>
      </c>
      <c r="D397" s="44"/>
      <c r="E397" s="6"/>
      <c r="F397" s="6"/>
      <c r="G397" s="6"/>
      <c r="H397" s="46"/>
      <c r="I397" s="47"/>
      <c r="J397" s="47"/>
      <c r="K397" s="47"/>
      <c r="L397" s="47"/>
      <c r="M397" s="48">
        <v>0</v>
      </c>
      <c r="N397" s="49"/>
      <c r="O397" s="50"/>
      <c r="P397" s="6"/>
      <c r="Q397" s="51">
        <v>0</v>
      </c>
      <c r="R397" s="47"/>
      <c r="S397" s="6"/>
      <c r="T397" s="47"/>
      <c r="U397" s="47"/>
      <c r="V397" s="51">
        <v>0</v>
      </c>
    </row>
    <row r="398" ht="19.5" customHeight="1">
      <c r="A398" t="s" s="52">
        <v>413</v>
      </c>
      <c r="B398" s="42">
        <f>SUM(C398,G398)</f>
        <v>91630</v>
      </c>
      <c r="C398" s="43">
        <f>SUM(H398,I398,J398,K398,L398,M398,N398,O398,P398,Q398,R398,S398,T398,U398,V398)</f>
        <v>91630</v>
      </c>
      <c r="D398" s="44"/>
      <c r="E398" s="6"/>
      <c r="F398" s="6"/>
      <c r="G398" s="6"/>
      <c r="H398" s="27">
        <v>0</v>
      </c>
      <c r="I398" s="51">
        <v>880</v>
      </c>
      <c r="J398" s="51">
        <v>100</v>
      </c>
      <c r="K398" s="51">
        <v>100</v>
      </c>
      <c r="L398" s="51">
        <v>0</v>
      </c>
      <c r="M398" s="48">
        <v>42000</v>
      </c>
      <c r="N398" s="48">
        <v>16050</v>
      </c>
      <c r="O398" s="55">
        <v>16100</v>
      </c>
      <c r="P398" s="53">
        <v>7100</v>
      </c>
      <c r="Q398" s="51">
        <v>9300</v>
      </c>
      <c r="R398" s="51">
        <v>0</v>
      </c>
      <c r="S398" s="6"/>
      <c r="T398" s="51">
        <v>0</v>
      </c>
      <c r="U398" s="51">
        <v>0</v>
      </c>
      <c r="V398" s="51">
        <v>0</v>
      </c>
    </row>
    <row r="399" ht="19.5" customHeight="1">
      <c r="A399" t="s" s="52">
        <v>414</v>
      </c>
      <c r="B399" s="42">
        <f>SUM(C399,G399)</f>
        <v>111430</v>
      </c>
      <c r="C399" s="43">
        <f>SUM(H399,I399,J399,K399,L399,M399,N399,O399,P399,Q399,R399,S399,T399,U399,V399)</f>
        <v>111430</v>
      </c>
      <c r="D399" s="44"/>
      <c r="E399" s="6"/>
      <c r="F399" s="6"/>
      <c r="G399" s="6"/>
      <c r="H399" s="27">
        <v>0</v>
      </c>
      <c r="I399" s="51">
        <v>0</v>
      </c>
      <c r="J399" s="51">
        <v>100</v>
      </c>
      <c r="K399" s="51">
        <v>100</v>
      </c>
      <c r="L399" s="51">
        <v>0</v>
      </c>
      <c r="M399" s="48">
        <v>29000</v>
      </c>
      <c r="N399" s="48">
        <v>25480</v>
      </c>
      <c r="O399" s="55">
        <v>21000</v>
      </c>
      <c r="P399" s="53">
        <v>17000</v>
      </c>
      <c r="Q399" s="51">
        <v>18750</v>
      </c>
      <c r="R399" s="51">
        <v>0</v>
      </c>
      <c r="S399" s="6"/>
      <c r="T399" s="51">
        <v>0</v>
      </c>
      <c r="U399" s="51">
        <v>0</v>
      </c>
      <c r="V399" s="51">
        <v>0</v>
      </c>
    </row>
    <row r="400" ht="19.5" customHeight="1">
      <c r="A400" t="s" s="67">
        <v>415</v>
      </c>
      <c r="B400" s="42">
        <f>SUM(C400,G400)</f>
        <v>0</v>
      </c>
      <c r="C400" s="43">
        <f>SUM(H400,I400,J400,K400,L400,M400,N400,O400,P400,Q400,R400,S400,T400,U400,V400)</f>
        <v>0</v>
      </c>
      <c r="D400" s="44"/>
      <c r="E400" s="17"/>
      <c r="F400" s="17"/>
      <c r="G400" s="17"/>
      <c r="H400" s="46"/>
      <c r="I400" s="47"/>
      <c r="J400" s="47"/>
      <c r="K400" s="47"/>
      <c r="L400" s="47"/>
      <c r="M400" s="48">
        <v>0</v>
      </c>
      <c r="N400" s="49"/>
      <c r="O400" s="50"/>
      <c r="P400" s="17"/>
      <c r="Q400" s="51">
        <v>0</v>
      </c>
      <c r="R400" s="47"/>
      <c r="S400" s="17"/>
      <c r="T400" s="47"/>
      <c r="U400" s="47"/>
      <c r="V400" s="51">
        <v>0</v>
      </c>
    </row>
    <row r="401" ht="47.25" customHeight="1">
      <c r="A401" t="s" s="21">
        <v>416</v>
      </c>
      <c r="B401" s="22">
        <f>SUM(C401,G401)</f>
        <v>460</v>
      </c>
      <c r="C401" s="23">
        <f>SUM(H401,I401,J401,K401,L401,M401,N401,O401,P401,Q401,R401,S401,T401,U401,V401)</f>
        <v>460</v>
      </c>
      <c r="D401" s="36"/>
      <c r="E401" s="25"/>
      <c r="F401" s="25"/>
      <c r="G401" s="26"/>
      <c r="H401" s="27">
        <v>200</v>
      </c>
      <c r="I401" s="28">
        <v>200</v>
      </c>
      <c r="J401" s="28">
        <v>10</v>
      </c>
      <c r="K401" s="28">
        <v>50</v>
      </c>
      <c r="L401" s="28">
        <v>0</v>
      </c>
      <c r="M401" s="30">
        <v>0</v>
      </c>
      <c r="N401" s="30">
        <v>0</v>
      </c>
      <c r="O401" s="30">
        <v>0</v>
      </c>
      <c r="P401" s="41">
        <v>0</v>
      </c>
      <c r="Q401" s="28">
        <v>0</v>
      </c>
      <c r="R401" s="28">
        <v>0</v>
      </c>
      <c r="S401" s="33"/>
      <c r="T401" s="28">
        <v>0</v>
      </c>
      <c r="U401" s="28">
        <v>0</v>
      </c>
      <c r="V401" s="28">
        <v>0</v>
      </c>
    </row>
    <row r="402" ht="47.25" customHeight="1">
      <c r="A402" t="s" s="52">
        <v>417</v>
      </c>
      <c r="B402" s="42">
        <f>SUM(C402,G402)</f>
        <v>11000</v>
      </c>
      <c r="C402" s="43">
        <f>SUM(H402,I402,J402,K402,L402,M402,N402,O402,P402,Q402,R402,S402,T402,U402,V402)</f>
        <v>11000</v>
      </c>
      <c r="D402" s="44"/>
      <c r="E402" s="45"/>
      <c r="F402" s="45"/>
      <c r="G402" s="45"/>
      <c r="H402" s="27">
        <v>300</v>
      </c>
      <c r="I402" s="51">
        <v>1000</v>
      </c>
      <c r="J402" s="51">
        <v>6000</v>
      </c>
      <c r="K402" s="51">
        <v>2000</v>
      </c>
      <c r="L402" s="51">
        <v>1700</v>
      </c>
      <c r="M402" s="48">
        <v>0</v>
      </c>
      <c r="N402" s="48">
        <v>0</v>
      </c>
      <c r="O402" s="55">
        <v>0</v>
      </c>
      <c r="P402" s="58">
        <v>0</v>
      </c>
      <c r="Q402" s="51">
        <v>0</v>
      </c>
      <c r="R402" s="51">
        <v>0</v>
      </c>
      <c r="S402" s="45"/>
      <c r="T402" s="51">
        <v>0</v>
      </c>
      <c r="U402" s="51">
        <v>0</v>
      </c>
      <c r="V402" s="51">
        <v>0</v>
      </c>
    </row>
    <row r="403" ht="19.5" customHeight="1">
      <c r="A403" t="s" s="67">
        <v>418</v>
      </c>
      <c r="B403" s="42">
        <f>SUM(C403,G403)</f>
        <v>0</v>
      </c>
      <c r="C403" s="43">
        <f>SUM(H403,I403,J403,K403,L403,M403,N403,O403,P403,Q403,R403,S403,T403,U403,V403)</f>
        <v>0</v>
      </c>
      <c r="D403" s="44"/>
      <c r="E403" s="17"/>
      <c r="F403" s="17"/>
      <c r="G403" s="17"/>
      <c r="H403" s="46"/>
      <c r="I403" s="47"/>
      <c r="J403" s="47"/>
      <c r="K403" s="47"/>
      <c r="L403" s="47"/>
      <c r="M403" s="48">
        <v>0</v>
      </c>
      <c r="N403" s="49"/>
      <c r="O403" s="50"/>
      <c r="P403" s="17"/>
      <c r="Q403" s="51">
        <v>0</v>
      </c>
      <c r="R403" s="47"/>
      <c r="S403" s="17"/>
      <c r="T403" s="47"/>
      <c r="U403" s="47"/>
      <c r="V403" s="51">
        <v>0</v>
      </c>
    </row>
    <row r="404" ht="97.5" customHeight="1">
      <c r="A404" t="s" s="10">
        <v>419</v>
      </c>
      <c r="B404" s="34">
        <f>SUM(C404,G404)</f>
        <v>57300</v>
      </c>
      <c r="C404" s="35">
        <f>SUM(H404,I404,J404,K404,L404,M404,N404,O404,P404,Q404,R404,S404,T404,U404,V404)</f>
        <v>57300</v>
      </c>
      <c r="D404" s="36"/>
      <c r="E404" s="25"/>
      <c r="F404" s="25"/>
      <c r="G404" s="26"/>
      <c r="H404" s="27">
        <v>25000</v>
      </c>
      <c r="I404" s="38">
        <v>0</v>
      </c>
      <c r="J404" s="38">
        <v>0</v>
      </c>
      <c r="K404" s="38">
        <v>100</v>
      </c>
      <c r="L404" s="38">
        <v>0</v>
      </c>
      <c r="M404" s="40">
        <v>0</v>
      </c>
      <c r="N404" s="40">
        <v>0</v>
      </c>
      <c r="O404" s="40">
        <v>0</v>
      </c>
      <c r="P404" s="41">
        <v>0</v>
      </c>
      <c r="Q404" s="38">
        <v>0</v>
      </c>
      <c r="R404" s="38">
        <v>32000</v>
      </c>
      <c r="S404" s="102">
        <v>200</v>
      </c>
      <c r="T404" s="38">
        <v>0</v>
      </c>
      <c r="U404" s="38">
        <v>0</v>
      </c>
      <c r="V404" s="38">
        <v>0</v>
      </c>
    </row>
    <row r="405" ht="47.25" customHeight="1">
      <c r="A405" t="s" s="21">
        <v>420</v>
      </c>
      <c r="B405" s="22">
        <f>SUM(C405,G405)</f>
        <v>30100</v>
      </c>
      <c r="C405" s="23">
        <f>SUM(H405,I405,J405,K405,L405,M405,N405,O405,P405,Q405,R405,S405,T405,U405,V405)</f>
        <v>30100</v>
      </c>
      <c r="D405" s="36"/>
      <c r="E405" s="25"/>
      <c r="F405" s="25"/>
      <c r="G405" s="26"/>
      <c r="H405" s="27">
        <v>10000</v>
      </c>
      <c r="I405" s="28">
        <v>0</v>
      </c>
      <c r="J405" s="28">
        <v>0</v>
      </c>
      <c r="K405" s="28">
        <v>100</v>
      </c>
      <c r="L405" s="28">
        <v>10000</v>
      </c>
      <c r="M405" s="30">
        <v>0</v>
      </c>
      <c r="N405" s="30">
        <v>0</v>
      </c>
      <c r="O405" s="30">
        <v>0</v>
      </c>
      <c r="P405" s="41">
        <v>0</v>
      </c>
      <c r="Q405" s="28">
        <v>0</v>
      </c>
      <c r="R405" s="28">
        <v>10000</v>
      </c>
      <c r="S405" s="33"/>
      <c r="T405" s="28">
        <v>0</v>
      </c>
      <c r="U405" s="28">
        <v>0</v>
      </c>
      <c r="V405" s="28">
        <v>0</v>
      </c>
    </row>
    <row r="406" ht="39" customHeight="1">
      <c r="A406" t="s" s="52">
        <v>421</v>
      </c>
      <c r="B406" s="42">
        <f>SUM(C406,G406)</f>
        <v>17518</v>
      </c>
      <c r="C406" s="43">
        <f>SUM(H406,I406,J406,K406,L406,M406,N406,O406,P406,Q406,R406,S406,T406,U406,V406)</f>
        <v>17518</v>
      </c>
      <c r="D406" s="44"/>
      <c r="E406" s="45"/>
      <c r="F406" s="45"/>
      <c r="G406" s="45"/>
      <c r="H406" s="27">
        <v>0</v>
      </c>
      <c r="I406" s="51">
        <v>3000</v>
      </c>
      <c r="J406" s="51">
        <v>3000</v>
      </c>
      <c r="K406" s="51">
        <v>800</v>
      </c>
      <c r="L406" s="51">
        <v>90</v>
      </c>
      <c r="M406" s="48">
        <v>0</v>
      </c>
      <c r="N406" s="48">
        <v>3170</v>
      </c>
      <c r="O406" s="55">
        <v>3280</v>
      </c>
      <c r="P406" s="58">
        <v>2500</v>
      </c>
      <c r="Q406" s="51">
        <v>1678</v>
      </c>
      <c r="R406" s="51">
        <v>0</v>
      </c>
      <c r="S406" s="45"/>
      <c r="T406" s="51">
        <v>0</v>
      </c>
      <c r="U406" s="51">
        <v>0</v>
      </c>
      <c r="V406" s="51">
        <v>0</v>
      </c>
    </row>
    <row r="407" ht="19.5" customHeight="1">
      <c r="A407" t="s" s="67">
        <v>422</v>
      </c>
      <c r="B407" s="42">
        <f>SUM(C407,G407)</f>
        <v>2700</v>
      </c>
      <c r="C407" s="43">
        <f>SUM(H407,I407,J407,K407,L407,M407,N407,O407,P407,Q407,R407,S407,T407,U407,V407)</f>
        <v>2700</v>
      </c>
      <c r="D407" s="44"/>
      <c r="E407" s="17"/>
      <c r="F407" s="17"/>
      <c r="G407" s="17"/>
      <c r="H407" s="46"/>
      <c r="I407" s="47"/>
      <c r="J407" s="47"/>
      <c r="K407" s="47"/>
      <c r="L407" s="47"/>
      <c r="M407" s="48">
        <v>2700</v>
      </c>
      <c r="N407" s="49"/>
      <c r="O407" s="50"/>
      <c r="P407" s="17"/>
      <c r="Q407" s="51">
        <v>0</v>
      </c>
      <c r="R407" s="47"/>
      <c r="S407" s="17"/>
      <c r="T407" s="47"/>
      <c r="U407" s="47"/>
      <c r="V407" s="51">
        <v>0</v>
      </c>
    </row>
    <row r="408" ht="63" customHeight="1">
      <c r="A408" t="s" s="21">
        <v>423</v>
      </c>
      <c r="B408" s="22">
        <f>SUM(C408,G408)</f>
        <v>2060</v>
      </c>
      <c r="C408" s="23">
        <f>SUM(H408,I408,J408,K408,L408,M408,N408,O408,P408,Q408,R408,S408,T408,U408,V408)</f>
        <v>2060</v>
      </c>
      <c r="D408" s="36"/>
      <c r="E408" s="25"/>
      <c r="F408" s="25"/>
      <c r="G408" s="26"/>
      <c r="H408" s="27">
        <v>0</v>
      </c>
      <c r="I408" s="28">
        <v>1000</v>
      </c>
      <c r="J408" s="28">
        <v>200</v>
      </c>
      <c r="K408" s="28">
        <v>800</v>
      </c>
      <c r="L408" s="28">
        <v>0</v>
      </c>
      <c r="M408" s="30">
        <v>10</v>
      </c>
      <c r="N408" s="30">
        <v>50</v>
      </c>
      <c r="O408" s="30">
        <v>0</v>
      </c>
      <c r="P408" s="41">
        <v>0</v>
      </c>
      <c r="Q408" s="28">
        <v>0</v>
      </c>
      <c r="R408" s="28">
        <v>0</v>
      </c>
      <c r="S408" s="33"/>
      <c r="T408" s="28">
        <v>0</v>
      </c>
      <c r="U408" s="28">
        <v>0</v>
      </c>
      <c r="V408" s="28">
        <v>0</v>
      </c>
    </row>
    <row r="409" ht="78.75" customHeight="1">
      <c r="A409" t="s" s="21">
        <v>424</v>
      </c>
      <c r="B409" s="22">
        <f>SUM(C409,G409)</f>
        <v>3200</v>
      </c>
      <c r="C409" s="23">
        <f>SUM(H409,I409,J409,K409,L409,M409,N409,O409,P409,Q409,R409,S409,T409,U409,V409)</f>
        <v>3200</v>
      </c>
      <c r="D409" s="36"/>
      <c r="E409" s="25"/>
      <c r="F409" s="25"/>
      <c r="G409" s="26"/>
      <c r="H409" s="27">
        <v>1000</v>
      </c>
      <c r="I409" s="28">
        <v>1600</v>
      </c>
      <c r="J409" s="28">
        <v>200</v>
      </c>
      <c r="K409" s="28">
        <v>400</v>
      </c>
      <c r="L409" s="28">
        <v>0</v>
      </c>
      <c r="M409" s="30">
        <v>0</v>
      </c>
      <c r="N409" s="30">
        <v>0</v>
      </c>
      <c r="O409" s="30">
        <v>0</v>
      </c>
      <c r="P409" s="41">
        <v>0</v>
      </c>
      <c r="Q409" s="28">
        <v>0</v>
      </c>
      <c r="R409" s="28">
        <v>0</v>
      </c>
      <c r="S409" s="33"/>
      <c r="T409" s="28">
        <v>0</v>
      </c>
      <c r="U409" s="28">
        <v>0</v>
      </c>
      <c r="V409" s="28">
        <v>0</v>
      </c>
    </row>
    <row r="410" ht="19.5" customHeight="1">
      <c r="A410" t="s" s="67">
        <v>425</v>
      </c>
      <c r="B410" s="42">
        <f>SUM(C410,G410)</f>
        <v>0</v>
      </c>
      <c r="C410" s="43">
        <f>SUM(H410,I410,J410,K410,L410,M410,N410,O410,P410,Q410,R410,S410,T410,U410,V410)</f>
        <v>0</v>
      </c>
      <c r="D410" s="44"/>
      <c r="E410" s="45"/>
      <c r="F410" s="45"/>
      <c r="G410" s="45"/>
      <c r="H410" s="46"/>
      <c r="I410" s="47"/>
      <c r="J410" s="47"/>
      <c r="K410" s="47"/>
      <c r="L410" s="47"/>
      <c r="M410" s="48">
        <v>0</v>
      </c>
      <c r="N410" s="49"/>
      <c r="O410" s="50"/>
      <c r="P410" s="45"/>
      <c r="Q410" s="51">
        <v>0</v>
      </c>
      <c r="R410" s="47"/>
      <c r="S410" s="45"/>
      <c r="T410" s="47"/>
      <c r="U410" s="47"/>
      <c r="V410" s="51">
        <v>0</v>
      </c>
    </row>
    <row r="411" ht="63" customHeight="1">
      <c r="A411" t="s" s="52">
        <v>426</v>
      </c>
      <c r="B411" s="42">
        <f>SUM(C411,G411)</f>
        <v>842590</v>
      </c>
      <c r="C411" s="43">
        <f>SUM(H411,I411,J411,K411,L411,M411,N411,O411,P411,Q411,R411,S411,T411,U411,V411)</f>
        <v>842590</v>
      </c>
      <c r="D411" s="44"/>
      <c r="E411" s="6"/>
      <c r="F411" s="6"/>
      <c r="G411" s="6"/>
      <c r="H411" s="27">
        <v>5000</v>
      </c>
      <c r="I411" s="51">
        <v>99990</v>
      </c>
      <c r="J411" s="51">
        <v>40000</v>
      </c>
      <c r="K411" s="51">
        <v>50000</v>
      </c>
      <c r="L411" s="51">
        <v>0</v>
      </c>
      <c r="M411" s="48">
        <v>275000</v>
      </c>
      <c r="N411" s="48">
        <v>145100</v>
      </c>
      <c r="O411" s="55">
        <v>180000</v>
      </c>
      <c r="P411" s="53">
        <v>28500</v>
      </c>
      <c r="Q411" s="51">
        <v>16000</v>
      </c>
      <c r="R411" s="51">
        <v>3000</v>
      </c>
      <c r="S411" s="6"/>
      <c r="T411" s="51">
        <v>0</v>
      </c>
      <c r="U411" s="51">
        <v>0</v>
      </c>
      <c r="V411" s="51">
        <v>0</v>
      </c>
    </row>
    <row r="412" ht="19.5" customHeight="1">
      <c r="A412" t="s" s="67">
        <v>427</v>
      </c>
      <c r="B412" s="42">
        <f>SUM(C412,G412)</f>
        <v>0</v>
      </c>
      <c r="C412" s="43">
        <f>SUM(H412,I412,J412,K412,L412,M412,N412,O412,P412,Q412,R412,S412,T412,U412,V412)</f>
        <v>0</v>
      </c>
      <c r="D412" s="44"/>
      <c r="E412" s="6"/>
      <c r="F412" s="6"/>
      <c r="G412" s="6"/>
      <c r="H412" s="46"/>
      <c r="I412" s="47"/>
      <c r="J412" s="47"/>
      <c r="K412" s="47"/>
      <c r="L412" s="47"/>
      <c r="M412" s="48">
        <v>0</v>
      </c>
      <c r="N412" s="49"/>
      <c r="O412" s="50"/>
      <c r="P412" s="6"/>
      <c r="Q412" s="51">
        <v>0</v>
      </c>
      <c r="R412" s="47"/>
      <c r="S412" s="6"/>
      <c r="T412" s="47"/>
      <c r="U412" s="47"/>
      <c r="V412" s="51">
        <v>0</v>
      </c>
    </row>
    <row r="413" ht="283.5" customHeight="1">
      <c r="A413" t="s" s="52">
        <v>428</v>
      </c>
      <c r="B413" s="42">
        <f>SUM(C413,G413)</f>
        <v>0</v>
      </c>
      <c r="C413" s="43">
        <f>SUM(H413,I413,J413,K413,L413,M413,N413,O413,P413,Q413,R413,S413,T413,U413,V413)</f>
        <v>0</v>
      </c>
      <c r="D413" s="44"/>
      <c r="E413" s="6"/>
      <c r="F413" s="6"/>
      <c r="G413" s="6"/>
      <c r="H413" s="27">
        <v>0</v>
      </c>
      <c r="I413" s="51">
        <v>0</v>
      </c>
      <c r="J413" s="51">
        <v>0</v>
      </c>
      <c r="K413" s="51">
        <v>0</v>
      </c>
      <c r="L413" s="51">
        <v>0</v>
      </c>
      <c r="M413" s="48">
        <v>0</v>
      </c>
      <c r="N413" s="48">
        <v>0</v>
      </c>
      <c r="O413" s="55">
        <v>0</v>
      </c>
      <c r="P413" s="53">
        <v>0</v>
      </c>
      <c r="Q413" s="51">
        <v>0</v>
      </c>
      <c r="R413" s="51">
        <v>0</v>
      </c>
      <c r="S413" s="6"/>
      <c r="T413" s="51">
        <v>0</v>
      </c>
      <c r="U413" s="51">
        <v>0</v>
      </c>
      <c r="V413" s="51">
        <v>0</v>
      </c>
    </row>
    <row r="414" ht="409.5" customHeight="1">
      <c r="A414" t="s" s="52">
        <v>429</v>
      </c>
      <c r="B414" s="42">
        <f>SUM(C414,G414)</f>
        <v>0</v>
      </c>
      <c r="C414" s="43">
        <f>SUM(H414,I414,J414,K414,L414,M414,N414,O414,P414,Q414,R414,S414,T414,U414,V414)</f>
        <v>0</v>
      </c>
      <c r="D414" s="44"/>
      <c r="E414" s="6"/>
      <c r="F414" s="6"/>
      <c r="G414" s="6"/>
      <c r="H414" s="27">
        <v>0</v>
      </c>
      <c r="I414" s="51">
        <v>0</v>
      </c>
      <c r="J414" s="51">
        <v>0</v>
      </c>
      <c r="K414" s="51">
        <v>0</v>
      </c>
      <c r="L414" s="51">
        <v>0</v>
      </c>
      <c r="M414" s="49"/>
      <c r="N414" s="48">
        <v>0</v>
      </c>
      <c r="O414" s="55">
        <v>0</v>
      </c>
      <c r="P414" s="53">
        <v>0</v>
      </c>
      <c r="Q414" s="51">
        <v>0</v>
      </c>
      <c r="R414" s="51">
        <v>0</v>
      </c>
      <c r="S414" s="6"/>
      <c r="T414" s="51">
        <v>0</v>
      </c>
      <c r="U414" s="51">
        <v>0</v>
      </c>
      <c r="V414" s="51">
        <v>0</v>
      </c>
    </row>
    <row r="415" ht="409.5" customHeight="1">
      <c r="A415" t="s" s="52">
        <v>430</v>
      </c>
      <c r="B415" s="42">
        <f>SUM(C415,G415)</f>
        <v>0</v>
      </c>
      <c r="C415" s="43">
        <f>SUM(H415,I415,J415,K415,L415,M415,N415,O415,P415,Q415,R415,S415,T415,U415,V415)</f>
        <v>0</v>
      </c>
      <c r="D415" s="44"/>
      <c r="E415" s="6"/>
      <c r="F415" s="6"/>
      <c r="G415" s="6"/>
      <c r="H415" s="27">
        <v>0</v>
      </c>
      <c r="I415" s="51">
        <v>0</v>
      </c>
      <c r="J415" s="51">
        <v>0</v>
      </c>
      <c r="K415" s="51">
        <v>0</v>
      </c>
      <c r="L415" s="51">
        <v>0</v>
      </c>
      <c r="M415" s="48">
        <v>0</v>
      </c>
      <c r="N415" s="48">
        <v>0</v>
      </c>
      <c r="O415" s="55">
        <v>0</v>
      </c>
      <c r="P415" s="53">
        <v>0</v>
      </c>
      <c r="Q415" s="51">
        <v>0</v>
      </c>
      <c r="R415" s="51">
        <v>0</v>
      </c>
      <c r="S415" s="6"/>
      <c r="T415" s="51">
        <v>0</v>
      </c>
      <c r="U415" s="51">
        <v>0</v>
      </c>
      <c r="V415" s="51">
        <v>0</v>
      </c>
    </row>
    <row r="416" ht="236.25" customHeight="1">
      <c r="A416" t="s" s="52">
        <v>431</v>
      </c>
      <c r="B416" s="42">
        <f>SUM(C416,G416)</f>
        <v>0</v>
      </c>
      <c r="C416" s="43">
        <f>SUM(H416,I416,J416,K416,L416,M416,N416,O416,P416,Q416,R416,S416,T416,U416,V416)</f>
        <v>0</v>
      </c>
      <c r="D416" s="44"/>
      <c r="E416" s="6"/>
      <c r="F416" s="6"/>
      <c r="G416" s="6"/>
      <c r="H416" s="27">
        <v>0</v>
      </c>
      <c r="I416" s="51">
        <v>0</v>
      </c>
      <c r="J416" s="51">
        <v>0</v>
      </c>
      <c r="K416" s="47"/>
      <c r="L416" s="51">
        <v>0</v>
      </c>
      <c r="M416" s="48">
        <v>0</v>
      </c>
      <c r="N416" s="48">
        <v>0</v>
      </c>
      <c r="O416" s="55">
        <v>0</v>
      </c>
      <c r="P416" s="53">
        <v>0</v>
      </c>
      <c r="Q416" s="51">
        <v>0</v>
      </c>
      <c r="R416" s="51">
        <v>0</v>
      </c>
      <c r="S416" s="6"/>
      <c r="T416" s="51">
        <v>0</v>
      </c>
      <c r="U416" s="51">
        <v>0</v>
      </c>
      <c r="V416" s="47"/>
    </row>
    <row r="417" ht="204.75" customHeight="1">
      <c r="A417" t="s" s="52">
        <v>432</v>
      </c>
      <c r="B417" s="42">
        <f>SUM(C417,G417)</f>
        <v>0</v>
      </c>
      <c r="C417" s="43">
        <f>SUM(H417,I417,J417,K417,L417,M417,N417,O417,P417,Q417,R417,S417,T417,U417,V417)</f>
        <v>0</v>
      </c>
      <c r="D417" s="44"/>
      <c r="E417" s="6"/>
      <c r="F417" s="6"/>
      <c r="G417" s="6"/>
      <c r="H417" s="27">
        <v>0</v>
      </c>
      <c r="I417" s="51">
        <v>0</v>
      </c>
      <c r="J417" s="51">
        <v>0</v>
      </c>
      <c r="K417" s="51">
        <v>0</v>
      </c>
      <c r="L417" s="51">
        <v>0</v>
      </c>
      <c r="M417" s="48">
        <v>0</v>
      </c>
      <c r="N417" s="48">
        <v>0</v>
      </c>
      <c r="O417" s="55">
        <v>0</v>
      </c>
      <c r="P417" s="53">
        <v>0</v>
      </c>
      <c r="Q417" s="51">
        <v>0</v>
      </c>
      <c r="R417" s="51">
        <v>0</v>
      </c>
      <c r="S417" s="6"/>
      <c r="T417" s="51">
        <v>0</v>
      </c>
      <c r="U417" s="51">
        <v>0</v>
      </c>
      <c r="V417" s="51">
        <v>0</v>
      </c>
    </row>
    <row r="418" ht="31.5" customHeight="1">
      <c r="A418" t="s" s="67">
        <v>433</v>
      </c>
      <c r="B418" s="42">
        <f>SUM(C418,G418)</f>
        <v>0</v>
      </c>
      <c r="C418" s="43">
        <f>SUM(H418,I418,J418,K418,L418,M418,N418,O418,P418,Q418,R418,S418,T418,U418,V418)</f>
        <v>0</v>
      </c>
      <c r="D418" s="44"/>
      <c r="E418" s="6"/>
      <c r="F418" s="6"/>
      <c r="G418" s="6"/>
      <c r="H418" s="46"/>
      <c r="I418" s="47"/>
      <c r="J418" s="47"/>
      <c r="K418" s="47"/>
      <c r="L418" s="47"/>
      <c r="M418" s="48">
        <v>0</v>
      </c>
      <c r="N418" s="49"/>
      <c r="O418" s="50"/>
      <c r="P418" s="6"/>
      <c r="Q418" s="51">
        <v>0</v>
      </c>
      <c r="R418" s="47"/>
      <c r="S418" s="6"/>
      <c r="T418" s="47"/>
      <c r="U418" s="47"/>
      <c r="V418" s="51">
        <v>0</v>
      </c>
    </row>
    <row r="419" ht="19.5" customHeight="1">
      <c r="A419" t="s" s="67">
        <v>434</v>
      </c>
      <c r="B419" s="42">
        <f>SUM(C419,G419)</f>
        <v>0</v>
      </c>
      <c r="C419" s="43">
        <f>SUM(H419,I419,J419,K419,L419,M419,N419,O419,P419,Q419,R419,S419,T419,U419,V419)</f>
        <v>0</v>
      </c>
      <c r="D419" s="44"/>
      <c r="E419" s="17"/>
      <c r="F419" s="17"/>
      <c r="G419" s="17"/>
      <c r="H419" s="46"/>
      <c r="I419" s="47"/>
      <c r="J419" s="47"/>
      <c r="K419" s="47"/>
      <c r="L419" s="47"/>
      <c r="M419" s="48">
        <v>0</v>
      </c>
      <c r="N419" s="49"/>
      <c r="O419" s="50"/>
      <c r="P419" s="17"/>
      <c r="Q419" s="51">
        <v>0</v>
      </c>
      <c r="R419" s="47"/>
      <c r="S419" s="17"/>
      <c r="T419" s="47"/>
      <c r="U419" s="47"/>
      <c r="V419" s="51">
        <v>0</v>
      </c>
    </row>
    <row r="420" ht="63" customHeight="1">
      <c r="A420" t="s" s="21">
        <v>435</v>
      </c>
      <c r="B420" s="22">
        <f>SUM(C420,G420)</f>
        <v>15020</v>
      </c>
      <c r="C420" s="23">
        <f>SUM(H420,I420,J420,K420,L420,M420,N420,O420,P420,Q420,R420,S420,T420,U420,V420)</f>
        <v>15020</v>
      </c>
      <c r="D420" s="36"/>
      <c r="E420" s="25"/>
      <c r="F420" s="25"/>
      <c r="G420" s="26"/>
      <c r="H420" s="27">
        <v>6500</v>
      </c>
      <c r="I420" s="28">
        <v>6000</v>
      </c>
      <c r="J420" s="28">
        <v>1000</v>
      </c>
      <c r="K420" s="28">
        <v>1500</v>
      </c>
      <c r="L420" s="28">
        <v>20</v>
      </c>
      <c r="M420" s="30">
        <v>0</v>
      </c>
      <c r="N420" s="30">
        <v>0</v>
      </c>
      <c r="O420" s="30">
        <v>0</v>
      </c>
      <c r="P420" s="41">
        <v>0</v>
      </c>
      <c r="Q420" s="28">
        <v>0</v>
      </c>
      <c r="R420" s="28">
        <v>0</v>
      </c>
      <c r="S420" s="33"/>
      <c r="T420" s="28">
        <v>0</v>
      </c>
      <c r="U420" s="28">
        <v>0</v>
      </c>
      <c r="V420" s="28">
        <v>0</v>
      </c>
    </row>
    <row r="421" ht="19.5" customHeight="1">
      <c r="A421" t="s" s="67">
        <v>436</v>
      </c>
      <c r="B421" s="42">
        <f>SUM(C421,G421)</f>
        <v>0</v>
      </c>
      <c r="C421" s="43">
        <f>SUM(H421,I421,J421,K421,L421,M421,N421,O421,P421,Q421,R421,S421,T421,U421,V421)</f>
        <v>0</v>
      </c>
      <c r="D421" s="44"/>
      <c r="E421" s="33"/>
      <c r="F421" s="33"/>
      <c r="G421" s="33"/>
      <c r="H421" s="46"/>
      <c r="I421" s="47"/>
      <c r="J421" s="47"/>
      <c r="K421" s="47"/>
      <c r="L421" s="47"/>
      <c r="M421" s="48">
        <v>0</v>
      </c>
      <c r="N421" s="49"/>
      <c r="O421" s="50"/>
      <c r="P421" s="33"/>
      <c r="Q421" s="51">
        <v>0</v>
      </c>
      <c r="R421" s="47"/>
      <c r="S421" s="33"/>
      <c r="T421" s="47"/>
      <c r="U421" s="47"/>
      <c r="V421" s="51">
        <v>0</v>
      </c>
    </row>
    <row r="422" ht="204.75" customHeight="1">
      <c r="A422" t="s" s="21">
        <v>437</v>
      </c>
      <c r="B422" s="22">
        <f>SUM(C422,G422)</f>
        <v>22675</v>
      </c>
      <c r="C422" s="23">
        <f>SUM(H422,I422,J422,K422,L422,M422,N422,O422,P422,Q422,R422,S422,T422,U422,V422)</f>
        <v>22675</v>
      </c>
      <c r="D422" s="36"/>
      <c r="E422" s="25"/>
      <c r="F422" s="25"/>
      <c r="G422" s="26"/>
      <c r="H422" s="27">
        <v>14000</v>
      </c>
      <c r="I422" s="28">
        <v>600</v>
      </c>
      <c r="J422" s="28">
        <v>6000</v>
      </c>
      <c r="K422" s="28">
        <v>2000</v>
      </c>
      <c r="L422" s="28">
        <v>15</v>
      </c>
      <c r="M422" s="30">
        <v>0</v>
      </c>
      <c r="N422" s="30">
        <v>10</v>
      </c>
      <c r="O422" s="30">
        <v>0</v>
      </c>
      <c r="P422" s="41">
        <v>50</v>
      </c>
      <c r="Q422" s="28">
        <v>0</v>
      </c>
      <c r="R422" s="28">
        <v>0</v>
      </c>
      <c r="S422" s="33"/>
      <c r="T422" s="28">
        <v>0</v>
      </c>
      <c r="U422" s="28">
        <v>0</v>
      </c>
      <c r="V422" s="28">
        <v>0</v>
      </c>
    </row>
    <row r="423" ht="19.5" customHeight="1">
      <c r="A423" t="s" s="67">
        <v>438</v>
      </c>
      <c r="B423" s="42">
        <f>SUM(C423,G423)</f>
        <v>0</v>
      </c>
      <c r="C423" s="43">
        <f>SUM(H423,I423,J423,K423,L423,M423,N423,O423,P423,Q423,R423,S423,T423,U423,V423)</f>
        <v>0</v>
      </c>
      <c r="D423" s="44"/>
      <c r="E423" s="33"/>
      <c r="F423" s="33"/>
      <c r="G423" s="33"/>
      <c r="H423" s="46"/>
      <c r="I423" s="47"/>
      <c r="J423" s="47"/>
      <c r="K423" s="47"/>
      <c r="L423" s="47"/>
      <c r="M423" s="48">
        <v>0</v>
      </c>
      <c r="N423" s="49"/>
      <c r="O423" s="50"/>
      <c r="P423" s="33"/>
      <c r="Q423" s="51">
        <v>0</v>
      </c>
      <c r="R423" s="47"/>
      <c r="S423" s="33"/>
      <c r="T423" s="47"/>
      <c r="U423" s="47"/>
      <c r="V423" s="51">
        <v>0</v>
      </c>
    </row>
    <row r="424" ht="39" customHeight="1">
      <c r="A424" t="s" s="21">
        <v>439</v>
      </c>
      <c r="B424" s="22">
        <f>SUM(C424,G424)</f>
        <v>106300</v>
      </c>
      <c r="C424" s="23">
        <f>SUM(H424,I424,J424,K424,L424,M424,N424,O424,P424,Q424,R424,S424,T424,U424,V424)</f>
        <v>106300</v>
      </c>
      <c r="D424" s="36"/>
      <c r="E424" s="25"/>
      <c r="F424" s="25"/>
      <c r="G424" s="26"/>
      <c r="H424" s="27">
        <v>10000</v>
      </c>
      <c r="I424" s="28">
        <v>0</v>
      </c>
      <c r="J424" s="28">
        <v>1000</v>
      </c>
      <c r="K424" s="28">
        <v>600</v>
      </c>
      <c r="L424" s="28">
        <v>0</v>
      </c>
      <c r="M424" s="30">
        <v>2000</v>
      </c>
      <c r="N424" s="30">
        <v>6100</v>
      </c>
      <c r="O424" s="30">
        <v>2600</v>
      </c>
      <c r="P424" s="41">
        <v>0</v>
      </c>
      <c r="Q424" s="28">
        <v>0</v>
      </c>
      <c r="R424" s="28">
        <v>72000</v>
      </c>
      <c r="S424" s="75">
        <v>12000</v>
      </c>
      <c r="T424" s="28">
        <v>0</v>
      </c>
      <c r="U424" s="28">
        <v>0</v>
      </c>
      <c r="V424" s="28">
        <v>0</v>
      </c>
    </row>
    <row r="425" ht="78" customHeight="1">
      <c r="A425" t="s" s="52">
        <v>440</v>
      </c>
      <c r="B425" s="42">
        <f>SUM(C425,G425)</f>
        <v>0</v>
      </c>
      <c r="C425" s="43">
        <f>SUM(H425,I425,J425,K425,L425,M425,N425,O425,P425,Q425,R425,S425,T425,U425,V425)</f>
        <v>0</v>
      </c>
      <c r="D425" s="44"/>
      <c r="E425" s="45"/>
      <c r="F425" s="45"/>
      <c r="G425" s="45"/>
      <c r="H425" s="27">
        <v>0</v>
      </c>
      <c r="I425" s="51">
        <v>0</v>
      </c>
      <c r="J425" s="51">
        <v>0</v>
      </c>
      <c r="K425" s="51">
        <v>0</v>
      </c>
      <c r="L425" s="51">
        <v>0</v>
      </c>
      <c r="M425" s="48">
        <v>0</v>
      </c>
      <c r="N425" s="48">
        <v>0</v>
      </c>
      <c r="O425" s="55">
        <v>0</v>
      </c>
      <c r="P425" s="58">
        <v>0</v>
      </c>
      <c r="Q425" s="51">
        <v>0</v>
      </c>
      <c r="R425" s="51">
        <v>0</v>
      </c>
      <c r="S425" s="45"/>
      <c r="T425" s="51">
        <v>0</v>
      </c>
      <c r="U425" s="51">
        <v>0</v>
      </c>
      <c r="V425" s="51">
        <v>0</v>
      </c>
    </row>
    <row r="426" ht="19.5" customHeight="1">
      <c r="A426" t="s" s="67">
        <v>441</v>
      </c>
      <c r="B426" s="42">
        <f>SUM(C426,G426)</f>
        <v>0</v>
      </c>
      <c r="C426" s="43">
        <f>SUM(H426,I426,J426,K426,L426,M426,N426,O426,P426,Q426,R426,S426,T426,U426,V426)</f>
        <v>0</v>
      </c>
      <c r="D426" s="44"/>
      <c r="E426" s="6"/>
      <c r="F426" s="6"/>
      <c r="G426" s="6"/>
      <c r="H426" s="46"/>
      <c r="I426" s="47"/>
      <c r="J426" s="47"/>
      <c r="K426" s="47"/>
      <c r="L426" s="47"/>
      <c r="M426" s="48">
        <v>0</v>
      </c>
      <c r="N426" s="49"/>
      <c r="O426" s="50"/>
      <c r="P426" s="6"/>
      <c r="Q426" s="51">
        <v>0</v>
      </c>
      <c r="R426" s="47"/>
      <c r="S426" s="6"/>
      <c r="T426" s="47"/>
      <c r="U426" s="47"/>
      <c r="V426" s="51">
        <v>0</v>
      </c>
    </row>
    <row r="427" ht="253.5" customHeight="1">
      <c r="A427" t="s" s="52">
        <v>442</v>
      </c>
      <c r="B427" s="42">
        <f>SUM(C427,G427)</f>
        <v>760</v>
      </c>
      <c r="C427" s="43">
        <f>SUM(H427,I427,J427,K427,L427,M427,N427,O427,P427,Q427,R427,S427,T427,U427,V427)</f>
        <v>760</v>
      </c>
      <c r="D427" s="44"/>
      <c r="E427" s="17"/>
      <c r="F427" s="17"/>
      <c r="G427" s="17"/>
      <c r="H427" s="27">
        <v>500</v>
      </c>
      <c r="I427" s="51">
        <v>150</v>
      </c>
      <c r="J427" s="51">
        <v>40</v>
      </c>
      <c r="K427" s="51">
        <v>10</v>
      </c>
      <c r="L427" s="51">
        <v>0</v>
      </c>
      <c r="M427" s="48">
        <v>10</v>
      </c>
      <c r="N427" s="48">
        <v>50</v>
      </c>
      <c r="O427" s="55">
        <v>0</v>
      </c>
      <c r="P427" s="56">
        <v>0</v>
      </c>
      <c r="Q427" s="51">
        <v>0</v>
      </c>
      <c r="R427" s="51">
        <v>0</v>
      </c>
      <c r="S427" s="17"/>
      <c r="T427" s="51">
        <v>0</v>
      </c>
      <c r="U427" s="51">
        <v>0</v>
      </c>
      <c r="V427" s="51">
        <v>0</v>
      </c>
    </row>
    <row r="428" ht="31.5" customHeight="1">
      <c r="A428" t="s" s="10">
        <v>443</v>
      </c>
      <c r="B428" s="34">
        <f>SUM(C428,G428)</f>
        <v>2870</v>
      </c>
      <c r="C428" s="35">
        <f>SUM(H428,I428,J428,K428,L428,M428,N428,O428,P428,Q428,R428,S428,T428,U428,V428)</f>
        <v>2870</v>
      </c>
      <c r="D428" s="36"/>
      <c r="E428" s="25"/>
      <c r="F428" s="25"/>
      <c r="G428" s="26"/>
      <c r="H428" s="27">
        <v>2000</v>
      </c>
      <c r="I428" s="38">
        <v>150</v>
      </c>
      <c r="J428" s="38">
        <v>120</v>
      </c>
      <c r="K428" s="38">
        <v>600</v>
      </c>
      <c r="L428" s="38">
        <v>0</v>
      </c>
      <c r="M428" s="40">
        <v>0</v>
      </c>
      <c r="N428" s="40">
        <v>0</v>
      </c>
      <c r="O428" s="40">
        <v>0</v>
      </c>
      <c r="P428" s="41">
        <v>0</v>
      </c>
      <c r="Q428" s="38">
        <v>0</v>
      </c>
      <c r="R428" s="38">
        <v>0</v>
      </c>
      <c r="S428" s="33"/>
      <c r="T428" s="38">
        <v>0</v>
      </c>
      <c r="U428" s="38">
        <v>0</v>
      </c>
      <c r="V428" s="38">
        <v>0</v>
      </c>
    </row>
    <row r="429" ht="19.5" customHeight="1">
      <c r="A429" t="s" s="67">
        <v>444</v>
      </c>
      <c r="B429" s="42">
        <f>SUM(C429,G429)</f>
        <v>0</v>
      </c>
      <c r="C429" s="43">
        <f>SUM(H429,I429,J429,K429,L429,M429,N429,O429,P429,Q429,R429,S429,T429,U429,V429)</f>
        <v>0</v>
      </c>
      <c r="D429" s="44"/>
      <c r="E429" s="45"/>
      <c r="F429" s="45"/>
      <c r="G429" s="45"/>
      <c r="H429" s="46"/>
      <c r="I429" s="47"/>
      <c r="J429" s="47"/>
      <c r="K429" s="47"/>
      <c r="L429" s="47"/>
      <c r="M429" s="48">
        <v>0</v>
      </c>
      <c r="N429" s="49"/>
      <c r="O429" s="50"/>
      <c r="P429" s="45"/>
      <c r="Q429" s="51">
        <v>0</v>
      </c>
      <c r="R429" s="47"/>
      <c r="S429" s="45"/>
      <c r="T429" s="47"/>
      <c r="U429" s="47"/>
      <c r="V429" s="51">
        <v>0</v>
      </c>
    </row>
    <row r="430" ht="19.5" customHeight="1">
      <c r="A430" t="s" s="71">
        <v>445</v>
      </c>
      <c r="B430" s="42">
        <f>SUM(C430,G430)</f>
        <v>814190</v>
      </c>
      <c r="C430" s="43">
        <f>SUM(H430,I430,J430,K430,L430,M430,N430,O430,P430,Q430,R430,S430,T430,U430,V430)</f>
        <v>809190</v>
      </c>
      <c r="D430" s="44"/>
      <c r="E430" s="6"/>
      <c r="F430" s="6"/>
      <c r="G430" s="53">
        <v>5000</v>
      </c>
      <c r="H430" s="27">
        <v>120000</v>
      </c>
      <c r="I430" s="51">
        <v>60000</v>
      </c>
      <c r="J430" s="51">
        <v>150000</v>
      </c>
      <c r="K430" s="51">
        <v>50000</v>
      </c>
      <c r="L430" s="51">
        <v>27000</v>
      </c>
      <c r="M430" s="48">
        <v>181500</v>
      </c>
      <c r="N430" s="48">
        <v>36090</v>
      </c>
      <c r="O430" s="93">
        <v>96000</v>
      </c>
      <c r="P430" s="53">
        <v>22000</v>
      </c>
      <c r="Q430" s="51">
        <v>47400</v>
      </c>
      <c r="R430" s="51">
        <v>0</v>
      </c>
      <c r="S430" s="6"/>
      <c r="T430" s="51">
        <v>200</v>
      </c>
      <c r="U430" s="51">
        <v>7000</v>
      </c>
      <c r="V430" s="51">
        <v>12000</v>
      </c>
    </row>
    <row r="431" ht="136.5" customHeight="1">
      <c r="A431" t="s" s="67">
        <v>446</v>
      </c>
      <c r="B431" s="42">
        <f>SUM(C431,G431)</f>
        <v>0</v>
      </c>
      <c r="C431" s="43">
        <f>SUM(H431,I431,J431,K431,L431,M431,N431,O431,P431,Q431,R431,S431,T431,U431,V431)</f>
        <v>0</v>
      </c>
      <c r="D431" s="44"/>
      <c r="E431" s="6"/>
      <c r="F431" s="6"/>
      <c r="G431" s="6"/>
      <c r="H431" s="46"/>
      <c r="I431" s="47"/>
      <c r="J431" s="47"/>
      <c r="K431" s="47"/>
      <c r="L431" s="47"/>
      <c r="M431" s="48">
        <v>0</v>
      </c>
      <c r="N431" s="49"/>
      <c r="O431" s="50"/>
      <c r="P431" s="6"/>
      <c r="Q431" s="51">
        <v>0</v>
      </c>
      <c r="R431" s="47"/>
      <c r="S431" s="6"/>
      <c r="T431" s="47"/>
      <c r="U431" s="47"/>
      <c r="V431" s="51">
        <v>0</v>
      </c>
    </row>
    <row r="432" ht="31.5" customHeight="1">
      <c r="A432" t="s" s="52">
        <v>447</v>
      </c>
      <c r="B432" s="42">
        <f>SUM(C432,G432)</f>
        <v>6350</v>
      </c>
      <c r="C432" s="43">
        <f>SUM(H432,I432,J432,K432,L432,M432,N432,O432,P432,Q432,R432,S432,T432,U432,V432)</f>
        <v>6300</v>
      </c>
      <c r="D432" s="44"/>
      <c r="E432" s="6"/>
      <c r="F432" s="6"/>
      <c r="G432" s="53">
        <v>50</v>
      </c>
      <c r="H432" s="27">
        <v>5000</v>
      </c>
      <c r="I432" s="51">
        <v>100</v>
      </c>
      <c r="J432" s="51">
        <v>700</v>
      </c>
      <c r="K432" s="51">
        <v>500</v>
      </c>
      <c r="L432" s="51">
        <v>0</v>
      </c>
      <c r="M432" s="48">
        <v>0</v>
      </c>
      <c r="N432" s="48">
        <v>0</v>
      </c>
      <c r="O432" s="55">
        <v>0</v>
      </c>
      <c r="P432" s="53">
        <v>0</v>
      </c>
      <c r="Q432" s="51">
        <v>0</v>
      </c>
      <c r="R432" s="51">
        <v>0</v>
      </c>
      <c r="S432" s="6"/>
      <c r="T432" s="51">
        <v>0</v>
      </c>
      <c r="U432" s="51">
        <v>0</v>
      </c>
      <c r="V432" s="51">
        <v>0</v>
      </c>
    </row>
    <row r="433" ht="136.5" customHeight="1">
      <c r="A433" t="s" s="52">
        <v>448</v>
      </c>
      <c r="B433" s="42">
        <f>SUM(C433,G433)</f>
        <v>240880</v>
      </c>
      <c r="C433" s="43">
        <f>SUM(H433,I433,J433,K433,L433,M433,N433,O433,P433,Q433,R433,S433,T433,U433,V433)</f>
        <v>240880</v>
      </c>
      <c r="D433" s="44"/>
      <c r="E433" s="6"/>
      <c r="F433" s="6"/>
      <c r="G433" s="6"/>
      <c r="H433" s="27">
        <v>70000</v>
      </c>
      <c r="I433" s="51">
        <v>80000</v>
      </c>
      <c r="J433" s="51">
        <v>50000</v>
      </c>
      <c r="K433" s="51">
        <v>20000</v>
      </c>
      <c r="L433" s="51">
        <v>2000</v>
      </c>
      <c r="M433" s="48">
        <v>1000</v>
      </c>
      <c r="N433" s="48">
        <v>5510</v>
      </c>
      <c r="O433" s="55">
        <v>2000</v>
      </c>
      <c r="P433" s="53">
        <v>2000</v>
      </c>
      <c r="Q433" s="51">
        <v>4370</v>
      </c>
      <c r="R433" s="51">
        <v>0</v>
      </c>
      <c r="S433" s="6"/>
      <c r="T433" s="51">
        <v>0</v>
      </c>
      <c r="U433" s="51">
        <v>4000</v>
      </c>
      <c r="V433" s="51">
        <v>0</v>
      </c>
    </row>
    <row r="434" ht="78" customHeight="1">
      <c r="A434" t="s" s="52">
        <v>449</v>
      </c>
      <c r="B434" s="42">
        <f>SUM(C434,G434)</f>
        <v>11000</v>
      </c>
      <c r="C434" s="43">
        <f>SUM(H434,I434,J434,K434,L434,M434,N434,O434,P434,Q434,R434,S434,T434,U434,V434)</f>
        <v>11000</v>
      </c>
      <c r="D434" s="44"/>
      <c r="E434" s="6"/>
      <c r="F434" s="6"/>
      <c r="G434" s="6"/>
      <c r="H434" s="27">
        <v>0</v>
      </c>
      <c r="I434" s="51">
        <v>5000</v>
      </c>
      <c r="J434" s="51">
        <v>5000</v>
      </c>
      <c r="K434" s="51">
        <v>1000</v>
      </c>
      <c r="L434" s="51">
        <v>0</v>
      </c>
      <c r="M434" s="48">
        <v>0</v>
      </c>
      <c r="N434" s="48">
        <v>0</v>
      </c>
      <c r="O434" s="55">
        <v>0</v>
      </c>
      <c r="P434" s="53">
        <v>0</v>
      </c>
      <c r="Q434" s="51">
        <v>0</v>
      </c>
      <c r="R434" s="51">
        <v>0</v>
      </c>
      <c r="S434" s="6"/>
      <c r="T434" s="51">
        <v>0</v>
      </c>
      <c r="U434" s="51">
        <v>0</v>
      </c>
      <c r="V434" s="51">
        <v>0</v>
      </c>
    </row>
    <row r="435" ht="58.5" customHeight="1">
      <c r="A435" t="s" s="52">
        <v>450</v>
      </c>
      <c r="B435" s="42">
        <f>SUM(C435,G435)</f>
        <v>85395</v>
      </c>
      <c r="C435" s="43">
        <f>SUM(H435,I435,J435,K435,L435,M435,N435,O435,P435,Q435,R435,S435,T435,U435,V435)</f>
        <v>80395</v>
      </c>
      <c r="D435" s="44"/>
      <c r="E435" s="17"/>
      <c r="F435" s="17"/>
      <c r="G435" s="56">
        <v>5000</v>
      </c>
      <c r="H435" s="27">
        <v>10000</v>
      </c>
      <c r="I435" s="51">
        <v>30000</v>
      </c>
      <c r="J435" s="51">
        <v>17000</v>
      </c>
      <c r="K435" s="51">
        <v>15000</v>
      </c>
      <c r="L435" s="51">
        <v>2800</v>
      </c>
      <c r="M435" s="48">
        <v>1900</v>
      </c>
      <c r="N435" s="48">
        <v>1865</v>
      </c>
      <c r="O435" s="55">
        <v>1005</v>
      </c>
      <c r="P435" s="56">
        <v>200</v>
      </c>
      <c r="Q435" s="51">
        <v>600</v>
      </c>
      <c r="R435" s="51">
        <v>0</v>
      </c>
      <c r="S435" s="17"/>
      <c r="T435" s="51">
        <v>25</v>
      </c>
      <c r="U435" s="51">
        <v>0</v>
      </c>
      <c r="V435" s="51">
        <v>0</v>
      </c>
    </row>
    <row r="436" ht="47.25" customHeight="1">
      <c r="A436" t="s" s="21">
        <v>451</v>
      </c>
      <c r="B436" s="22">
        <f>SUM(C436,G436)</f>
        <v>4790</v>
      </c>
      <c r="C436" s="23">
        <f>SUM(H436,I436,J436,K436,L436,M436,N436,O436,P436,Q436,R436,S436,T436,U436,V436)</f>
        <v>4740</v>
      </c>
      <c r="D436" s="36"/>
      <c r="E436" s="25"/>
      <c r="F436" s="25"/>
      <c r="G436" s="37">
        <v>50</v>
      </c>
      <c r="H436" s="27">
        <v>900</v>
      </c>
      <c r="I436" s="28">
        <v>2000</v>
      </c>
      <c r="J436" s="28">
        <v>500</v>
      </c>
      <c r="K436" s="28">
        <v>1200</v>
      </c>
      <c r="L436" s="28">
        <v>90</v>
      </c>
      <c r="M436" s="30">
        <v>0</v>
      </c>
      <c r="N436" s="30">
        <v>0</v>
      </c>
      <c r="O436" s="30">
        <v>0</v>
      </c>
      <c r="P436" s="41">
        <v>50</v>
      </c>
      <c r="Q436" s="28">
        <v>0</v>
      </c>
      <c r="R436" s="28">
        <v>0</v>
      </c>
      <c r="S436" s="33"/>
      <c r="T436" s="28">
        <v>0</v>
      </c>
      <c r="U436" s="28">
        <v>0</v>
      </c>
      <c r="V436" s="28">
        <v>0</v>
      </c>
    </row>
    <row r="437" ht="236.25" customHeight="1">
      <c r="A437" t="s" s="52">
        <v>452</v>
      </c>
      <c r="B437" s="42">
        <f>SUM(C437,G437)</f>
        <v>43735</v>
      </c>
      <c r="C437" s="43">
        <f>SUM(H437,I437,J437,K437,L437,M437,N437,O437,P437,Q437,R437,S437,T437,U437,V437)</f>
        <v>43735</v>
      </c>
      <c r="D437" s="44"/>
      <c r="E437" s="33"/>
      <c r="F437" s="33"/>
      <c r="G437" s="33"/>
      <c r="H437" s="27">
        <v>17000</v>
      </c>
      <c r="I437" s="51">
        <v>10000</v>
      </c>
      <c r="J437" s="51">
        <v>200</v>
      </c>
      <c r="K437" s="51">
        <v>1000</v>
      </c>
      <c r="L437" s="51">
        <v>8000</v>
      </c>
      <c r="M437" s="48">
        <v>1900</v>
      </c>
      <c r="N437" s="48">
        <v>1785</v>
      </c>
      <c r="O437" s="55">
        <v>440</v>
      </c>
      <c r="P437" s="41">
        <v>500</v>
      </c>
      <c r="Q437" s="51">
        <v>2910</v>
      </c>
      <c r="R437" s="51">
        <v>0</v>
      </c>
      <c r="S437" s="33"/>
      <c r="T437" s="51">
        <v>0</v>
      </c>
      <c r="U437" s="51">
        <v>0</v>
      </c>
      <c r="V437" s="51">
        <v>0</v>
      </c>
    </row>
    <row r="438" ht="47.25" customHeight="1">
      <c r="A438" t="s" s="21">
        <v>453</v>
      </c>
      <c r="B438" s="22">
        <f>SUM(C438,G438)</f>
        <v>9500</v>
      </c>
      <c r="C438" s="23">
        <f>SUM(H438,I438,J438,K438,L438,M438,N438,O438,P438,Q438,R438,S438,T438,U438,V438)</f>
        <v>9500</v>
      </c>
      <c r="D438" s="36"/>
      <c r="E438" s="25"/>
      <c r="F438" s="25"/>
      <c r="G438" s="26"/>
      <c r="H438" s="27">
        <v>8000</v>
      </c>
      <c r="I438" s="28">
        <v>600</v>
      </c>
      <c r="J438" s="28">
        <v>600</v>
      </c>
      <c r="K438" s="28">
        <v>300</v>
      </c>
      <c r="L438" s="28">
        <v>0</v>
      </c>
      <c r="M438" s="30">
        <v>0</v>
      </c>
      <c r="N438" s="30">
        <v>0</v>
      </c>
      <c r="O438" s="30">
        <v>0</v>
      </c>
      <c r="P438" s="41">
        <v>0</v>
      </c>
      <c r="Q438" s="28">
        <v>0</v>
      </c>
      <c r="R438" s="28">
        <v>0</v>
      </c>
      <c r="S438" s="33"/>
      <c r="T438" s="28">
        <v>0</v>
      </c>
      <c r="U438" s="28">
        <v>0</v>
      </c>
      <c r="V438" s="28">
        <v>0</v>
      </c>
    </row>
    <row r="439" ht="126" customHeight="1">
      <c r="A439" t="s" s="52">
        <v>454</v>
      </c>
      <c r="B439" s="42">
        <f>SUM(C439,G439)</f>
        <v>72025</v>
      </c>
      <c r="C439" s="43">
        <f>SUM(H439,I439,J439,K439,L439,M439,N439,O439,P439,Q439,R439,S439,T439,U439,V439)</f>
        <v>72025</v>
      </c>
      <c r="D439" s="44"/>
      <c r="E439" s="33"/>
      <c r="F439" s="33"/>
      <c r="G439" s="33"/>
      <c r="H439" s="27">
        <v>30000</v>
      </c>
      <c r="I439" s="51">
        <v>20000</v>
      </c>
      <c r="J439" s="51">
        <v>15000</v>
      </c>
      <c r="K439" s="51">
        <v>6000</v>
      </c>
      <c r="L439" s="51">
        <v>0</v>
      </c>
      <c r="M439" s="48">
        <v>0</v>
      </c>
      <c r="N439" s="48">
        <v>0</v>
      </c>
      <c r="O439" s="55">
        <v>0</v>
      </c>
      <c r="P439" s="41">
        <v>1000</v>
      </c>
      <c r="Q439" s="51">
        <v>0</v>
      </c>
      <c r="R439" s="51">
        <v>0</v>
      </c>
      <c r="S439" s="33"/>
      <c r="T439" s="51">
        <v>25</v>
      </c>
      <c r="U439" s="51">
        <v>0</v>
      </c>
      <c r="V439" s="51">
        <v>0</v>
      </c>
    </row>
    <row r="440" ht="39" customHeight="1">
      <c r="A440" t="s" s="21">
        <v>455</v>
      </c>
      <c r="B440" s="22">
        <f>SUM(C440,G440)</f>
        <v>5600</v>
      </c>
      <c r="C440" s="23">
        <f>SUM(H440,I440,J440,K440,L440,M440,N440,O440,P440,Q440,R440,S440,T440,U440,V440)</f>
        <v>5600</v>
      </c>
      <c r="D440" s="36"/>
      <c r="E440" s="25"/>
      <c r="F440" s="25"/>
      <c r="G440" s="26"/>
      <c r="H440" s="27">
        <v>3000</v>
      </c>
      <c r="I440" s="28">
        <v>50</v>
      </c>
      <c r="J440" s="28">
        <v>2500</v>
      </c>
      <c r="K440" s="28">
        <v>50</v>
      </c>
      <c r="L440" s="28">
        <v>0</v>
      </c>
      <c r="M440" s="30">
        <v>0</v>
      </c>
      <c r="N440" s="30">
        <v>0</v>
      </c>
      <c r="O440" s="30">
        <v>0</v>
      </c>
      <c r="P440" s="41">
        <v>0</v>
      </c>
      <c r="Q440" s="28">
        <v>0</v>
      </c>
      <c r="R440" s="28">
        <v>0</v>
      </c>
      <c r="S440" s="33"/>
      <c r="T440" s="28">
        <v>0</v>
      </c>
      <c r="U440" s="28">
        <v>0</v>
      </c>
      <c r="V440" s="28">
        <v>0</v>
      </c>
    </row>
    <row r="441" ht="31.5" customHeight="1">
      <c r="A441" t="s" s="52">
        <v>456</v>
      </c>
      <c r="B441" s="42">
        <f>SUM(C441,G441)</f>
        <v>470655</v>
      </c>
      <c r="C441" s="43">
        <f>SUM(H441,I441,J441,K441,L441,M441,N441,O441,P441,Q441,R441,S441,T441,U441,V441)</f>
        <v>467655</v>
      </c>
      <c r="D441" s="44"/>
      <c r="E441" s="45"/>
      <c r="F441" s="45"/>
      <c r="G441" s="58">
        <v>3000</v>
      </c>
      <c r="H441" s="27">
        <v>150000</v>
      </c>
      <c r="I441" s="51">
        <v>80000</v>
      </c>
      <c r="J441" s="51">
        <v>150000</v>
      </c>
      <c r="K441" s="51">
        <v>50000</v>
      </c>
      <c r="L441" s="51">
        <v>11000</v>
      </c>
      <c r="M441" s="48">
        <v>4000</v>
      </c>
      <c r="N441" s="48">
        <v>8710</v>
      </c>
      <c r="O441" s="55">
        <v>4480</v>
      </c>
      <c r="P441" s="58">
        <v>2000</v>
      </c>
      <c r="Q441" s="51">
        <v>7115</v>
      </c>
      <c r="R441" s="51">
        <v>300</v>
      </c>
      <c r="S441" s="45"/>
      <c r="T441" s="51">
        <v>25</v>
      </c>
      <c r="U441" s="51">
        <v>0</v>
      </c>
      <c r="V441" s="51">
        <v>25</v>
      </c>
    </row>
    <row r="442" ht="47.25" customHeight="1">
      <c r="A442" t="s" s="52">
        <v>457</v>
      </c>
      <c r="B442" s="42">
        <f>SUM(C442,G442)</f>
        <v>92400</v>
      </c>
      <c r="C442" s="43">
        <f>SUM(H442,I442,J442,K442,L442,M442,N442,O442,P442,Q442,R442,S442,T442,U442,V442)</f>
        <v>92400</v>
      </c>
      <c r="D442" s="44"/>
      <c r="E442" s="6"/>
      <c r="F442" s="6"/>
      <c r="G442" s="6"/>
      <c r="H442" s="27">
        <v>30000</v>
      </c>
      <c r="I442" s="51">
        <v>25000</v>
      </c>
      <c r="J442" s="51">
        <v>25000</v>
      </c>
      <c r="K442" s="51">
        <v>8000</v>
      </c>
      <c r="L442" s="51">
        <v>2400</v>
      </c>
      <c r="M442" s="48">
        <v>0</v>
      </c>
      <c r="N442" s="48">
        <v>0</v>
      </c>
      <c r="O442" s="55">
        <v>0</v>
      </c>
      <c r="P442" s="53">
        <v>2000</v>
      </c>
      <c r="Q442" s="51">
        <v>0</v>
      </c>
      <c r="R442" s="51">
        <v>0</v>
      </c>
      <c r="S442" s="6"/>
      <c r="T442" s="51">
        <v>0</v>
      </c>
      <c r="U442" s="51">
        <v>0</v>
      </c>
      <c r="V442" s="51">
        <v>0</v>
      </c>
    </row>
    <row r="443" ht="63" customHeight="1">
      <c r="A443" t="s" s="52">
        <v>458</v>
      </c>
      <c r="B443" s="42">
        <f>SUM(C443,G443)</f>
        <v>93120</v>
      </c>
      <c r="C443" s="43">
        <f>SUM(H443,I443,J443,K443,L443,M443,N443,O443,P443,Q443,R443,S443,T443,U443,V443)</f>
        <v>93120</v>
      </c>
      <c r="D443" s="44"/>
      <c r="E443" s="6"/>
      <c r="F443" s="6"/>
      <c r="G443" s="6"/>
      <c r="H443" s="27">
        <v>1000</v>
      </c>
      <c r="I443" s="51">
        <v>50000</v>
      </c>
      <c r="J443" s="51">
        <v>12000</v>
      </c>
      <c r="K443" s="51">
        <v>30000</v>
      </c>
      <c r="L443" s="51">
        <v>120</v>
      </c>
      <c r="M443" s="48">
        <v>0</v>
      </c>
      <c r="N443" s="48">
        <v>0</v>
      </c>
      <c r="O443" s="55">
        <v>0</v>
      </c>
      <c r="P443" s="53">
        <v>0</v>
      </c>
      <c r="Q443" s="51">
        <v>0</v>
      </c>
      <c r="R443" s="51">
        <v>0</v>
      </c>
      <c r="S443" s="6"/>
      <c r="T443" s="51">
        <v>0</v>
      </c>
      <c r="U443" s="51">
        <v>0</v>
      </c>
      <c r="V443" s="51">
        <v>0</v>
      </c>
    </row>
    <row r="444" ht="47.25" customHeight="1">
      <c r="A444" t="s" s="52">
        <v>459</v>
      </c>
      <c r="B444" s="42">
        <f>SUM(C444,G444)</f>
        <v>159710</v>
      </c>
      <c r="C444" s="43">
        <f>SUM(H444,I444,J444,K444,L444,M444,N444,O444,P444,Q444,R444,S444,T444,U444,V444)</f>
        <v>157710</v>
      </c>
      <c r="D444" s="44"/>
      <c r="E444" s="6"/>
      <c r="F444" s="6"/>
      <c r="G444" s="53">
        <v>2000</v>
      </c>
      <c r="H444" s="27">
        <v>50000</v>
      </c>
      <c r="I444" s="51">
        <v>25000</v>
      </c>
      <c r="J444" s="51">
        <v>50000</v>
      </c>
      <c r="K444" s="51">
        <v>12000</v>
      </c>
      <c r="L444" s="51">
        <v>3000</v>
      </c>
      <c r="M444" s="48">
        <v>4000</v>
      </c>
      <c r="N444" s="48">
        <v>4725</v>
      </c>
      <c r="O444" s="55">
        <v>1850</v>
      </c>
      <c r="P444" s="53">
        <v>2000</v>
      </c>
      <c r="Q444" s="51">
        <v>5110</v>
      </c>
      <c r="R444" s="51">
        <v>0</v>
      </c>
      <c r="S444" s="6"/>
      <c r="T444" s="51">
        <v>25</v>
      </c>
      <c r="U444" s="51">
        <v>0</v>
      </c>
      <c r="V444" s="51">
        <v>0</v>
      </c>
    </row>
    <row r="445" ht="136.5" customHeight="1">
      <c r="A445" t="s" s="52">
        <v>460</v>
      </c>
      <c r="B445" s="42">
        <f>SUM(C445,G445)</f>
        <v>150</v>
      </c>
      <c r="C445" s="43">
        <f>SUM(H445,I445,J445,K445,L445,M445,N445,O445,P445,Q445,R445,S445,T445,U445,V445)</f>
        <v>150</v>
      </c>
      <c r="D445" s="44"/>
      <c r="E445" s="6"/>
      <c r="F445" s="6"/>
      <c r="G445" s="6"/>
      <c r="H445" s="27">
        <v>0</v>
      </c>
      <c r="I445" s="51">
        <v>50</v>
      </c>
      <c r="J445" s="51">
        <v>100</v>
      </c>
      <c r="K445" s="51">
        <v>0</v>
      </c>
      <c r="L445" s="51">
        <v>0</v>
      </c>
      <c r="M445" s="48">
        <v>0</v>
      </c>
      <c r="N445" s="48">
        <v>0</v>
      </c>
      <c r="O445" s="55">
        <v>0</v>
      </c>
      <c r="P445" s="53">
        <v>0</v>
      </c>
      <c r="Q445" s="51">
        <v>0</v>
      </c>
      <c r="R445" s="51">
        <v>0</v>
      </c>
      <c r="S445" s="6"/>
      <c r="T445" s="51">
        <v>0</v>
      </c>
      <c r="U445" s="51">
        <v>0</v>
      </c>
      <c r="V445" s="51">
        <v>0</v>
      </c>
    </row>
    <row r="446" ht="31.5" customHeight="1">
      <c r="A446" t="s" s="88">
        <v>461</v>
      </c>
      <c r="B446" s="42">
        <f>SUM(C446,G446)</f>
        <v>0</v>
      </c>
      <c r="C446" s="43">
        <f>SUM(H446,I446,J446,K446,L446,M446,N446,O446,P446,Q446,R446,S446,T446,U446,V446)</f>
        <v>0</v>
      </c>
      <c r="D446" s="44"/>
      <c r="E446" s="6"/>
      <c r="F446" s="6"/>
      <c r="G446" s="6"/>
      <c r="H446" s="46"/>
      <c r="I446" s="47"/>
      <c r="J446" s="47"/>
      <c r="K446" s="47"/>
      <c r="L446" s="47"/>
      <c r="M446" s="48">
        <v>0</v>
      </c>
      <c r="N446" s="49"/>
      <c r="O446" s="50"/>
      <c r="P446" s="6"/>
      <c r="Q446" s="51">
        <v>0</v>
      </c>
      <c r="R446" s="47"/>
      <c r="S446" s="6"/>
      <c r="T446" s="47"/>
      <c r="U446" s="47"/>
      <c r="V446" s="51">
        <v>0</v>
      </c>
    </row>
    <row r="447" ht="47.25" customHeight="1">
      <c r="A447" t="s" s="52">
        <v>462</v>
      </c>
      <c r="B447" s="42">
        <f>SUM(C447,G447)</f>
        <v>210</v>
      </c>
      <c r="C447" s="43">
        <f>SUM(H447,I447,J447,K447,L447,M447,N447,O447,P447,Q447,R447,S447,T447,U447,V447)</f>
        <v>210</v>
      </c>
      <c r="D447" s="44"/>
      <c r="E447" s="6"/>
      <c r="F447" s="6"/>
      <c r="G447" s="6"/>
      <c r="H447" s="27">
        <v>0</v>
      </c>
      <c r="I447" s="51">
        <v>120</v>
      </c>
      <c r="J447" s="51">
        <v>90</v>
      </c>
      <c r="K447" s="51">
        <v>0</v>
      </c>
      <c r="L447" s="51">
        <v>0</v>
      </c>
      <c r="M447" s="48">
        <v>0</v>
      </c>
      <c r="N447" s="48">
        <v>0</v>
      </c>
      <c r="O447" s="55">
        <v>0</v>
      </c>
      <c r="P447" s="53">
        <v>0</v>
      </c>
      <c r="Q447" s="51">
        <v>0</v>
      </c>
      <c r="R447" s="51">
        <v>0</v>
      </c>
      <c r="S447" s="6"/>
      <c r="T447" s="51">
        <v>0</v>
      </c>
      <c r="U447" s="51">
        <v>0</v>
      </c>
      <c r="V447" s="51">
        <v>0</v>
      </c>
    </row>
    <row r="448" ht="47.25" customHeight="1">
      <c r="A448" t="s" s="116">
        <v>463</v>
      </c>
      <c r="B448" s="42">
        <f>SUM(C448,G448)</f>
        <v>330</v>
      </c>
      <c r="C448" s="43">
        <f>SUM(H448,I448,J448,K448,L448,M448,N448,O448,P448,Q448,R448,S448,T448,U448,V448)</f>
        <v>330</v>
      </c>
      <c r="D448" s="44"/>
      <c r="E448" s="6"/>
      <c r="F448" s="6"/>
      <c r="G448" s="6"/>
      <c r="H448" s="27">
        <v>0</v>
      </c>
      <c r="I448" s="51">
        <v>240</v>
      </c>
      <c r="J448" s="51">
        <v>90</v>
      </c>
      <c r="K448" s="51">
        <v>0</v>
      </c>
      <c r="L448" s="51">
        <v>0</v>
      </c>
      <c r="M448" s="48">
        <v>0</v>
      </c>
      <c r="N448" s="48">
        <v>0</v>
      </c>
      <c r="O448" s="55">
        <v>0</v>
      </c>
      <c r="P448" s="53">
        <v>0</v>
      </c>
      <c r="Q448" s="51">
        <v>0</v>
      </c>
      <c r="R448" s="51">
        <v>0</v>
      </c>
      <c r="S448" s="6"/>
      <c r="T448" s="51">
        <v>0</v>
      </c>
      <c r="U448" s="51">
        <v>0</v>
      </c>
      <c r="V448" s="51">
        <v>0</v>
      </c>
    </row>
    <row r="449" ht="409.5" customHeight="1">
      <c r="A449" t="s" s="116">
        <v>464</v>
      </c>
      <c r="B449" s="42">
        <f>SUM(C449,G449)</f>
        <v>5</v>
      </c>
      <c r="C449" s="43">
        <f>SUM(H449,I449,J449,K449,L449,M449,N449,O449,P449,Q449,R449,S449,T449,U449,V449)</f>
        <v>5</v>
      </c>
      <c r="D449" s="44"/>
      <c r="E449" s="6"/>
      <c r="F449" s="6"/>
      <c r="G449" s="6"/>
      <c r="H449" s="27">
        <v>0</v>
      </c>
      <c r="I449" s="51">
        <v>5</v>
      </c>
      <c r="J449" s="51">
        <v>0</v>
      </c>
      <c r="K449" s="51">
        <v>0</v>
      </c>
      <c r="L449" s="51">
        <v>0</v>
      </c>
      <c r="M449" s="48">
        <v>0</v>
      </c>
      <c r="N449" s="48">
        <v>0</v>
      </c>
      <c r="O449" s="55">
        <v>0</v>
      </c>
      <c r="P449" s="53">
        <v>0</v>
      </c>
      <c r="Q449" s="51">
        <v>0</v>
      </c>
      <c r="R449" s="51">
        <v>0</v>
      </c>
      <c r="S449" s="6"/>
      <c r="T449" s="51">
        <v>0</v>
      </c>
      <c r="U449" s="51">
        <v>0</v>
      </c>
      <c r="V449" s="51">
        <v>0</v>
      </c>
    </row>
    <row r="450" ht="19.5" customHeight="1">
      <c r="A450" t="s" s="88">
        <v>465</v>
      </c>
      <c r="B450" s="42">
        <f>SUM(C450,G450)</f>
        <v>0</v>
      </c>
      <c r="C450" s="43">
        <f>SUM(H450,I450,J450,K450,L450,M450,N450,O450,P450,Q450,R450,S450,T450,U450,V450)</f>
        <v>0</v>
      </c>
      <c r="D450" s="44"/>
      <c r="E450" s="6"/>
      <c r="F450" s="6"/>
      <c r="G450" s="6"/>
      <c r="H450" s="46"/>
      <c r="I450" s="47"/>
      <c r="J450" s="51">
        <v>0</v>
      </c>
      <c r="K450" s="47"/>
      <c r="L450" s="47"/>
      <c r="M450" s="48">
        <v>0</v>
      </c>
      <c r="N450" s="49"/>
      <c r="O450" s="55">
        <v>0</v>
      </c>
      <c r="P450" s="6"/>
      <c r="Q450" s="51">
        <v>0</v>
      </c>
      <c r="R450" s="47"/>
      <c r="S450" s="6"/>
      <c r="T450" s="47"/>
      <c r="U450" s="47"/>
      <c r="V450" s="51">
        <v>0</v>
      </c>
    </row>
    <row r="451" ht="39" customHeight="1">
      <c r="A451" t="s" s="52">
        <v>466</v>
      </c>
      <c r="B451" s="42">
        <f>SUM(C451,G451)</f>
        <v>0</v>
      </c>
      <c r="C451" s="43">
        <f>SUM(H451,I451,J451,K451,L451,M451,N451,O451,P451,Q451,R451,S451,T451,U451,V451)</f>
        <v>0</v>
      </c>
      <c r="D451" s="44"/>
      <c r="E451" s="6"/>
      <c r="F451" s="6"/>
      <c r="G451" s="6"/>
      <c r="H451" s="27">
        <v>0</v>
      </c>
      <c r="I451" s="51">
        <v>0</v>
      </c>
      <c r="J451" s="51">
        <v>0</v>
      </c>
      <c r="K451" s="51">
        <v>0</v>
      </c>
      <c r="L451" s="51">
        <v>0</v>
      </c>
      <c r="M451" s="48">
        <v>0</v>
      </c>
      <c r="N451" s="48">
        <v>0</v>
      </c>
      <c r="O451" s="55">
        <v>0</v>
      </c>
      <c r="P451" s="53">
        <v>0</v>
      </c>
      <c r="Q451" s="51">
        <v>0</v>
      </c>
      <c r="R451" s="51">
        <v>0</v>
      </c>
      <c r="S451" s="6"/>
      <c r="T451" s="51">
        <v>0</v>
      </c>
      <c r="U451" s="51">
        <v>0</v>
      </c>
      <c r="V451" s="51">
        <v>0</v>
      </c>
    </row>
    <row r="452" ht="19.5" customHeight="1">
      <c r="A452" t="s" s="88">
        <v>467</v>
      </c>
      <c r="B452" s="42">
        <f>SUM(C452,G452)</f>
        <v>0</v>
      </c>
      <c r="C452" s="43">
        <f>SUM(H452,I452,J452,K452,L452,M452,N452,O452,P452,Q452,R452,S452,T452,U452,V452)</f>
        <v>0</v>
      </c>
      <c r="D452" s="44"/>
      <c r="E452" s="17"/>
      <c r="F452" s="17"/>
      <c r="G452" s="17"/>
      <c r="H452" s="46"/>
      <c r="I452" s="47"/>
      <c r="J452" s="47"/>
      <c r="K452" s="47"/>
      <c r="L452" s="47"/>
      <c r="M452" s="48">
        <v>0</v>
      </c>
      <c r="N452" s="49"/>
      <c r="O452" s="50"/>
      <c r="P452" s="17"/>
      <c r="Q452" s="51">
        <v>0</v>
      </c>
      <c r="R452" s="47"/>
      <c r="S452" s="17"/>
      <c r="T452" s="47"/>
      <c r="U452" s="47"/>
      <c r="V452" s="51">
        <v>0</v>
      </c>
    </row>
    <row r="453" ht="253.5" customHeight="1">
      <c r="A453" t="s" s="21">
        <v>468</v>
      </c>
      <c r="B453" s="22">
        <f>SUM(C453,G453)</f>
        <v>128350</v>
      </c>
      <c r="C453" s="23">
        <f>SUM(H453,I453,J453,K453,L453,M453,N453,O453,P453,Q453,R453,S453,T453,U453,V453)</f>
        <v>128350</v>
      </c>
      <c r="D453" s="36"/>
      <c r="E453" s="25"/>
      <c r="F453" s="25"/>
      <c r="G453" s="26"/>
      <c r="H453" s="27">
        <v>1000</v>
      </c>
      <c r="I453" s="28">
        <v>100</v>
      </c>
      <c r="J453" s="28">
        <v>800</v>
      </c>
      <c r="K453" s="28">
        <v>6000</v>
      </c>
      <c r="L453" s="28">
        <v>12000</v>
      </c>
      <c r="M453" s="30">
        <v>20000</v>
      </c>
      <c r="N453" s="30">
        <v>35450</v>
      </c>
      <c r="O453" s="30">
        <v>28900</v>
      </c>
      <c r="P453" s="41">
        <v>17000</v>
      </c>
      <c r="Q453" s="28">
        <v>7100</v>
      </c>
      <c r="R453" s="28">
        <v>0</v>
      </c>
      <c r="S453" s="33"/>
      <c r="T453" s="28">
        <v>0</v>
      </c>
      <c r="U453" s="28">
        <v>0</v>
      </c>
      <c r="V453" s="28">
        <v>0</v>
      </c>
    </row>
    <row r="454" ht="31.5" customHeight="1">
      <c r="A454" t="s" s="10">
        <v>469</v>
      </c>
      <c r="B454" s="42">
        <f>SUM(C454,G454)</f>
        <v>0</v>
      </c>
      <c r="C454" s="43">
        <f>SUM(H454,I454,J454,K454,L454,M454,N454,O454,P454,Q454,R454,S454,T454,U454,V454)</f>
        <v>0</v>
      </c>
      <c r="D454" s="44"/>
      <c r="E454" s="45"/>
      <c r="F454" s="45"/>
      <c r="G454" s="45"/>
      <c r="H454" s="46"/>
      <c r="I454" s="47"/>
      <c r="J454" s="47"/>
      <c r="K454" s="47"/>
      <c r="L454" s="47"/>
      <c r="M454" s="48">
        <v>0</v>
      </c>
      <c r="N454" s="49"/>
      <c r="O454" s="55">
        <v>0</v>
      </c>
      <c r="P454" s="45"/>
      <c r="Q454" s="51">
        <v>0</v>
      </c>
      <c r="R454" s="47"/>
      <c r="S454" s="45"/>
      <c r="T454" s="47"/>
      <c r="U454" s="47"/>
      <c r="V454" s="51">
        <v>0</v>
      </c>
    </row>
    <row r="455" ht="31.5" customHeight="1">
      <c r="A455" t="s" s="88">
        <v>470</v>
      </c>
      <c r="B455" s="42">
        <f>SUM(C455,G455)</f>
        <v>0</v>
      </c>
      <c r="C455" s="43">
        <f>SUM(H455,I455,J455,K455,L455,M455,N455,O455,P455,Q455,R455,S455,T455,U455,V455)</f>
        <v>0</v>
      </c>
      <c r="D455" s="44"/>
      <c r="E455" s="6"/>
      <c r="F455" s="6"/>
      <c r="G455" s="6"/>
      <c r="H455" s="46"/>
      <c r="I455" s="47"/>
      <c r="J455" s="47"/>
      <c r="K455" s="47"/>
      <c r="L455" s="47"/>
      <c r="M455" s="48">
        <v>0</v>
      </c>
      <c r="N455" s="49"/>
      <c r="O455" s="50"/>
      <c r="P455" s="6"/>
      <c r="Q455" s="51">
        <v>0</v>
      </c>
      <c r="R455" s="47"/>
      <c r="S455" s="6"/>
      <c r="T455" s="47"/>
      <c r="U455" s="47"/>
      <c r="V455" s="51">
        <v>0</v>
      </c>
    </row>
    <row r="456" ht="346.5" customHeight="1">
      <c r="A456" t="s" s="88">
        <v>471</v>
      </c>
      <c r="B456" s="42">
        <f>SUM(C456,G456)</f>
        <v>0</v>
      </c>
      <c r="C456" s="43">
        <f>SUM(H456,I456,J456,K456,L456,M456,N456,O456,P456,Q456,R456,S456,T456,U456,V456)</f>
        <v>0</v>
      </c>
      <c r="D456" s="44"/>
      <c r="E456" s="6"/>
      <c r="F456" s="6"/>
      <c r="G456" s="6"/>
      <c r="H456" s="46"/>
      <c r="I456" s="47"/>
      <c r="J456" s="47"/>
      <c r="K456" s="47"/>
      <c r="L456" s="47"/>
      <c r="M456" s="48">
        <v>0</v>
      </c>
      <c r="N456" s="49"/>
      <c r="O456" s="50"/>
      <c r="P456" s="6"/>
      <c r="Q456" s="51">
        <v>0</v>
      </c>
      <c r="R456" s="47"/>
      <c r="S456" s="64"/>
      <c r="T456" s="47"/>
      <c r="U456" s="51">
        <v>0</v>
      </c>
      <c r="V456" s="51">
        <v>0</v>
      </c>
    </row>
    <row r="457" ht="31.5" customHeight="1">
      <c r="A457" t="s" s="52">
        <v>472</v>
      </c>
      <c r="B457" s="42">
        <f>SUM(C457,G457)</f>
        <v>88200</v>
      </c>
      <c r="C457" s="43">
        <f>SUM(H457,I457,J457,K457,L457,M457,N457,O457,P457,Q457,R457,S457,T457,U457,V457)</f>
        <v>88200</v>
      </c>
      <c r="D457" s="44"/>
      <c r="E457" s="6"/>
      <c r="F457" s="6"/>
      <c r="G457" s="6"/>
      <c r="H457" s="27">
        <v>50000</v>
      </c>
      <c r="I457" s="51">
        <v>200</v>
      </c>
      <c r="J457" s="51">
        <v>7000</v>
      </c>
      <c r="K457" s="51">
        <v>16000</v>
      </c>
      <c r="L457" s="51">
        <v>4000</v>
      </c>
      <c r="M457" s="48">
        <v>0</v>
      </c>
      <c r="N457" s="48">
        <v>0</v>
      </c>
      <c r="O457" s="55">
        <v>0</v>
      </c>
      <c r="P457" s="53">
        <v>0</v>
      </c>
      <c r="Q457" s="51">
        <v>0</v>
      </c>
      <c r="R457" s="51">
        <v>0</v>
      </c>
      <c r="S457" s="27">
        <v>10000</v>
      </c>
      <c r="T457" s="51">
        <v>0</v>
      </c>
      <c r="U457" s="51">
        <v>0</v>
      </c>
      <c r="V457" s="51">
        <v>1000</v>
      </c>
    </row>
    <row r="458" ht="78" customHeight="1">
      <c r="A458" t="s" s="52">
        <v>473</v>
      </c>
      <c r="B458" s="42">
        <f>SUM(C458,G458)</f>
        <v>197174</v>
      </c>
      <c r="C458" s="43">
        <f>SUM(H458,I458,J458,K458,L458,M458,N458,O458,P458,Q458,R458,S458,T458,U458,V458)</f>
        <v>192174</v>
      </c>
      <c r="D458" s="44"/>
      <c r="E458" s="6"/>
      <c r="F458" s="6"/>
      <c r="G458" s="53">
        <v>5000</v>
      </c>
      <c r="H458" s="27">
        <v>25000</v>
      </c>
      <c r="I458" s="51">
        <v>12000</v>
      </c>
      <c r="J458" s="51">
        <v>37000</v>
      </c>
      <c r="K458" s="51">
        <v>55000</v>
      </c>
      <c r="L458" s="51">
        <v>2600</v>
      </c>
      <c r="M458" s="48">
        <v>10500</v>
      </c>
      <c r="N458" s="48">
        <v>9092</v>
      </c>
      <c r="O458" s="55">
        <v>11800</v>
      </c>
      <c r="P458" s="53">
        <v>9100</v>
      </c>
      <c r="Q458" s="51">
        <v>19322</v>
      </c>
      <c r="R458" s="51">
        <v>0</v>
      </c>
      <c r="S458" s="27">
        <v>500</v>
      </c>
      <c r="T458" s="51">
        <v>10</v>
      </c>
      <c r="U458" s="51">
        <v>150</v>
      </c>
      <c r="V458" s="51">
        <v>100</v>
      </c>
    </row>
    <row r="459" ht="19.5" customHeight="1">
      <c r="A459" t="s" s="52">
        <v>474</v>
      </c>
      <c r="B459" s="42">
        <f>SUM(C459,G459)</f>
        <v>1412460</v>
      </c>
      <c r="C459" s="43">
        <f>SUM(H459,I459,J459,K459,L459,M459,N459,O459,P459,Q459,R459,S459,T459,U459,V459)</f>
        <v>1412460</v>
      </c>
      <c r="D459" s="44"/>
      <c r="E459" s="17"/>
      <c r="F459" s="17"/>
      <c r="G459" s="17"/>
      <c r="H459" s="27">
        <v>100000</v>
      </c>
      <c r="I459" s="51">
        <v>24200</v>
      </c>
      <c r="J459" s="51">
        <v>100000</v>
      </c>
      <c r="K459" s="51">
        <v>200000</v>
      </c>
      <c r="L459" s="51">
        <v>120000</v>
      </c>
      <c r="M459" s="48">
        <v>420000</v>
      </c>
      <c r="N459" s="48">
        <v>130400</v>
      </c>
      <c r="O459" s="55">
        <v>125000</v>
      </c>
      <c r="P459" s="56">
        <v>74000</v>
      </c>
      <c r="Q459" s="51">
        <v>95500</v>
      </c>
      <c r="R459" s="51">
        <v>360</v>
      </c>
      <c r="S459" s="27">
        <v>5000</v>
      </c>
      <c r="T459" s="51">
        <v>0</v>
      </c>
      <c r="U459" s="51">
        <v>0</v>
      </c>
      <c r="V459" s="51">
        <v>18000</v>
      </c>
    </row>
    <row r="460" ht="31.5" customHeight="1">
      <c r="A460" t="s" s="10">
        <v>475</v>
      </c>
      <c r="B460" s="34">
        <f>SUM(C460,G460)</f>
        <v>130270</v>
      </c>
      <c r="C460" s="35">
        <f>SUM(H460,I460,J460,K460,L460,M460,N460,O460,P460,Q460,R460,S460,T460,U460,V460)</f>
        <v>130270</v>
      </c>
      <c r="D460" s="36"/>
      <c r="E460" s="25"/>
      <c r="F460" s="25"/>
      <c r="G460" s="26"/>
      <c r="H460" s="27">
        <v>8000</v>
      </c>
      <c r="I460" s="38">
        <v>4000</v>
      </c>
      <c r="J460" s="38">
        <v>4000</v>
      </c>
      <c r="K460" s="38">
        <v>8000</v>
      </c>
      <c r="L460" s="38">
        <v>2500</v>
      </c>
      <c r="M460" s="40">
        <v>32970</v>
      </c>
      <c r="N460" s="40">
        <v>15000</v>
      </c>
      <c r="O460" s="40">
        <v>18700</v>
      </c>
      <c r="P460" s="41">
        <v>17500</v>
      </c>
      <c r="Q460" s="38">
        <v>18800</v>
      </c>
      <c r="R460" s="38">
        <v>0</v>
      </c>
      <c r="S460" s="27">
        <v>0</v>
      </c>
      <c r="T460" s="38">
        <v>0</v>
      </c>
      <c r="U460" s="38">
        <v>0</v>
      </c>
      <c r="V460" s="38">
        <v>800</v>
      </c>
    </row>
    <row r="461" ht="19.5" customHeight="1">
      <c r="A461" t="s" s="52">
        <v>476</v>
      </c>
      <c r="B461" s="42">
        <f>SUM(C461,G461)</f>
        <v>13460</v>
      </c>
      <c r="C461" s="43">
        <f>SUM(H461,I461,J461,K461,L461,M461,N461,O461,P461,Q461,R461,S461,T461,U461,V461)</f>
        <v>13460</v>
      </c>
      <c r="D461" s="44"/>
      <c r="E461" s="45"/>
      <c r="F461" s="45"/>
      <c r="G461" s="45"/>
      <c r="H461" s="27">
        <v>0</v>
      </c>
      <c r="I461" s="51">
        <v>0</v>
      </c>
      <c r="J461" s="51">
        <v>300</v>
      </c>
      <c r="K461" s="51">
        <v>100</v>
      </c>
      <c r="L461" s="51">
        <v>150</v>
      </c>
      <c r="M461" s="48">
        <v>5100</v>
      </c>
      <c r="N461" s="48">
        <v>3755</v>
      </c>
      <c r="O461" s="55">
        <v>2445</v>
      </c>
      <c r="P461" s="58">
        <v>500</v>
      </c>
      <c r="Q461" s="51">
        <v>810</v>
      </c>
      <c r="R461" s="51">
        <v>0</v>
      </c>
      <c r="S461" s="27">
        <v>300</v>
      </c>
      <c r="T461" s="51">
        <v>0</v>
      </c>
      <c r="U461" s="51">
        <v>0</v>
      </c>
      <c r="V461" s="51">
        <v>0</v>
      </c>
    </row>
    <row r="462" ht="19.5" customHeight="1">
      <c r="A462" t="s" s="52">
        <v>477</v>
      </c>
      <c r="B462" s="42">
        <f>SUM(C462,G462)</f>
        <v>837700</v>
      </c>
      <c r="C462" s="43">
        <f>SUM(H462,I462,J462,K462,L462,M462,N462,O462,P462,Q462,R462,S462,T462,U462,V462)</f>
        <v>837700</v>
      </c>
      <c r="D462" s="44"/>
      <c r="E462" s="6"/>
      <c r="F462" s="6"/>
      <c r="G462" s="6"/>
      <c r="H462" s="27">
        <v>100000</v>
      </c>
      <c r="I462" s="51">
        <v>0</v>
      </c>
      <c r="J462" s="51">
        <v>7000</v>
      </c>
      <c r="K462" s="51">
        <v>80000</v>
      </c>
      <c r="L462" s="51">
        <v>4900</v>
      </c>
      <c r="M462" s="48">
        <v>145000</v>
      </c>
      <c r="N462" s="48">
        <v>127200</v>
      </c>
      <c r="O462" s="55">
        <v>175000</v>
      </c>
      <c r="P462" s="53">
        <v>66000</v>
      </c>
      <c r="Q462" s="51">
        <v>94600</v>
      </c>
      <c r="R462" s="51">
        <v>0</v>
      </c>
      <c r="S462" s="27">
        <v>35000</v>
      </c>
      <c r="T462" s="51">
        <v>0</v>
      </c>
      <c r="U462" s="51">
        <v>0</v>
      </c>
      <c r="V462" s="51">
        <v>3000</v>
      </c>
    </row>
    <row r="463" ht="19.5" customHeight="1">
      <c r="A463" t="s" s="88">
        <v>478</v>
      </c>
      <c r="B463" s="42">
        <f>SUM(C463,G463)</f>
        <v>0</v>
      </c>
      <c r="C463" s="43">
        <f>SUM(H463,I463,J463,K463,L463,M463,N463,O463,P463,Q463,R463,S463,T463,U463,V463)</f>
        <v>0</v>
      </c>
      <c r="D463" s="44"/>
      <c r="E463" s="17"/>
      <c r="F463" s="17"/>
      <c r="G463" s="18"/>
      <c r="H463" s="105"/>
      <c r="I463" s="47"/>
      <c r="J463" s="47"/>
      <c r="K463" s="47"/>
      <c r="L463" s="47"/>
      <c r="M463" s="48">
        <v>0</v>
      </c>
      <c r="N463" s="49"/>
      <c r="O463" s="50"/>
      <c r="P463" s="17"/>
      <c r="Q463" s="51">
        <v>0</v>
      </c>
      <c r="R463" s="47"/>
      <c r="S463" s="117"/>
      <c r="T463" s="47"/>
      <c r="U463" s="47"/>
      <c r="V463" s="51">
        <v>0</v>
      </c>
    </row>
    <row r="464" ht="409.5" customHeight="1">
      <c r="A464" t="s" s="114">
        <v>479</v>
      </c>
      <c r="B464" s="22">
        <f>SUM(C464,G464)</f>
        <v>50</v>
      </c>
      <c r="C464" s="23">
        <f>SUM(H464,I464,J464,K464,L464,M464,N464,O464,P464,Q464,R464,S464,T464,U464,V464)</f>
        <v>50</v>
      </c>
      <c r="D464" s="36"/>
      <c r="E464" s="25"/>
      <c r="F464" s="25"/>
      <c r="G464" s="25"/>
      <c r="H464" s="37">
        <v>50</v>
      </c>
      <c r="I464" s="28">
        <v>0</v>
      </c>
      <c r="J464" s="28">
        <v>0</v>
      </c>
      <c r="K464" s="28">
        <v>0</v>
      </c>
      <c r="L464" s="28">
        <v>0</v>
      </c>
      <c r="M464" s="30">
        <v>0</v>
      </c>
      <c r="N464" s="30">
        <v>0</v>
      </c>
      <c r="O464" s="30">
        <v>0</v>
      </c>
      <c r="P464" s="41">
        <v>0</v>
      </c>
      <c r="Q464" s="28">
        <v>0</v>
      </c>
      <c r="R464" s="28">
        <v>0</v>
      </c>
      <c r="S464" s="33"/>
      <c r="T464" s="28">
        <v>0</v>
      </c>
      <c r="U464" s="28">
        <v>0</v>
      </c>
      <c r="V464" s="28">
        <v>0</v>
      </c>
    </row>
    <row r="465" ht="409.5" customHeight="1">
      <c r="A465" t="s" s="114">
        <v>480</v>
      </c>
      <c r="B465" s="22">
        <f>SUM(C465,G465)</f>
        <v>250</v>
      </c>
      <c r="C465" s="23">
        <f>SUM(H465,I465,J465,K465,L465,M465,N465,O465,P465,Q465,R465,S465,T465,U465,V465)</f>
        <v>250</v>
      </c>
      <c r="D465" s="36"/>
      <c r="E465" s="25"/>
      <c r="F465" s="25"/>
      <c r="G465" s="25"/>
      <c r="H465" s="37">
        <v>250</v>
      </c>
      <c r="I465" s="28">
        <v>0</v>
      </c>
      <c r="J465" s="28">
        <v>0</v>
      </c>
      <c r="K465" s="28">
        <v>0</v>
      </c>
      <c r="L465" s="28">
        <v>0</v>
      </c>
      <c r="M465" s="30">
        <v>0</v>
      </c>
      <c r="N465" s="30">
        <v>0</v>
      </c>
      <c r="O465" s="30">
        <v>0</v>
      </c>
      <c r="P465" s="41">
        <v>0</v>
      </c>
      <c r="Q465" s="28">
        <v>0</v>
      </c>
      <c r="R465" s="28">
        <v>0</v>
      </c>
      <c r="S465" s="33"/>
      <c r="T465" s="28">
        <v>0</v>
      </c>
      <c r="U465" s="28">
        <v>0</v>
      </c>
      <c r="V465" s="28">
        <v>0</v>
      </c>
    </row>
    <row r="466" ht="63" customHeight="1">
      <c r="A466" t="s" s="118">
        <v>481</v>
      </c>
      <c r="B466" s="42">
        <f>SUM(C466,G466)</f>
        <v>0</v>
      </c>
      <c r="C466" s="43">
        <f>SUM(H466,I466,J466,K466,L466,M466,N466,O466,P466,Q466,R466,S466,T466,U466,V466)</f>
        <v>0</v>
      </c>
      <c r="D466" s="44"/>
      <c r="E466" s="45"/>
      <c r="F466" s="45"/>
      <c r="G466" s="119"/>
      <c r="H466" s="120"/>
      <c r="I466" s="51">
        <v>0</v>
      </c>
      <c r="J466" s="51">
        <v>0</v>
      </c>
      <c r="K466" s="51">
        <v>0</v>
      </c>
      <c r="L466" s="51">
        <v>0</v>
      </c>
      <c r="M466" s="48">
        <v>0</v>
      </c>
      <c r="N466" s="48">
        <v>0</v>
      </c>
      <c r="O466" s="55">
        <v>0</v>
      </c>
      <c r="P466" s="58">
        <v>0</v>
      </c>
      <c r="Q466" s="51">
        <v>0</v>
      </c>
      <c r="R466" s="51">
        <v>0</v>
      </c>
      <c r="S466" s="45"/>
      <c r="T466" s="51">
        <v>0</v>
      </c>
      <c r="U466" s="51">
        <v>0</v>
      </c>
      <c r="V466" s="47"/>
    </row>
    <row r="467" ht="63" customHeight="1">
      <c r="A467" t="s" s="118">
        <v>482</v>
      </c>
      <c r="B467" s="42">
        <f>SUM(C467,G467)</f>
        <v>0</v>
      </c>
      <c r="C467" s="43">
        <f>SUM(H467,I467,J467,K467,L467,M467,N467,O467,P467,Q467,R467,S467,T467,U467,V467)</f>
        <v>0</v>
      </c>
      <c r="D467" s="44"/>
      <c r="E467" s="6"/>
      <c r="F467" s="6"/>
      <c r="G467" s="14"/>
      <c r="H467" s="121">
        <v>0</v>
      </c>
      <c r="I467" s="51">
        <v>0</v>
      </c>
      <c r="J467" s="51">
        <v>0</v>
      </c>
      <c r="K467" s="51">
        <v>0</v>
      </c>
      <c r="L467" s="51">
        <v>0</v>
      </c>
      <c r="M467" s="48">
        <v>0</v>
      </c>
      <c r="N467" s="48">
        <v>0</v>
      </c>
      <c r="O467" s="55">
        <v>0</v>
      </c>
      <c r="P467" s="53">
        <v>0</v>
      </c>
      <c r="Q467" s="51">
        <v>0</v>
      </c>
      <c r="R467" s="51">
        <v>0</v>
      </c>
      <c r="S467" s="6"/>
      <c r="T467" s="51">
        <v>0</v>
      </c>
      <c r="U467" s="51">
        <v>0</v>
      </c>
      <c r="V467" s="51">
        <v>0</v>
      </c>
    </row>
    <row r="468" ht="409.5" customHeight="1">
      <c r="A468" t="s" s="69">
        <v>483</v>
      </c>
      <c r="B468" s="42">
        <f>SUM(C468,G468)</f>
        <v>0</v>
      </c>
      <c r="C468" s="43">
        <f>SUM(H468,I468,J468,K468,L468,M468,N468,O468,P468,Q468,R468,S468,T468,U468,V468)</f>
        <v>0</v>
      </c>
      <c r="D468" s="44"/>
      <c r="E468" s="6"/>
      <c r="F468" s="6"/>
      <c r="G468" s="14"/>
      <c r="H468" s="121">
        <v>0</v>
      </c>
      <c r="I468" s="51">
        <v>0</v>
      </c>
      <c r="J468" s="51">
        <v>0</v>
      </c>
      <c r="K468" s="51">
        <v>0</v>
      </c>
      <c r="L468" s="51">
        <v>0</v>
      </c>
      <c r="M468" s="48">
        <v>0</v>
      </c>
      <c r="N468" s="48">
        <v>0</v>
      </c>
      <c r="O468" s="55">
        <v>0</v>
      </c>
      <c r="P468" s="53">
        <v>0</v>
      </c>
      <c r="Q468" s="51">
        <v>0</v>
      </c>
      <c r="R468" s="51">
        <v>0</v>
      </c>
      <c r="S468" s="6"/>
      <c r="T468" s="51">
        <v>0</v>
      </c>
      <c r="U468" s="51">
        <v>0</v>
      </c>
      <c r="V468" s="51">
        <v>0</v>
      </c>
    </row>
    <row r="469" ht="409.5" customHeight="1">
      <c r="A469" t="s" s="69">
        <v>484</v>
      </c>
      <c r="B469" s="42">
        <f>SUM(C469,G469)</f>
        <v>0</v>
      </c>
      <c r="C469" s="43">
        <f>SUM(H469,I469,J469,K469,L469,M469,N469,O469,P469,Q469,R469,S469,T469,U469,V469)</f>
        <v>0</v>
      </c>
      <c r="D469" s="44"/>
      <c r="E469" s="6"/>
      <c r="F469" s="6"/>
      <c r="G469" s="14"/>
      <c r="H469" s="122"/>
      <c r="I469" s="51">
        <v>0</v>
      </c>
      <c r="J469" s="51">
        <v>0</v>
      </c>
      <c r="K469" s="51">
        <v>0</v>
      </c>
      <c r="L469" s="51">
        <v>0</v>
      </c>
      <c r="M469" s="48">
        <v>0</v>
      </c>
      <c r="N469" s="48">
        <v>0</v>
      </c>
      <c r="O469" s="55">
        <v>0</v>
      </c>
      <c r="P469" s="53">
        <v>0</v>
      </c>
      <c r="Q469" s="51">
        <v>0</v>
      </c>
      <c r="R469" s="51">
        <v>0</v>
      </c>
      <c r="S469" s="6"/>
      <c r="T469" s="51">
        <v>0</v>
      </c>
      <c r="U469" s="51">
        <v>0</v>
      </c>
      <c r="V469" s="51">
        <v>0</v>
      </c>
    </row>
    <row r="470" ht="214.5" customHeight="1">
      <c r="A470" t="s" s="52">
        <v>485</v>
      </c>
      <c r="B470" s="42">
        <f>SUM(C470,G470)</f>
        <v>0</v>
      </c>
      <c r="C470" s="43">
        <f>SUM(H470,I470,J470,K470,L470,M470,N470,O470,P470,Q470,R470,S470,T470,U470,V470)</f>
        <v>0</v>
      </c>
      <c r="D470" s="44"/>
      <c r="E470" s="6"/>
      <c r="F470" s="6"/>
      <c r="G470" s="14"/>
      <c r="H470" s="122"/>
      <c r="I470" s="51">
        <v>0</v>
      </c>
      <c r="J470" s="51">
        <v>0</v>
      </c>
      <c r="K470" s="51">
        <v>0</v>
      </c>
      <c r="L470" s="51">
        <v>0</v>
      </c>
      <c r="M470" s="48">
        <v>0</v>
      </c>
      <c r="N470" s="48">
        <v>0</v>
      </c>
      <c r="O470" s="55">
        <v>0</v>
      </c>
      <c r="P470" s="53">
        <v>0</v>
      </c>
      <c r="Q470" s="51">
        <v>0</v>
      </c>
      <c r="R470" s="51">
        <v>0</v>
      </c>
      <c r="S470" s="6"/>
      <c r="T470" s="51">
        <v>0</v>
      </c>
      <c r="U470" s="51">
        <v>0</v>
      </c>
      <c r="V470" s="51">
        <v>0</v>
      </c>
    </row>
    <row r="471" ht="409.5" customHeight="1">
      <c r="A471" t="s" s="52">
        <v>486</v>
      </c>
      <c r="B471" s="42">
        <f>SUM(C471,G471)</f>
        <v>0</v>
      </c>
      <c r="C471" s="43">
        <f>SUM(H471,I471,J471,K471,L471,M471,N471,O471,P471,Q471,R471,S471,T471,U471,V471)</f>
        <v>0</v>
      </c>
      <c r="D471" s="44"/>
      <c r="E471" s="6"/>
      <c r="F471" s="6"/>
      <c r="G471" s="14"/>
      <c r="H471" s="121">
        <v>0</v>
      </c>
      <c r="I471" s="51">
        <v>0</v>
      </c>
      <c r="J471" s="51">
        <v>0</v>
      </c>
      <c r="K471" s="51">
        <v>0</v>
      </c>
      <c r="L471" s="51">
        <v>0</v>
      </c>
      <c r="M471" s="48">
        <v>0</v>
      </c>
      <c r="N471" s="48">
        <v>0</v>
      </c>
      <c r="O471" s="55">
        <v>0</v>
      </c>
      <c r="P471" s="53">
        <v>0</v>
      </c>
      <c r="Q471" s="51">
        <v>0</v>
      </c>
      <c r="R471" s="51">
        <v>0</v>
      </c>
      <c r="S471" s="6"/>
      <c r="T471" s="51">
        <v>0</v>
      </c>
      <c r="U471" s="51">
        <v>0</v>
      </c>
      <c r="V471" s="51">
        <v>0</v>
      </c>
    </row>
    <row r="472" ht="331.5" customHeight="1">
      <c r="A472" t="s" s="69">
        <v>487</v>
      </c>
      <c r="B472" s="42">
        <f>SUM(C472,G472)</f>
        <v>0</v>
      </c>
      <c r="C472" s="43">
        <f>SUM(H472,I472,J472,K472,L472,M472,N472,O472,P472,Q472,R472,S472,T472,U472,V472)</f>
        <v>0</v>
      </c>
      <c r="D472" s="44"/>
      <c r="E472" s="6"/>
      <c r="F472" s="6"/>
      <c r="G472" s="14"/>
      <c r="H472" s="122"/>
      <c r="I472" s="51">
        <v>0</v>
      </c>
      <c r="J472" s="51">
        <v>0</v>
      </c>
      <c r="K472" s="51">
        <v>0</v>
      </c>
      <c r="L472" s="51">
        <v>0</v>
      </c>
      <c r="M472" s="48">
        <v>0</v>
      </c>
      <c r="N472" s="48">
        <v>0</v>
      </c>
      <c r="O472" s="55">
        <v>0</v>
      </c>
      <c r="P472" s="53">
        <v>0</v>
      </c>
      <c r="Q472" s="51">
        <v>0</v>
      </c>
      <c r="R472" s="51">
        <v>0</v>
      </c>
      <c r="S472" s="6"/>
      <c r="T472" s="51">
        <v>0</v>
      </c>
      <c r="U472" s="51">
        <v>0</v>
      </c>
      <c r="V472" s="51">
        <v>0</v>
      </c>
    </row>
    <row r="473" ht="409.5" customHeight="1">
      <c r="A473" t="s" s="52">
        <v>488</v>
      </c>
      <c r="B473" s="42">
        <f>SUM(C473,G473)</f>
        <v>0</v>
      </c>
      <c r="C473" s="43">
        <f>SUM(H473,I473,J473,K473,L473,M473,N473,O473,P473,Q473,R473,S473,T473,U473,V473)</f>
        <v>0</v>
      </c>
      <c r="D473" s="44"/>
      <c r="E473" s="6"/>
      <c r="F473" s="6"/>
      <c r="G473" s="14"/>
      <c r="H473" s="122"/>
      <c r="I473" s="51">
        <v>0</v>
      </c>
      <c r="J473" s="51">
        <v>0</v>
      </c>
      <c r="K473" s="51">
        <v>0</v>
      </c>
      <c r="L473" s="51">
        <v>0</v>
      </c>
      <c r="M473" s="48">
        <v>0</v>
      </c>
      <c r="N473" s="48">
        <v>0</v>
      </c>
      <c r="O473" s="55">
        <v>0</v>
      </c>
      <c r="P473" s="53">
        <v>0</v>
      </c>
      <c r="Q473" s="51">
        <v>0</v>
      </c>
      <c r="R473" s="51">
        <v>0</v>
      </c>
      <c r="S473" s="6"/>
      <c r="T473" s="51">
        <v>0</v>
      </c>
      <c r="U473" s="51">
        <v>0</v>
      </c>
      <c r="V473" s="51">
        <v>0</v>
      </c>
    </row>
    <row r="474" ht="47.25" customHeight="1">
      <c r="A474" t="s" s="88">
        <v>489</v>
      </c>
      <c r="B474" s="42">
        <f>SUM(C474,G474)</f>
        <v>0</v>
      </c>
      <c r="C474" s="43">
        <f>SUM(H474,I474,J474,K474,L474,M474,N474,O474,P474,Q474,R474,S474,T474,U474,V474)</f>
        <v>0</v>
      </c>
      <c r="D474" s="44"/>
      <c r="E474" s="17"/>
      <c r="F474" s="17"/>
      <c r="G474" s="18"/>
      <c r="H474" s="123"/>
      <c r="I474" s="47"/>
      <c r="J474" s="47"/>
      <c r="K474" s="47"/>
      <c r="L474" s="47"/>
      <c r="M474" s="48">
        <v>0</v>
      </c>
      <c r="N474" s="49"/>
      <c r="O474" s="50"/>
      <c r="P474" s="17"/>
      <c r="Q474" s="51">
        <v>0</v>
      </c>
      <c r="R474" s="47"/>
      <c r="S474" s="17"/>
      <c r="T474" s="47"/>
      <c r="U474" s="47"/>
      <c r="V474" s="51">
        <v>0</v>
      </c>
    </row>
    <row r="475" ht="19.5" customHeight="1">
      <c r="A475" t="s" s="10">
        <v>490</v>
      </c>
      <c r="B475" s="34">
        <f>SUM(C475,G475)</f>
        <v>8200</v>
      </c>
      <c r="C475" s="35">
        <f>SUM(H475,I475,J475,K475,L475,M475,N475,O475,P475,Q475,R475,S475,T475,U475,V475)</f>
        <v>8200</v>
      </c>
      <c r="D475" s="36"/>
      <c r="E475" s="25"/>
      <c r="F475" s="25"/>
      <c r="G475" s="26"/>
      <c r="H475" s="27">
        <v>2000</v>
      </c>
      <c r="I475" s="38">
        <v>0</v>
      </c>
      <c r="J475" s="38">
        <v>5000</v>
      </c>
      <c r="K475" s="38">
        <v>1200</v>
      </c>
      <c r="L475" s="38">
        <v>0</v>
      </c>
      <c r="M475" s="40">
        <v>0</v>
      </c>
      <c r="N475" s="40">
        <v>0</v>
      </c>
      <c r="O475" s="40">
        <v>0</v>
      </c>
      <c r="P475" s="41">
        <v>0</v>
      </c>
      <c r="Q475" s="38">
        <v>0</v>
      </c>
      <c r="R475" s="38">
        <v>0</v>
      </c>
      <c r="S475" s="33"/>
      <c r="T475" s="38">
        <v>0</v>
      </c>
      <c r="U475" s="38">
        <v>0</v>
      </c>
      <c r="V475" s="38">
        <v>0</v>
      </c>
    </row>
    <row r="476" ht="19.5" customHeight="1">
      <c r="A476" t="s" s="21">
        <v>491</v>
      </c>
      <c r="B476" s="22">
        <f>SUM(C476,G476)</f>
        <v>10800</v>
      </c>
      <c r="C476" s="23">
        <f>SUM(H476,I476,J476,K476,L476,M476,N476,O476,P476,Q476,R476,S476,T476,U476,V476)</f>
        <v>10800</v>
      </c>
      <c r="D476" s="36"/>
      <c r="E476" s="25"/>
      <c r="F476" s="25"/>
      <c r="G476" s="26"/>
      <c r="H476" s="27">
        <v>200</v>
      </c>
      <c r="I476" s="28">
        <v>0</v>
      </c>
      <c r="J476" s="28">
        <v>8000</v>
      </c>
      <c r="K476" s="28">
        <v>100</v>
      </c>
      <c r="L476" s="28">
        <v>0</v>
      </c>
      <c r="M476" s="30">
        <v>0</v>
      </c>
      <c r="N476" s="30">
        <v>0</v>
      </c>
      <c r="O476" s="30">
        <v>0</v>
      </c>
      <c r="P476" s="41">
        <v>0</v>
      </c>
      <c r="Q476" s="28">
        <v>0</v>
      </c>
      <c r="R476" s="28">
        <v>0</v>
      </c>
      <c r="S476" s="75">
        <v>2500</v>
      </c>
      <c r="T476" s="28">
        <v>0</v>
      </c>
      <c r="U476" s="28">
        <v>0</v>
      </c>
      <c r="V476" s="28">
        <v>0</v>
      </c>
    </row>
    <row r="477" ht="31.5" customHeight="1">
      <c r="A477" t="s" s="124">
        <v>492</v>
      </c>
      <c r="B477" s="42">
        <f>SUM(C477,G477)</f>
        <v>0</v>
      </c>
      <c r="C477" s="43">
        <f>SUM(H477,I477,J477,K477,L477,M477,N477,O477,P477,Q477,R477,S477,T477,U477,V477)</f>
        <v>0</v>
      </c>
      <c r="D477" s="44"/>
      <c r="E477" s="45"/>
      <c r="F477" s="45"/>
      <c r="G477" s="45"/>
      <c r="H477" s="46"/>
      <c r="I477" s="47"/>
      <c r="J477" s="47"/>
      <c r="K477" s="47"/>
      <c r="L477" s="47"/>
      <c r="M477" s="48">
        <v>0</v>
      </c>
      <c r="N477" s="49"/>
      <c r="O477" s="50"/>
      <c r="P477" s="45"/>
      <c r="Q477" s="51">
        <v>0</v>
      </c>
      <c r="R477" s="47"/>
      <c r="S477" s="45"/>
      <c r="T477" s="47"/>
      <c r="U477" s="47"/>
      <c r="V477" s="51">
        <v>0</v>
      </c>
    </row>
    <row r="478" ht="31.5" customHeight="1">
      <c r="A478" t="s" s="88">
        <v>493</v>
      </c>
      <c r="B478" s="42">
        <f>SUM(C478,G478)</f>
        <v>0</v>
      </c>
      <c r="C478" s="43">
        <f>SUM(H478,I478,J478,K478,L478,M478,N478,O478,P478,Q478,R478,S478,T478,U478,V478)</f>
        <v>0</v>
      </c>
      <c r="D478" s="44"/>
      <c r="E478" s="6"/>
      <c r="F478" s="6"/>
      <c r="G478" s="6"/>
      <c r="H478" s="46"/>
      <c r="I478" s="47"/>
      <c r="J478" s="47"/>
      <c r="K478" s="47"/>
      <c r="L478" s="47"/>
      <c r="M478" s="48">
        <v>0</v>
      </c>
      <c r="N478" s="49"/>
      <c r="O478" s="50"/>
      <c r="P478" s="6"/>
      <c r="Q478" s="51">
        <v>0</v>
      </c>
      <c r="R478" s="47"/>
      <c r="S478" s="6"/>
      <c r="T478" s="47"/>
      <c r="U478" s="47"/>
      <c r="V478" s="51">
        <v>0</v>
      </c>
    </row>
    <row r="479" ht="19.5" customHeight="1">
      <c r="A479" t="s" s="88">
        <v>494</v>
      </c>
      <c r="B479" s="42">
        <f>SUM(C479,G479)</f>
        <v>0</v>
      </c>
      <c r="C479" s="43">
        <f>SUM(H479,I479,J479,K479,L479,M479,N479,O479,P479,Q479,R479,S479,T479,U479,V479)</f>
        <v>0</v>
      </c>
      <c r="D479" s="44"/>
      <c r="E479" s="6"/>
      <c r="F479" s="6"/>
      <c r="G479" s="6"/>
      <c r="H479" s="46"/>
      <c r="I479" s="47"/>
      <c r="J479" s="47"/>
      <c r="K479" s="47"/>
      <c r="L479" s="47"/>
      <c r="M479" s="48">
        <v>0</v>
      </c>
      <c r="N479" s="49"/>
      <c r="O479" s="50"/>
      <c r="P479" s="6"/>
      <c r="Q479" s="47"/>
      <c r="R479" s="47"/>
      <c r="S479" s="6"/>
      <c r="T479" s="47"/>
      <c r="U479" s="47"/>
      <c r="V479" s="51">
        <v>0</v>
      </c>
    </row>
    <row r="480" ht="409.5" customHeight="1">
      <c r="A480" t="s" s="52">
        <v>495</v>
      </c>
      <c r="B480" s="42">
        <f>SUM(C480,G480)</f>
        <v>8300</v>
      </c>
      <c r="C480" s="43">
        <f>SUM(H480,I480,J480,K480,L480,M480,N480,O480,P480,Q480,R480,S480,T480,U480,V480)</f>
        <v>8300</v>
      </c>
      <c r="D480" s="44"/>
      <c r="E480" s="6"/>
      <c r="F480" s="6"/>
      <c r="G480" s="6"/>
      <c r="H480" s="27">
        <v>3000</v>
      </c>
      <c r="I480" s="51">
        <v>1000</v>
      </c>
      <c r="J480" s="51">
        <v>2300</v>
      </c>
      <c r="K480" s="51">
        <v>2000</v>
      </c>
      <c r="L480" s="51">
        <v>0</v>
      </c>
      <c r="M480" s="48">
        <v>0</v>
      </c>
      <c r="N480" s="48">
        <v>0</v>
      </c>
      <c r="O480" s="55">
        <v>0</v>
      </c>
      <c r="P480" s="53">
        <v>0</v>
      </c>
      <c r="Q480" s="51">
        <v>0</v>
      </c>
      <c r="R480" s="51">
        <v>0</v>
      </c>
      <c r="S480" s="6"/>
      <c r="T480" s="51">
        <v>0</v>
      </c>
      <c r="U480" s="51">
        <v>0</v>
      </c>
      <c r="V480" s="51">
        <v>0</v>
      </c>
    </row>
    <row r="481" ht="409.5" customHeight="1">
      <c r="A481" t="s" s="52">
        <v>496</v>
      </c>
      <c r="B481" s="42">
        <f>SUM(C481,G481)</f>
        <v>500</v>
      </c>
      <c r="C481" s="43">
        <f>SUM(H481,I481,J481,K481,L481,M481,N481,O481,P481,Q481,R481,S481,T481,U481,V481)</f>
        <v>500</v>
      </c>
      <c r="D481" s="44"/>
      <c r="E481" s="6"/>
      <c r="F481" s="6"/>
      <c r="G481" s="6"/>
      <c r="H481" s="27">
        <v>500</v>
      </c>
      <c r="I481" s="51">
        <v>0</v>
      </c>
      <c r="J481" s="51">
        <v>0</v>
      </c>
      <c r="K481" s="47"/>
      <c r="L481" s="51">
        <v>0</v>
      </c>
      <c r="M481" s="48">
        <v>0</v>
      </c>
      <c r="N481" s="48">
        <v>0</v>
      </c>
      <c r="O481" s="55">
        <v>0</v>
      </c>
      <c r="P481" s="53">
        <v>0</v>
      </c>
      <c r="Q481" s="51">
        <v>0</v>
      </c>
      <c r="R481" s="51">
        <v>0</v>
      </c>
      <c r="S481" s="6"/>
      <c r="T481" s="51">
        <v>0</v>
      </c>
      <c r="U481" s="51">
        <v>0</v>
      </c>
      <c r="V481" s="51">
        <v>0</v>
      </c>
    </row>
    <row r="482" ht="31.5" customHeight="1">
      <c r="A482" t="s" s="52">
        <v>497</v>
      </c>
      <c r="B482" s="42">
        <f>SUM(C482,G482)</f>
        <v>0</v>
      </c>
      <c r="C482" s="43">
        <f>SUM(H482,I482,J482,K482,L482,M482,N482,O482,P482,Q482,R482,S482,T482,U482,V482)</f>
        <v>0</v>
      </c>
      <c r="D482" s="44"/>
      <c r="E482" s="6"/>
      <c r="F482" s="6"/>
      <c r="G482" s="6"/>
      <c r="H482" s="27">
        <v>0</v>
      </c>
      <c r="I482" s="51">
        <v>0</v>
      </c>
      <c r="J482" s="51">
        <v>0</v>
      </c>
      <c r="K482" s="51">
        <v>0</v>
      </c>
      <c r="L482" s="51">
        <v>0</v>
      </c>
      <c r="M482" s="48">
        <v>0</v>
      </c>
      <c r="N482" s="48">
        <v>0</v>
      </c>
      <c r="O482" s="55">
        <v>0</v>
      </c>
      <c r="P482" s="53">
        <v>0</v>
      </c>
      <c r="Q482" s="51">
        <v>0</v>
      </c>
      <c r="R482" s="51">
        <v>0</v>
      </c>
      <c r="S482" s="6"/>
      <c r="T482" s="51">
        <v>0</v>
      </c>
      <c r="U482" s="51">
        <v>0</v>
      </c>
      <c r="V482" s="51">
        <v>0</v>
      </c>
    </row>
    <row r="483" ht="19.5" customHeight="1">
      <c r="A483" t="s" s="103">
        <v>498</v>
      </c>
      <c r="B483" s="42">
        <f>SUM(C483,G483)</f>
        <v>0</v>
      </c>
      <c r="C483" s="43">
        <f>SUM(H483,I483,J483,K483,L483,M483,N483,O483,P483,Q483,R483,S483,T483,U483,V483)</f>
        <v>0</v>
      </c>
      <c r="D483" s="44"/>
      <c r="E483" s="6"/>
      <c r="F483" s="6"/>
      <c r="G483" s="6"/>
      <c r="H483" s="46"/>
      <c r="I483" s="125"/>
      <c r="J483" s="47"/>
      <c r="K483" s="125"/>
      <c r="L483" s="125"/>
      <c r="M483" s="48">
        <v>0</v>
      </c>
      <c r="N483" s="49"/>
      <c r="O483" s="50"/>
      <c r="P483" s="6"/>
      <c r="Q483" s="126">
        <v>0</v>
      </c>
      <c r="R483" s="125"/>
      <c r="S483" s="6"/>
      <c r="T483" s="47"/>
      <c r="U483" s="125"/>
      <c r="V483" s="127">
        <v>0</v>
      </c>
    </row>
    <row r="484" ht="31.5" customHeight="1">
      <c r="A484" t="s" s="88">
        <v>499</v>
      </c>
      <c r="B484" s="42">
        <f>SUM(C484,G484)</f>
        <v>0</v>
      </c>
      <c r="C484" s="43">
        <f>SUM(H484,I484,J484,K484,L484,M484,N484,O484,P484,Q484,R484,S484,T484,U484,V484)</f>
        <v>0</v>
      </c>
      <c r="D484" s="44"/>
      <c r="E484" s="17"/>
      <c r="F484" s="17"/>
      <c r="G484" s="17"/>
      <c r="H484" s="46"/>
      <c r="I484" s="125"/>
      <c r="J484" s="125"/>
      <c r="K484" s="125"/>
      <c r="L484" s="125"/>
      <c r="M484" s="48">
        <v>0</v>
      </c>
      <c r="N484" s="49"/>
      <c r="O484" s="50"/>
      <c r="P484" s="17"/>
      <c r="Q484" s="126">
        <v>0</v>
      </c>
      <c r="R484" s="125"/>
      <c r="S484" s="17"/>
      <c r="T484" s="47"/>
      <c r="U484" s="125"/>
      <c r="V484" s="126">
        <v>0</v>
      </c>
    </row>
    <row r="485" ht="19.5" customHeight="1">
      <c r="A485" t="s" s="21">
        <v>500</v>
      </c>
      <c r="B485" s="22">
        <f>SUM(C485,G485)</f>
        <v>580</v>
      </c>
      <c r="C485" s="23">
        <f>SUM(H485,I485,J485,K485,L485,M485,N485,O485,P485,Q485,R485,S485,T485,U485,V485)</f>
        <v>580</v>
      </c>
      <c r="D485" s="36"/>
      <c r="E485" s="25"/>
      <c r="F485" s="25"/>
      <c r="G485" s="26"/>
      <c r="H485" s="27">
        <v>500</v>
      </c>
      <c r="I485" s="28">
        <v>30</v>
      </c>
      <c r="J485" s="128">
        <v>50</v>
      </c>
      <c r="K485" s="28">
        <v>0</v>
      </c>
      <c r="L485" s="28">
        <v>0</v>
      </c>
      <c r="M485" s="30">
        <v>0</v>
      </c>
      <c r="N485" s="30">
        <v>0</v>
      </c>
      <c r="O485" s="30">
        <v>0</v>
      </c>
      <c r="P485" s="41">
        <v>0</v>
      </c>
      <c r="Q485" s="28">
        <v>0</v>
      </c>
      <c r="R485" s="28">
        <v>0</v>
      </c>
      <c r="S485" s="33"/>
      <c r="T485" s="28">
        <v>0</v>
      </c>
      <c r="U485" s="28">
        <v>0</v>
      </c>
      <c r="V485" s="28">
        <v>0</v>
      </c>
    </row>
    <row r="486" ht="31.5" customHeight="1">
      <c r="A486" t="s" s="21">
        <v>501</v>
      </c>
      <c r="B486" s="22">
        <f>SUM(C486,G486)</f>
        <v>10260</v>
      </c>
      <c r="C486" s="23">
        <f>SUM(H486,I486,J486,K486,L486,M486,N486,O486,P486,Q486,R486,S486,T486,U486,V486)</f>
        <v>10260</v>
      </c>
      <c r="D486" s="36"/>
      <c r="E486" s="25"/>
      <c r="F486" s="25"/>
      <c r="G486" s="26"/>
      <c r="H486" s="27">
        <v>10000</v>
      </c>
      <c r="I486" s="28">
        <v>50</v>
      </c>
      <c r="J486" s="28">
        <v>100</v>
      </c>
      <c r="K486" s="28">
        <v>50</v>
      </c>
      <c r="L486" s="28">
        <v>60</v>
      </c>
      <c r="M486" s="30">
        <v>0</v>
      </c>
      <c r="N486" s="30">
        <v>0</v>
      </c>
      <c r="O486" s="30">
        <v>0</v>
      </c>
      <c r="P486" s="41">
        <v>0</v>
      </c>
      <c r="Q486" s="28">
        <v>0</v>
      </c>
      <c r="R486" s="28">
        <v>0</v>
      </c>
      <c r="S486" s="33"/>
      <c r="T486" s="28">
        <v>0</v>
      </c>
      <c r="U486" s="28">
        <v>0</v>
      </c>
      <c r="V486" s="28">
        <v>0</v>
      </c>
    </row>
    <row r="487" ht="253.5" customHeight="1">
      <c r="A487" t="s" s="21">
        <v>502</v>
      </c>
      <c r="B487" s="22">
        <f>SUM(C487,G487)</f>
        <v>14600</v>
      </c>
      <c r="C487" s="23">
        <f>SUM(H487,I487,J487,K487,L487,M487,N487,O487,P487,Q487,R487,S487,T487,U487,V487)</f>
        <v>14600</v>
      </c>
      <c r="D487" s="36"/>
      <c r="E487" s="25"/>
      <c r="F487" s="25"/>
      <c r="G487" s="26"/>
      <c r="H487" s="27">
        <v>7000</v>
      </c>
      <c r="I487" s="28">
        <v>0</v>
      </c>
      <c r="J487" s="28">
        <v>600</v>
      </c>
      <c r="K487" s="28">
        <v>100</v>
      </c>
      <c r="L487" s="28">
        <v>150</v>
      </c>
      <c r="M487" s="30">
        <v>1500</v>
      </c>
      <c r="N487" s="30">
        <v>1815</v>
      </c>
      <c r="O487" s="30">
        <v>705</v>
      </c>
      <c r="P487" s="41">
        <v>1150</v>
      </c>
      <c r="Q487" s="28">
        <v>1480</v>
      </c>
      <c r="R487" s="28">
        <v>100</v>
      </c>
      <c r="S487" s="33"/>
      <c r="T487" s="28">
        <v>0</v>
      </c>
      <c r="U487" s="28">
        <v>0</v>
      </c>
      <c r="V487" s="28">
        <v>0</v>
      </c>
    </row>
    <row r="488" ht="195" customHeight="1">
      <c r="A488" t="s" s="21">
        <v>503</v>
      </c>
      <c r="B488" s="22">
        <f>SUM(C488,G488)</f>
        <v>10210</v>
      </c>
      <c r="C488" s="23">
        <f>SUM(H488,I488,J488,K488,L488,M488,N488,O488,P488,Q488,R488,S488,T488,U488,V488)</f>
        <v>10210</v>
      </c>
      <c r="D488" s="36"/>
      <c r="E488" s="25"/>
      <c r="F488" s="25"/>
      <c r="G488" s="26"/>
      <c r="H488" s="27">
        <v>5000</v>
      </c>
      <c r="I488" s="28">
        <v>0</v>
      </c>
      <c r="J488" s="28">
        <v>100</v>
      </c>
      <c r="K488" s="28">
        <v>20</v>
      </c>
      <c r="L488" s="28">
        <v>0</v>
      </c>
      <c r="M488" s="30">
        <v>1500</v>
      </c>
      <c r="N488" s="30">
        <v>1255</v>
      </c>
      <c r="O488" s="30">
        <v>575</v>
      </c>
      <c r="P488" s="41">
        <v>1100</v>
      </c>
      <c r="Q488" s="28">
        <v>660</v>
      </c>
      <c r="R488" s="28">
        <v>0</v>
      </c>
      <c r="S488" s="33"/>
      <c r="T488" s="28">
        <v>0</v>
      </c>
      <c r="U488" s="28">
        <v>0</v>
      </c>
      <c r="V488" s="28">
        <v>0</v>
      </c>
    </row>
    <row r="489" ht="31.5" customHeight="1">
      <c r="A489" t="s" s="21">
        <v>504</v>
      </c>
      <c r="B489" s="22">
        <f>SUM(C489,G489)</f>
        <v>13530</v>
      </c>
      <c r="C489" s="23">
        <f>SUM(H489,I489,J489,K489,L489,M489,N489,O489,P489,Q489,R489,S489,T489,U489,V489)</f>
        <v>13530</v>
      </c>
      <c r="D489" s="36"/>
      <c r="E489" s="25"/>
      <c r="F489" s="25"/>
      <c r="G489" s="26"/>
      <c r="H489" s="27">
        <v>1000</v>
      </c>
      <c r="I489" s="28">
        <v>50</v>
      </c>
      <c r="J489" s="28">
        <v>200</v>
      </c>
      <c r="K489" s="28">
        <v>200</v>
      </c>
      <c r="L489" s="28">
        <v>100</v>
      </c>
      <c r="M489" s="30">
        <v>2800</v>
      </c>
      <c r="N489" s="30">
        <v>2465</v>
      </c>
      <c r="O489" s="30">
        <v>2465</v>
      </c>
      <c r="P489" s="41">
        <v>2300</v>
      </c>
      <c r="Q489" s="28">
        <v>1950</v>
      </c>
      <c r="R489" s="28">
        <v>0</v>
      </c>
      <c r="S489" s="33"/>
      <c r="T489" s="28">
        <v>0</v>
      </c>
      <c r="U489" s="28">
        <v>0</v>
      </c>
      <c r="V489" s="28">
        <v>0</v>
      </c>
    </row>
    <row r="490" ht="156" customHeight="1">
      <c r="A490" t="s" s="21">
        <v>505</v>
      </c>
      <c r="B490" s="22">
        <f>SUM(C490,G490)</f>
        <v>20730</v>
      </c>
      <c r="C490" s="23">
        <f>SUM(H490,I490,J490,K490,L490,M490,N490,O490,P490,Q490,R490,S490,T490,U490,V490)</f>
        <v>20730</v>
      </c>
      <c r="D490" s="36"/>
      <c r="E490" s="25"/>
      <c r="F490" s="25"/>
      <c r="G490" s="26"/>
      <c r="H490" s="27">
        <v>10000</v>
      </c>
      <c r="I490" s="28">
        <v>100</v>
      </c>
      <c r="J490" s="28">
        <v>300</v>
      </c>
      <c r="K490" s="28">
        <v>100</v>
      </c>
      <c r="L490" s="28">
        <v>150</v>
      </c>
      <c r="M490" s="30">
        <v>1100</v>
      </c>
      <c r="N490" s="30">
        <v>3040</v>
      </c>
      <c r="O490" s="30">
        <v>2360</v>
      </c>
      <c r="P490" s="41">
        <v>1800</v>
      </c>
      <c r="Q490" s="28">
        <v>1780</v>
      </c>
      <c r="R490" s="28">
        <v>0</v>
      </c>
      <c r="S490" s="33"/>
      <c r="T490" s="28">
        <v>0</v>
      </c>
      <c r="U490" s="28">
        <v>0</v>
      </c>
      <c r="V490" s="28">
        <v>0</v>
      </c>
    </row>
    <row r="491" ht="47.25" customHeight="1">
      <c r="A491" t="s" s="88">
        <v>506</v>
      </c>
      <c r="B491" s="42">
        <f>SUM(C491,G491)</f>
        <v>0</v>
      </c>
      <c r="C491" s="43">
        <f>SUM(H491,I491,J491,K491,L491,M491,N491,O491,P491,Q491,R491,S491,T491,U491,V491)</f>
        <v>0</v>
      </c>
      <c r="D491" s="44"/>
      <c r="E491" s="45"/>
      <c r="F491" s="45"/>
      <c r="G491" s="45"/>
      <c r="H491" s="46"/>
      <c r="I491" s="47"/>
      <c r="J491" s="47"/>
      <c r="K491" s="47"/>
      <c r="L491" s="47"/>
      <c r="M491" s="48">
        <v>0</v>
      </c>
      <c r="N491" s="49"/>
      <c r="O491" s="50"/>
      <c r="P491" s="45"/>
      <c r="Q491" s="51">
        <v>0</v>
      </c>
      <c r="R491" s="47"/>
      <c r="S491" s="45"/>
      <c r="T491" s="47"/>
      <c r="U491" s="47"/>
      <c r="V491" s="51">
        <v>0</v>
      </c>
    </row>
    <row r="492" ht="19.5" customHeight="1">
      <c r="A492" t="s" s="88">
        <v>507</v>
      </c>
      <c r="B492" s="42">
        <f>SUM(C492,G492)</f>
        <v>0</v>
      </c>
      <c r="C492" s="43">
        <f>SUM(H492,I492,J492,K492,L492,M492,N492,O492,P492,Q492,R492,S492,T492,U492,V492)</f>
        <v>0</v>
      </c>
      <c r="D492" s="44"/>
      <c r="E492" s="17"/>
      <c r="F492" s="17"/>
      <c r="G492" s="17"/>
      <c r="H492" s="46"/>
      <c r="I492" s="47"/>
      <c r="J492" s="47"/>
      <c r="K492" s="47"/>
      <c r="L492" s="47"/>
      <c r="M492" s="48">
        <v>0</v>
      </c>
      <c r="N492" s="49"/>
      <c r="O492" s="50"/>
      <c r="P492" s="17"/>
      <c r="Q492" s="51">
        <v>0</v>
      </c>
      <c r="R492" s="47"/>
      <c r="S492" s="17"/>
      <c r="T492" s="47"/>
      <c r="U492" s="47"/>
      <c r="V492" s="51">
        <v>0</v>
      </c>
    </row>
    <row r="493" ht="157.5" customHeight="1">
      <c r="A493" t="s" s="21">
        <v>508</v>
      </c>
      <c r="B493" s="22">
        <f>SUM(C493,G493)</f>
        <v>11520</v>
      </c>
      <c r="C493" s="23">
        <f>SUM(H493,I493,J493,K493,L493,M493,N493,O493,P493,Q493,R493,S493,T493,U493,V493)</f>
        <v>11520</v>
      </c>
      <c r="D493" s="36"/>
      <c r="E493" s="25"/>
      <c r="F493" s="25"/>
      <c r="G493" s="26"/>
      <c r="H493" s="27">
        <v>10000</v>
      </c>
      <c r="I493" s="28">
        <v>0</v>
      </c>
      <c r="J493" s="28">
        <v>1000</v>
      </c>
      <c r="K493" s="28">
        <v>120</v>
      </c>
      <c r="L493" s="28">
        <v>100</v>
      </c>
      <c r="M493" s="30">
        <v>0</v>
      </c>
      <c r="N493" s="30">
        <v>0</v>
      </c>
      <c r="O493" s="30">
        <v>0</v>
      </c>
      <c r="P493" s="41">
        <v>0</v>
      </c>
      <c r="Q493" s="28">
        <v>0</v>
      </c>
      <c r="R493" s="28">
        <v>300</v>
      </c>
      <c r="S493" s="33"/>
      <c r="T493" s="28">
        <v>0</v>
      </c>
      <c r="U493" s="28">
        <v>0</v>
      </c>
      <c r="V493" s="28">
        <v>0</v>
      </c>
    </row>
    <row r="494" ht="31.5" customHeight="1">
      <c r="A494" t="s" s="88">
        <v>509</v>
      </c>
      <c r="B494" s="42">
        <f>SUM(C494,G494)</f>
        <v>0</v>
      </c>
      <c r="C494" s="43">
        <f>SUM(H494,I494,J494,K494,L494,M494,N494,O494,P494,Q494,R494,S494,T494,U494,V494)</f>
        <v>0</v>
      </c>
      <c r="D494" s="44"/>
      <c r="E494" s="33"/>
      <c r="F494" s="33"/>
      <c r="G494" s="33"/>
      <c r="H494" s="46"/>
      <c r="I494" s="47"/>
      <c r="J494" s="47"/>
      <c r="K494" s="47"/>
      <c r="L494" s="47"/>
      <c r="M494" s="48">
        <v>0</v>
      </c>
      <c r="N494" s="49"/>
      <c r="O494" s="50"/>
      <c r="P494" s="33"/>
      <c r="Q494" s="51">
        <v>0</v>
      </c>
      <c r="R494" s="47"/>
      <c r="S494" s="33"/>
      <c r="T494" s="47"/>
      <c r="U494" s="47"/>
      <c r="V494" s="51">
        <v>0</v>
      </c>
    </row>
    <row r="495" ht="31.5" customHeight="1">
      <c r="A495" t="s" s="21">
        <v>510</v>
      </c>
      <c r="B495" s="22">
        <f>SUM(C495,G495)</f>
        <v>1170</v>
      </c>
      <c r="C495" s="23">
        <f>SUM(H495,I495,J495,K495,L495,M495,N495,O495,P495,Q495,R495,S495,T495,U495,V495)</f>
        <v>1170</v>
      </c>
      <c r="D495" s="36"/>
      <c r="E495" s="25"/>
      <c r="F495" s="25"/>
      <c r="G495" s="26"/>
      <c r="H495" s="27">
        <v>1000</v>
      </c>
      <c r="I495" s="28">
        <v>0</v>
      </c>
      <c r="J495" s="28">
        <v>50</v>
      </c>
      <c r="K495" s="28">
        <v>20</v>
      </c>
      <c r="L495" s="28">
        <v>0</v>
      </c>
      <c r="M495" s="30">
        <v>0</v>
      </c>
      <c r="N495" s="30">
        <v>0</v>
      </c>
      <c r="O495" s="30">
        <v>0</v>
      </c>
      <c r="P495" s="41">
        <v>0</v>
      </c>
      <c r="Q495" s="28">
        <v>0</v>
      </c>
      <c r="R495" s="28">
        <v>100</v>
      </c>
      <c r="S495" s="33"/>
      <c r="T495" s="28">
        <v>0</v>
      </c>
      <c r="U495" s="28">
        <v>0</v>
      </c>
      <c r="V495" s="28">
        <v>0</v>
      </c>
    </row>
    <row r="496" ht="31.5" customHeight="1">
      <c r="A496" t="s" s="21">
        <v>511</v>
      </c>
      <c r="B496" s="22">
        <f>SUM(C496,G496)</f>
        <v>5050</v>
      </c>
      <c r="C496" s="23">
        <f>SUM(H496,I496,J496,K496,L496,M496,N496,O496,P496,Q496,R496,S496,T496,U496,V496)</f>
        <v>5050</v>
      </c>
      <c r="D496" s="36"/>
      <c r="E496" s="25"/>
      <c r="F496" s="25"/>
      <c r="G496" s="26"/>
      <c r="H496" s="27">
        <v>5000</v>
      </c>
      <c r="I496" s="28">
        <v>0</v>
      </c>
      <c r="J496" s="28">
        <v>50</v>
      </c>
      <c r="K496" s="28">
        <v>0</v>
      </c>
      <c r="L496" s="28">
        <v>0</v>
      </c>
      <c r="M496" s="30">
        <v>0</v>
      </c>
      <c r="N496" s="30">
        <v>0</v>
      </c>
      <c r="O496" s="30">
        <v>0</v>
      </c>
      <c r="P496" s="41">
        <v>0</v>
      </c>
      <c r="Q496" s="28">
        <v>0</v>
      </c>
      <c r="R496" s="28">
        <v>0</v>
      </c>
      <c r="S496" s="33"/>
      <c r="T496" s="28">
        <v>0</v>
      </c>
      <c r="U496" s="28">
        <v>0</v>
      </c>
      <c r="V496" s="28">
        <v>0</v>
      </c>
    </row>
    <row r="497" ht="31.5" customHeight="1">
      <c r="A497" t="s" s="88">
        <v>512</v>
      </c>
      <c r="B497" s="42">
        <f>SUM(C497,G497)</f>
        <v>0</v>
      </c>
      <c r="C497" s="43">
        <f>SUM(H497,I497,J497,K497,L497,M497,N497,O497,P497,Q497,R497,S497,T497,U497,V497)</f>
        <v>0</v>
      </c>
      <c r="D497" s="44"/>
      <c r="E497" s="33"/>
      <c r="F497" s="33"/>
      <c r="G497" s="33"/>
      <c r="H497" s="46"/>
      <c r="I497" s="47"/>
      <c r="J497" s="47"/>
      <c r="K497" s="47"/>
      <c r="L497" s="47"/>
      <c r="M497" s="48">
        <v>0</v>
      </c>
      <c r="N497" s="49"/>
      <c r="O497" s="50"/>
      <c r="P497" s="33"/>
      <c r="Q497" s="51">
        <v>0</v>
      </c>
      <c r="R497" s="47"/>
      <c r="S497" s="33"/>
      <c r="T497" s="47"/>
      <c r="U497" s="47"/>
      <c r="V497" s="51">
        <v>0</v>
      </c>
    </row>
    <row r="498" ht="195" customHeight="1">
      <c r="A498" t="s" s="21">
        <v>513</v>
      </c>
      <c r="B498" s="22">
        <f>SUM(C498,G498)</f>
        <v>169</v>
      </c>
      <c r="C498" s="23">
        <f>SUM(H498,I498,J498,K498,L498,M498,N498,O498,P498,Q498,R498,S498,T498,U498,V498)</f>
        <v>169</v>
      </c>
      <c r="D498" s="36"/>
      <c r="E498" s="25"/>
      <c r="F498" s="25"/>
      <c r="G498" s="26"/>
      <c r="H498" s="27">
        <v>20</v>
      </c>
      <c r="I498" s="28">
        <v>0</v>
      </c>
      <c r="J498" s="28">
        <v>24</v>
      </c>
      <c r="K498" s="28">
        <v>0</v>
      </c>
      <c r="L498" s="28">
        <v>0</v>
      </c>
      <c r="M498" s="30">
        <v>50</v>
      </c>
      <c r="N498" s="30">
        <v>50</v>
      </c>
      <c r="O498" s="30">
        <v>0</v>
      </c>
      <c r="P498" s="41">
        <v>0</v>
      </c>
      <c r="Q498" s="28">
        <v>0</v>
      </c>
      <c r="R498" s="28">
        <v>25</v>
      </c>
      <c r="S498" s="33"/>
      <c r="T498" s="28">
        <v>0</v>
      </c>
      <c r="U498" s="28">
        <v>0</v>
      </c>
      <c r="V498" s="28">
        <v>0</v>
      </c>
    </row>
    <row r="499" ht="19.5" customHeight="1">
      <c r="A499" t="s" s="21">
        <v>514</v>
      </c>
      <c r="B499" s="22">
        <f>SUM(C499,G499)</f>
        <v>310</v>
      </c>
      <c r="C499" s="23">
        <f>SUM(H499,I499,J499,K499,L499,M499,N499,O499,P499,Q499,R499,S499,T499,U499,V499)</f>
        <v>310</v>
      </c>
      <c r="D499" s="36"/>
      <c r="E499" s="25"/>
      <c r="F499" s="25"/>
      <c r="G499" s="26"/>
      <c r="H499" s="27">
        <v>200</v>
      </c>
      <c r="I499" s="28">
        <v>0</v>
      </c>
      <c r="J499" s="28">
        <v>10</v>
      </c>
      <c r="K499" s="28">
        <v>0</v>
      </c>
      <c r="L499" s="28">
        <v>0</v>
      </c>
      <c r="M499" s="30">
        <v>0</v>
      </c>
      <c r="N499" s="30">
        <v>0</v>
      </c>
      <c r="O499" s="30">
        <v>0</v>
      </c>
      <c r="P499" s="41">
        <v>0</v>
      </c>
      <c r="Q499" s="28">
        <v>0</v>
      </c>
      <c r="R499" s="28">
        <v>100</v>
      </c>
      <c r="S499" s="33"/>
      <c r="T499" s="28">
        <v>0</v>
      </c>
      <c r="U499" s="28">
        <v>0</v>
      </c>
      <c r="V499" s="28">
        <v>0</v>
      </c>
    </row>
    <row r="500" ht="19.5" customHeight="1">
      <c r="A500" t="s" s="88">
        <v>515</v>
      </c>
      <c r="B500" s="42">
        <f>SUM(C500,G500)</f>
        <v>0</v>
      </c>
      <c r="C500" s="43">
        <f>SUM(H500,I500,J500,K500,L500,M500,N500,O500,P500,Q500,R500,S500,T500,U500,V500)</f>
        <v>0</v>
      </c>
      <c r="D500" s="44"/>
      <c r="E500" s="33"/>
      <c r="F500" s="33"/>
      <c r="G500" s="33"/>
      <c r="H500" s="46"/>
      <c r="I500" s="47"/>
      <c r="J500" s="47"/>
      <c r="K500" s="47"/>
      <c r="L500" s="47"/>
      <c r="M500" s="48">
        <v>0</v>
      </c>
      <c r="N500" s="49"/>
      <c r="O500" s="50"/>
      <c r="P500" s="33"/>
      <c r="Q500" s="51">
        <v>0</v>
      </c>
      <c r="R500" s="47"/>
      <c r="S500" s="33"/>
      <c r="T500" s="47"/>
      <c r="U500" s="47"/>
      <c r="V500" s="51">
        <v>0</v>
      </c>
    </row>
    <row r="501" ht="47.25" customHeight="1">
      <c r="A501" t="s" s="10">
        <v>516</v>
      </c>
      <c r="B501" s="34">
        <f>SUM(C501,G501)</f>
        <v>12</v>
      </c>
      <c r="C501" s="35">
        <f>SUM(H501,I501,J501,K501,L501,M501,N501,O501,P501,Q501,R501,S501,T501,U501,V501)</f>
        <v>12</v>
      </c>
      <c r="D501" s="36"/>
      <c r="E501" s="25"/>
      <c r="F501" s="25"/>
      <c r="G501" s="26"/>
      <c r="H501" s="27">
        <v>0</v>
      </c>
      <c r="I501" s="38">
        <v>0</v>
      </c>
      <c r="J501" s="38">
        <v>12</v>
      </c>
      <c r="K501" s="38">
        <v>0</v>
      </c>
      <c r="L501" s="38">
        <v>0</v>
      </c>
      <c r="M501" s="40">
        <v>0</v>
      </c>
      <c r="N501" s="40">
        <v>0</v>
      </c>
      <c r="O501" s="40">
        <v>0</v>
      </c>
      <c r="P501" s="41">
        <v>0</v>
      </c>
      <c r="Q501" s="38">
        <v>0</v>
      </c>
      <c r="R501" s="80"/>
      <c r="S501" s="33"/>
      <c r="T501" s="38">
        <v>0</v>
      </c>
      <c r="U501" s="38">
        <v>0</v>
      </c>
      <c r="V501" s="38">
        <v>0</v>
      </c>
    </row>
    <row r="502" ht="31.5" customHeight="1">
      <c r="A502" t="s" s="21">
        <v>517</v>
      </c>
      <c r="B502" s="22">
        <f>SUM(C502,G502)</f>
        <v>700</v>
      </c>
      <c r="C502" s="23">
        <f>SUM(H502,I502,J502,K502,L502,M502,N502,O502,P502,Q502,R502,S502,T502,U502,V502)</f>
        <v>700</v>
      </c>
      <c r="D502" s="36"/>
      <c r="E502" s="25"/>
      <c r="F502" s="25"/>
      <c r="G502" s="26"/>
      <c r="H502" s="27">
        <v>200</v>
      </c>
      <c r="I502" s="28">
        <v>0</v>
      </c>
      <c r="J502" s="28">
        <v>300</v>
      </c>
      <c r="K502" s="28">
        <v>0</v>
      </c>
      <c r="L502" s="28">
        <v>0</v>
      </c>
      <c r="M502" s="30">
        <v>0</v>
      </c>
      <c r="N502" s="30">
        <v>0</v>
      </c>
      <c r="O502" s="30">
        <v>0</v>
      </c>
      <c r="P502" s="41">
        <v>0</v>
      </c>
      <c r="Q502" s="28">
        <v>0</v>
      </c>
      <c r="R502" s="28">
        <v>200</v>
      </c>
      <c r="S502" s="33"/>
      <c r="T502" s="28">
        <v>0</v>
      </c>
      <c r="U502" s="28">
        <v>0</v>
      </c>
      <c r="V502" s="28">
        <v>0</v>
      </c>
    </row>
    <row r="503" ht="39" customHeight="1">
      <c r="A503" t="s" s="72">
        <v>518</v>
      </c>
      <c r="B503" s="22">
        <f>SUM(C503,G503)</f>
        <v>800</v>
      </c>
      <c r="C503" s="23">
        <f>SUM(H503,I503,J503,K503,L503,M503,N503,O503,P503,Q503,R503,S503,T503,U503,V503)</f>
        <v>800</v>
      </c>
      <c r="D503" s="36"/>
      <c r="E503" s="25"/>
      <c r="F503" s="25"/>
      <c r="G503" s="26"/>
      <c r="H503" s="27">
        <v>300</v>
      </c>
      <c r="I503" s="28">
        <v>0</v>
      </c>
      <c r="J503" s="28">
        <v>200</v>
      </c>
      <c r="K503" s="28">
        <v>0</v>
      </c>
      <c r="L503" s="28">
        <v>0</v>
      </c>
      <c r="M503" s="30">
        <v>0</v>
      </c>
      <c r="N503" s="30">
        <v>0</v>
      </c>
      <c r="O503" s="30">
        <v>0</v>
      </c>
      <c r="P503" s="41">
        <v>0</v>
      </c>
      <c r="Q503" s="28">
        <v>0</v>
      </c>
      <c r="R503" s="28">
        <v>300</v>
      </c>
      <c r="S503" s="33"/>
      <c r="T503" s="28">
        <v>0</v>
      </c>
      <c r="U503" s="28">
        <v>0</v>
      </c>
      <c r="V503" s="28">
        <v>0</v>
      </c>
    </row>
    <row r="504" ht="47.25" customHeight="1">
      <c r="A504" t="s" s="21">
        <v>519</v>
      </c>
      <c r="B504" s="22">
        <f>SUM(C504,G504)</f>
        <v>1000</v>
      </c>
      <c r="C504" s="23">
        <f>SUM(H504,I504,J504,K504,L504,M504,N504,O504,P504,Q504,R504,S504,T504,U504,V504)</f>
        <v>1000</v>
      </c>
      <c r="D504" s="36"/>
      <c r="E504" s="25"/>
      <c r="F504" s="25"/>
      <c r="G504" s="26"/>
      <c r="H504" s="27">
        <v>500</v>
      </c>
      <c r="I504" s="28">
        <v>0</v>
      </c>
      <c r="J504" s="28">
        <v>200</v>
      </c>
      <c r="K504" s="28">
        <v>0</v>
      </c>
      <c r="L504" s="28">
        <v>0</v>
      </c>
      <c r="M504" s="30">
        <v>0</v>
      </c>
      <c r="N504" s="30">
        <v>0</v>
      </c>
      <c r="O504" s="30">
        <v>0</v>
      </c>
      <c r="P504" s="41">
        <v>0</v>
      </c>
      <c r="Q504" s="28">
        <v>0</v>
      </c>
      <c r="R504" s="28">
        <v>300</v>
      </c>
      <c r="S504" s="33"/>
      <c r="T504" s="28">
        <v>0</v>
      </c>
      <c r="U504" s="28">
        <v>0</v>
      </c>
      <c r="V504" s="28">
        <v>0</v>
      </c>
    </row>
    <row r="505" ht="31.5" customHeight="1">
      <c r="A505" t="s" s="88">
        <v>520</v>
      </c>
      <c r="B505" s="42">
        <f>SUM(C505,G505)</f>
        <v>0</v>
      </c>
      <c r="C505" s="43">
        <f>SUM(H505,I505,J505,K505,L505,M505,N505,O505,P505,Q505,R505,S505,T505,U505,V505)</f>
        <v>0</v>
      </c>
      <c r="D505" s="44"/>
      <c r="E505" s="45"/>
      <c r="F505" s="45"/>
      <c r="G505" s="45"/>
      <c r="H505" s="46"/>
      <c r="I505" s="47"/>
      <c r="J505" s="47"/>
      <c r="K505" s="47"/>
      <c r="L505" s="47"/>
      <c r="M505" s="48">
        <v>0</v>
      </c>
      <c r="N505" s="49"/>
      <c r="O505" s="50"/>
      <c r="P505" s="45"/>
      <c r="Q505" s="51">
        <v>0</v>
      </c>
      <c r="R505" s="47"/>
      <c r="S505" s="45"/>
      <c r="T505" s="47"/>
      <c r="U505" s="47"/>
      <c r="V505" s="51">
        <v>0</v>
      </c>
    </row>
    <row r="506" ht="63" customHeight="1">
      <c r="A506" t="s" s="52">
        <v>521</v>
      </c>
      <c r="B506" s="42">
        <f>SUM(C506,G506)</f>
        <v>35</v>
      </c>
      <c r="C506" s="43">
        <f>SUM(H506,I506,J506,K506,L506,M506,N506,O506,P506,Q506,R506,S506,T506,U506,V506)</f>
        <v>35</v>
      </c>
      <c r="D506" s="44"/>
      <c r="E506" s="17"/>
      <c r="F506" s="17"/>
      <c r="G506" s="17"/>
      <c r="H506" s="27">
        <v>0</v>
      </c>
      <c r="I506" s="51">
        <v>0</v>
      </c>
      <c r="J506" s="51">
        <v>10</v>
      </c>
      <c r="K506" s="51">
        <v>0</v>
      </c>
      <c r="L506" s="51">
        <v>0</v>
      </c>
      <c r="M506" s="48">
        <v>0</v>
      </c>
      <c r="N506" s="48">
        <v>0</v>
      </c>
      <c r="O506" s="55">
        <v>0</v>
      </c>
      <c r="P506" s="56">
        <v>0</v>
      </c>
      <c r="Q506" s="51">
        <v>0</v>
      </c>
      <c r="R506" s="51">
        <v>25</v>
      </c>
      <c r="S506" s="17"/>
      <c r="T506" s="51">
        <v>0</v>
      </c>
      <c r="U506" s="51">
        <v>0</v>
      </c>
      <c r="V506" s="51">
        <v>0</v>
      </c>
    </row>
    <row r="507" ht="47.25" customHeight="1">
      <c r="A507" t="s" s="21">
        <v>522</v>
      </c>
      <c r="B507" s="22">
        <f>SUM(C507,G507)</f>
        <v>22300</v>
      </c>
      <c r="C507" s="23">
        <f>SUM(H507,I507,J507,K507,L507,M507,N507,O507,P507,Q507,R507,S507,T507,U507,V507)</f>
        <v>22300</v>
      </c>
      <c r="D507" s="36"/>
      <c r="E507" s="25"/>
      <c r="F507" s="25"/>
      <c r="G507" s="26"/>
      <c r="H507" s="27">
        <v>20000</v>
      </c>
      <c r="I507" s="28">
        <v>0</v>
      </c>
      <c r="J507" s="28">
        <v>2000</v>
      </c>
      <c r="K507" s="28">
        <v>0</v>
      </c>
      <c r="L507" s="28">
        <v>0</v>
      </c>
      <c r="M507" s="30">
        <v>0</v>
      </c>
      <c r="N507" s="30">
        <v>0</v>
      </c>
      <c r="O507" s="30">
        <v>0</v>
      </c>
      <c r="P507" s="41">
        <v>0</v>
      </c>
      <c r="Q507" s="28">
        <v>0</v>
      </c>
      <c r="R507" s="28">
        <v>300</v>
      </c>
      <c r="S507" s="33"/>
      <c r="T507" s="28">
        <v>0</v>
      </c>
      <c r="U507" s="28">
        <v>0</v>
      </c>
      <c r="V507" s="28">
        <v>0</v>
      </c>
    </row>
    <row r="508" ht="175.5" customHeight="1">
      <c r="A508" t="s" s="88">
        <v>523</v>
      </c>
      <c r="B508" s="42">
        <f>SUM(C508,G508)</f>
        <v>0</v>
      </c>
      <c r="C508" s="43">
        <f>SUM(H508,I508,J508,K508,L508,M508,N508,O508,P508,Q508,R508,S508,T508,U508,V508)</f>
        <v>0</v>
      </c>
      <c r="D508" s="44"/>
      <c r="E508" s="45"/>
      <c r="F508" s="45"/>
      <c r="G508" s="45"/>
      <c r="H508" s="46"/>
      <c r="I508" s="47"/>
      <c r="J508" s="47"/>
      <c r="K508" s="47"/>
      <c r="L508" s="47"/>
      <c r="M508" s="48">
        <v>0</v>
      </c>
      <c r="N508" s="49"/>
      <c r="O508" s="50"/>
      <c r="P508" s="45"/>
      <c r="Q508" s="51">
        <v>0</v>
      </c>
      <c r="R508" s="47"/>
      <c r="S508" s="45"/>
      <c r="T508" s="47"/>
      <c r="U508" s="47"/>
      <c r="V508" s="51">
        <v>0</v>
      </c>
    </row>
    <row r="509" ht="409.5" customHeight="1">
      <c r="A509" t="s" s="52">
        <v>524</v>
      </c>
      <c r="B509" s="42">
        <f>SUM(C509,G509)</f>
        <v>0</v>
      </c>
      <c r="C509" s="43">
        <f>SUM(H509,I509,J509,K509,L509,M509,N509,O509,P509,Q509,R509,S509,T509,U509,V509)</f>
        <v>0</v>
      </c>
      <c r="D509" s="44"/>
      <c r="E509" s="6"/>
      <c r="F509" s="6"/>
      <c r="G509" s="6"/>
      <c r="H509" s="46"/>
      <c r="I509" s="51">
        <v>0</v>
      </c>
      <c r="J509" s="51">
        <v>0</v>
      </c>
      <c r="K509" s="51">
        <v>0</v>
      </c>
      <c r="L509" s="51">
        <v>0</v>
      </c>
      <c r="M509" s="48">
        <v>0</v>
      </c>
      <c r="N509" s="48">
        <v>0</v>
      </c>
      <c r="O509" s="55">
        <v>0</v>
      </c>
      <c r="P509" s="53">
        <v>0</v>
      </c>
      <c r="Q509" s="51">
        <v>0</v>
      </c>
      <c r="R509" s="51">
        <v>0</v>
      </c>
      <c r="S509" s="6"/>
      <c r="T509" s="51">
        <v>0</v>
      </c>
      <c r="U509" s="51">
        <v>0</v>
      </c>
      <c r="V509" s="51">
        <v>0</v>
      </c>
    </row>
    <row r="510" ht="330.75" customHeight="1">
      <c r="A510" t="s" s="52">
        <v>525</v>
      </c>
      <c r="B510" s="42">
        <f>SUM(C510,G510)</f>
        <v>0</v>
      </c>
      <c r="C510" s="43">
        <f>SUM(H510,I510,J510,K510,L510,M510,N510,O510,P510,Q510,R510,S510,T510,U510,V510)</f>
        <v>0</v>
      </c>
      <c r="D510" s="44"/>
      <c r="E510" s="17"/>
      <c r="F510" s="17"/>
      <c r="G510" s="17"/>
      <c r="H510" s="46"/>
      <c r="I510" s="51">
        <v>0</v>
      </c>
      <c r="J510" s="51">
        <v>0</v>
      </c>
      <c r="K510" s="51">
        <v>0</v>
      </c>
      <c r="L510" s="51">
        <v>0</v>
      </c>
      <c r="M510" s="48">
        <v>0</v>
      </c>
      <c r="N510" s="48">
        <v>0</v>
      </c>
      <c r="O510" s="55">
        <v>0</v>
      </c>
      <c r="P510" s="56">
        <v>0</v>
      </c>
      <c r="Q510" s="51">
        <v>0</v>
      </c>
      <c r="R510" s="51">
        <v>0</v>
      </c>
      <c r="S510" s="17"/>
      <c r="T510" s="51">
        <v>0</v>
      </c>
      <c r="U510" s="51">
        <v>0</v>
      </c>
      <c r="V510" s="51">
        <v>0</v>
      </c>
    </row>
    <row r="511" ht="315" customHeight="1">
      <c r="A511" t="s" s="129">
        <v>526</v>
      </c>
      <c r="B511" s="34">
        <f>SUM(C511,G511)</f>
        <v>200</v>
      </c>
      <c r="C511" s="35">
        <f>SUM(H511,I511,J511,K511,L511,M511,N511,O511,P511,Q511,R511,S511,T511,U511,V511)</f>
        <v>200</v>
      </c>
      <c r="D511" s="36"/>
      <c r="E511" s="25"/>
      <c r="F511" s="25"/>
      <c r="G511" s="26"/>
      <c r="H511" s="27">
        <v>200</v>
      </c>
      <c r="I511" s="38">
        <v>0</v>
      </c>
      <c r="J511" s="38">
        <v>0</v>
      </c>
      <c r="K511" s="38">
        <v>0</v>
      </c>
      <c r="L511" s="38">
        <v>0</v>
      </c>
      <c r="M511" s="40">
        <v>0</v>
      </c>
      <c r="N511" s="40">
        <v>0</v>
      </c>
      <c r="O511" s="40">
        <v>0</v>
      </c>
      <c r="P511" s="41">
        <v>0</v>
      </c>
      <c r="Q511" s="38">
        <v>0</v>
      </c>
      <c r="R511" s="38">
        <v>0</v>
      </c>
      <c r="S511" s="33"/>
      <c r="T511" s="38">
        <v>0</v>
      </c>
      <c r="U511" s="38">
        <v>0</v>
      </c>
      <c r="V511" s="38">
        <v>0</v>
      </c>
    </row>
    <row r="512" ht="283.5" customHeight="1">
      <c r="A512" t="s" s="118">
        <v>527</v>
      </c>
      <c r="B512" s="42">
        <f>SUM(C512,G512)</f>
        <v>0</v>
      </c>
      <c r="C512" s="43">
        <f>SUM(H512,I512,J512,K512,L512,M512,N512,O512,P512,Q512,R512,S512,T512,U512,V512)</f>
        <v>0</v>
      </c>
      <c r="D512" s="44"/>
      <c r="E512" s="45"/>
      <c r="F512" s="45"/>
      <c r="G512" s="45"/>
      <c r="H512" s="46"/>
      <c r="I512" s="51">
        <v>0</v>
      </c>
      <c r="J512" s="51">
        <v>0</v>
      </c>
      <c r="K512" s="51">
        <v>0</v>
      </c>
      <c r="L512" s="51">
        <v>0</v>
      </c>
      <c r="M512" s="48">
        <v>0</v>
      </c>
      <c r="N512" s="48">
        <v>0</v>
      </c>
      <c r="O512" s="55">
        <v>0</v>
      </c>
      <c r="P512" s="58">
        <v>0</v>
      </c>
      <c r="Q512" s="51">
        <v>0</v>
      </c>
      <c r="R512" s="51">
        <v>0</v>
      </c>
      <c r="S512" s="45"/>
      <c r="T512" s="51">
        <v>0</v>
      </c>
      <c r="U512" s="51">
        <v>0</v>
      </c>
      <c r="V512" s="51">
        <v>0</v>
      </c>
    </row>
    <row r="513" ht="31.5" customHeight="1">
      <c r="A513" t="s" s="103">
        <v>528</v>
      </c>
      <c r="B513" s="42">
        <f>SUM(C513,G513)</f>
        <v>0</v>
      </c>
      <c r="C513" s="43">
        <f>SUM(H513,I513,J513,K513,L513,M513,N513,O513,P513,Q513,R513,S513,T513,U513,V513)</f>
        <v>0</v>
      </c>
      <c r="D513" s="44"/>
      <c r="E513" s="6"/>
      <c r="F513" s="6"/>
      <c r="G513" s="6"/>
      <c r="H513" s="46"/>
      <c r="I513" s="47"/>
      <c r="J513" s="47"/>
      <c r="K513" s="47"/>
      <c r="L513" s="47"/>
      <c r="M513" s="48">
        <v>0</v>
      </c>
      <c r="N513" s="49"/>
      <c r="O513" s="55">
        <v>0</v>
      </c>
      <c r="P513" s="6"/>
      <c r="Q513" s="51">
        <v>0</v>
      </c>
      <c r="R513" s="47"/>
      <c r="S513" s="6"/>
      <c r="T513" s="47"/>
      <c r="U513" s="47"/>
      <c r="V513" s="51">
        <v>0</v>
      </c>
    </row>
    <row r="514" ht="31.5" customHeight="1">
      <c r="A514" t="s" s="88">
        <v>529</v>
      </c>
      <c r="B514" s="42">
        <f>SUM(C514,G514)</f>
        <v>0</v>
      </c>
      <c r="C514" s="43">
        <f>SUM(H514,I514,J514,K514,L514,M514,N514,O514,P514,Q514,R514,S514,T514,U514,V514)</f>
        <v>0</v>
      </c>
      <c r="D514" s="44"/>
      <c r="E514" s="17"/>
      <c r="F514" s="17"/>
      <c r="G514" s="17"/>
      <c r="H514" s="46"/>
      <c r="I514" s="47"/>
      <c r="J514" s="47"/>
      <c r="K514" s="47"/>
      <c r="L514" s="47"/>
      <c r="M514" s="48">
        <v>0</v>
      </c>
      <c r="N514" s="49"/>
      <c r="O514" s="50"/>
      <c r="P514" s="17"/>
      <c r="Q514" s="51">
        <v>0</v>
      </c>
      <c r="R514" s="47"/>
      <c r="S514" s="17"/>
      <c r="T514" s="47"/>
      <c r="U514" s="47"/>
      <c r="V514" s="51">
        <v>0</v>
      </c>
    </row>
    <row r="515" ht="47.25" customHeight="1">
      <c r="A515" t="s" s="21">
        <v>530</v>
      </c>
      <c r="B515" s="22">
        <f>SUM(C515,G515)</f>
        <v>9220</v>
      </c>
      <c r="C515" s="23">
        <f>SUM(H515,I515,J515,K515,L515,M515,N515,O515,P515,Q515,R515,S515,T515,U515,V515)</f>
        <v>9220</v>
      </c>
      <c r="D515" s="36"/>
      <c r="E515" s="25"/>
      <c r="F515" s="25"/>
      <c r="G515" s="26"/>
      <c r="H515" s="27">
        <v>2000</v>
      </c>
      <c r="I515" s="28">
        <v>0</v>
      </c>
      <c r="J515" s="28">
        <v>750</v>
      </c>
      <c r="K515" s="28">
        <v>20</v>
      </c>
      <c r="L515" s="28">
        <v>0</v>
      </c>
      <c r="M515" s="30">
        <v>230</v>
      </c>
      <c r="N515" s="30">
        <v>2165</v>
      </c>
      <c r="O515" s="30">
        <v>1995</v>
      </c>
      <c r="P515" s="41">
        <v>1350</v>
      </c>
      <c r="Q515" s="28">
        <v>660</v>
      </c>
      <c r="R515" s="28">
        <v>0</v>
      </c>
      <c r="S515" s="33"/>
      <c r="T515" s="28">
        <v>50</v>
      </c>
      <c r="U515" s="28">
        <v>0</v>
      </c>
      <c r="V515" s="28">
        <v>0</v>
      </c>
    </row>
    <row r="516" ht="31.5" customHeight="1">
      <c r="A516" t="s" s="21">
        <v>531</v>
      </c>
      <c r="B516" s="22">
        <f>SUM(C516,G516)</f>
        <v>3650</v>
      </c>
      <c r="C516" s="23">
        <f>SUM(H516,I516,J516,K516,L516,M516,N516,O516,P516,Q516,R516,S516,T516,U516,V516)</f>
        <v>3650</v>
      </c>
      <c r="D516" s="36"/>
      <c r="E516" s="25"/>
      <c r="F516" s="25"/>
      <c r="G516" s="26"/>
      <c r="H516" s="27">
        <v>3000</v>
      </c>
      <c r="I516" s="28">
        <v>0</v>
      </c>
      <c r="J516" s="28">
        <v>300</v>
      </c>
      <c r="K516" s="28">
        <v>200</v>
      </c>
      <c r="L516" s="28">
        <v>100</v>
      </c>
      <c r="M516" s="30">
        <v>0</v>
      </c>
      <c r="N516" s="30">
        <v>0</v>
      </c>
      <c r="O516" s="30">
        <v>0</v>
      </c>
      <c r="P516" s="41">
        <v>0</v>
      </c>
      <c r="Q516" s="28">
        <v>0</v>
      </c>
      <c r="R516" s="28">
        <v>0</v>
      </c>
      <c r="S516" s="33"/>
      <c r="T516" s="28">
        <v>50</v>
      </c>
      <c r="U516" s="28">
        <v>0</v>
      </c>
      <c r="V516" s="28">
        <v>0</v>
      </c>
    </row>
    <row r="517" ht="94.5" customHeight="1">
      <c r="A517" t="s" s="103">
        <v>532</v>
      </c>
      <c r="B517" s="42">
        <f>SUM(C517,G517)</f>
        <v>0</v>
      </c>
      <c r="C517" s="43">
        <f>SUM(H517,I517,J517,K517,L517,M517,N517,O517,P517,Q517,R517,S517,T517,U517,V517)</f>
        <v>0</v>
      </c>
      <c r="D517" s="44"/>
      <c r="E517" s="45"/>
      <c r="F517" s="45"/>
      <c r="G517" s="45"/>
      <c r="H517" s="46"/>
      <c r="I517" s="47"/>
      <c r="J517" s="47"/>
      <c r="K517" s="47"/>
      <c r="L517" s="47"/>
      <c r="M517" s="48">
        <v>0</v>
      </c>
      <c r="N517" s="49"/>
      <c r="O517" s="55">
        <v>0</v>
      </c>
      <c r="P517" s="45"/>
      <c r="Q517" s="51">
        <v>0</v>
      </c>
      <c r="R517" s="47"/>
      <c r="S517" s="45"/>
      <c r="T517" s="47"/>
      <c r="U517" s="47"/>
      <c r="V517" s="51">
        <v>0</v>
      </c>
    </row>
    <row r="518" ht="31.5" customHeight="1">
      <c r="A518" t="s" s="88">
        <v>533</v>
      </c>
      <c r="B518" s="42">
        <f>SUM(C518,G518)</f>
        <v>0</v>
      </c>
      <c r="C518" s="43">
        <f>SUM(H518,I518,J518,K518,L518,M518,N518,O518,P518,Q518,R518,S518,T518,U518,V518)</f>
        <v>0</v>
      </c>
      <c r="D518" s="44"/>
      <c r="E518" s="17"/>
      <c r="F518" s="17"/>
      <c r="G518" s="17"/>
      <c r="H518" s="46"/>
      <c r="I518" s="47"/>
      <c r="J518" s="47"/>
      <c r="K518" s="47"/>
      <c r="L518" s="47"/>
      <c r="M518" s="48">
        <v>0</v>
      </c>
      <c r="N518" s="49"/>
      <c r="O518" s="50"/>
      <c r="P518" s="17"/>
      <c r="Q518" s="51">
        <v>0</v>
      </c>
      <c r="R518" s="47"/>
      <c r="S518" s="17"/>
      <c r="T518" s="47"/>
      <c r="U518" s="47"/>
      <c r="V518" s="51">
        <v>0</v>
      </c>
    </row>
    <row r="519" ht="31.5" customHeight="1">
      <c r="A519" t="s" s="21">
        <v>534</v>
      </c>
      <c r="B519" s="22">
        <f>SUM(C519,G519)</f>
        <v>47220</v>
      </c>
      <c r="C519" s="23">
        <f>SUM(H519,I519,J519,K519,L519,M519,N519,O519,P519,Q519,R519,S519,T519,U519,V519)</f>
        <v>47220</v>
      </c>
      <c r="D519" s="36"/>
      <c r="E519" s="25"/>
      <c r="F519" s="25"/>
      <c r="G519" s="26"/>
      <c r="H519" s="27">
        <v>10000</v>
      </c>
      <c r="I519" s="28">
        <v>2000</v>
      </c>
      <c r="J519" s="28">
        <v>4000</v>
      </c>
      <c r="K519" s="28">
        <v>1000</v>
      </c>
      <c r="L519" s="28">
        <v>200</v>
      </c>
      <c r="M519" s="30">
        <v>5550</v>
      </c>
      <c r="N519" s="30">
        <v>9010</v>
      </c>
      <c r="O519" s="30">
        <v>5850</v>
      </c>
      <c r="P519" s="41">
        <v>4350</v>
      </c>
      <c r="Q519" s="28">
        <v>4660</v>
      </c>
      <c r="R519" s="28">
        <v>0</v>
      </c>
      <c r="S519" s="33"/>
      <c r="T519" s="28">
        <v>600</v>
      </c>
      <c r="U519" s="28">
        <v>0</v>
      </c>
      <c r="V519" s="28">
        <v>0</v>
      </c>
    </row>
    <row r="520" ht="47.25" customHeight="1">
      <c r="A520" t="s" s="88">
        <v>535</v>
      </c>
      <c r="B520" s="42">
        <f>SUM(C520,G520)</f>
        <v>0</v>
      </c>
      <c r="C520" s="43">
        <f>SUM(H520,I520,J520,K520,L520,M520,N520,O520,P520,Q520,R520,S520,T520,U520,V520)</f>
        <v>0</v>
      </c>
      <c r="D520" s="44"/>
      <c r="E520" s="33"/>
      <c r="F520" s="33"/>
      <c r="G520" s="33"/>
      <c r="H520" s="46"/>
      <c r="I520" s="47"/>
      <c r="J520" s="47"/>
      <c r="K520" s="47"/>
      <c r="L520" s="47"/>
      <c r="M520" s="48">
        <v>0</v>
      </c>
      <c r="N520" s="49"/>
      <c r="O520" s="50"/>
      <c r="P520" s="33"/>
      <c r="Q520" s="51">
        <v>0</v>
      </c>
      <c r="R520" s="47"/>
      <c r="S520" s="33"/>
      <c r="T520" s="47"/>
      <c r="U520" s="47"/>
      <c r="V520" s="51">
        <v>0</v>
      </c>
    </row>
    <row r="521" ht="19.5" customHeight="1">
      <c r="A521" t="s" s="86">
        <v>536</v>
      </c>
      <c r="B521" s="22">
        <f>SUM(C521,G521)</f>
        <v>15915</v>
      </c>
      <c r="C521" s="23">
        <f>SUM(H521,I521,J521,K521,L521,M521,N521,O521,P521,Q521,R521,S521,T521,U521,V521)</f>
        <v>15915</v>
      </c>
      <c r="D521" s="36"/>
      <c r="E521" s="25"/>
      <c r="F521" s="25"/>
      <c r="G521" s="26"/>
      <c r="H521" s="27">
        <v>5000</v>
      </c>
      <c r="I521" s="28">
        <v>75</v>
      </c>
      <c r="J521" s="28">
        <v>1000</v>
      </c>
      <c r="K521" s="28">
        <v>200</v>
      </c>
      <c r="L521" s="28">
        <v>310</v>
      </c>
      <c r="M521" s="30">
        <v>1450</v>
      </c>
      <c r="N521" s="30">
        <v>2390</v>
      </c>
      <c r="O521" s="30">
        <v>1450</v>
      </c>
      <c r="P521" s="41">
        <v>1500</v>
      </c>
      <c r="Q521" s="28">
        <v>2490</v>
      </c>
      <c r="R521" s="28">
        <v>0</v>
      </c>
      <c r="S521" s="33"/>
      <c r="T521" s="28">
        <v>50</v>
      </c>
      <c r="U521" s="28">
        <v>0</v>
      </c>
      <c r="V521" s="28">
        <v>0</v>
      </c>
    </row>
    <row r="522" ht="47.25" customHeight="1">
      <c r="A522" t="s" s="21">
        <v>537</v>
      </c>
      <c r="B522" s="22">
        <f>SUM(C522,G522)</f>
        <v>12880</v>
      </c>
      <c r="C522" s="23">
        <f>SUM(H522,I522,J522,K522,L522,M522,N522,O522,P522,Q522,R522,S522,T522,U522,V522)</f>
        <v>12880</v>
      </c>
      <c r="D522" s="36"/>
      <c r="E522" s="25"/>
      <c r="F522" s="25"/>
      <c r="G522" s="26"/>
      <c r="H522" s="27">
        <v>1000</v>
      </c>
      <c r="I522" s="28">
        <v>150</v>
      </c>
      <c r="J522" s="28">
        <v>1000</v>
      </c>
      <c r="K522" s="28">
        <v>200</v>
      </c>
      <c r="L522" s="28">
        <v>0</v>
      </c>
      <c r="M522" s="30">
        <v>1850</v>
      </c>
      <c r="N522" s="30">
        <v>3130</v>
      </c>
      <c r="O522" s="30">
        <v>2030</v>
      </c>
      <c r="P522" s="41">
        <v>1650</v>
      </c>
      <c r="Q522" s="28">
        <v>1670</v>
      </c>
      <c r="R522" s="28">
        <v>0</v>
      </c>
      <c r="S522" s="33"/>
      <c r="T522" s="28">
        <v>200</v>
      </c>
      <c r="U522" s="28">
        <v>0</v>
      </c>
      <c r="V522" s="28">
        <v>0</v>
      </c>
    </row>
    <row r="523" ht="19.5" customHeight="1">
      <c r="A523" t="s" s="88">
        <v>538</v>
      </c>
      <c r="B523" s="42">
        <f>SUM(C523,G523)</f>
        <v>0</v>
      </c>
      <c r="C523" s="43">
        <f>SUM(H523,I523,J523,K523,L523,M523,N523,O523,P523,Q523,R523,S523,T523,U523,V523)</f>
        <v>0</v>
      </c>
      <c r="D523" s="44"/>
      <c r="E523" s="33"/>
      <c r="F523" s="33"/>
      <c r="G523" s="33"/>
      <c r="H523" s="46"/>
      <c r="I523" s="47"/>
      <c r="J523" s="47"/>
      <c r="K523" s="47"/>
      <c r="L523" s="47"/>
      <c r="M523" s="48">
        <v>0</v>
      </c>
      <c r="N523" s="49"/>
      <c r="O523" s="50"/>
      <c r="P523" s="33"/>
      <c r="Q523" s="51">
        <v>0</v>
      </c>
      <c r="R523" s="47"/>
      <c r="S523" s="33"/>
      <c r="T523" s="47"/>
      <c r="U523" s="47"/>
      <c r="V523" s="51">
        <v>0</v>
      </c>
    </row>
    <row r="524" ht="47.25" customHeight="1">
      <c r="A524" t="s" s="21">
        <v>539</v>
      </c>
      <c r="B524" s="22">
        <f>SUM(C524,G524)</f>
        <v>48670</v>
      </c>
      <c r="C524" s="23">
        <f>SUM(H524,I524,J524,K524,L524,M524,N524,O524,P524,Q524,R524,S524,T524,U524,V524)</f>
        <v>48670</v>
      </c>
      <c r="D524" s="36"/>
      <c r="E524" s="25"/>
      <c r="F524" s="25"/>
      <c r="G524" s="26"/>
      <c r="H524" s="27">
        <v>10000</v>
      </c>
      <c r="I524" s="28">
        <v>300</v>
      </c>
      <c r="J524" s="28">
        <v>5000</v>
      </c>
      <c r="K524" s="28">
        <v>1000</v>
      </c>
      <c r="L524" s="28">
        <v>500</v>
      </c>
      <c r="M524" s="30">
        <v>5720</v>
      </c>
      <c r="N524" s="30">
        <v>6080</v>
      </c>
      <c r="O524" s="30">
        <v>6720</v>
      </c>
      <c r="P524" s="41">
        <v>4200</v>
      </c>
      <c r="Q524" s="28">
        <v>8650</v>
      </c>
      <c r="R524" s="28">
        <v>0</v>
      </c>
      <c r="S524" s="33"/>
      <c r="T524" s="28">
        <v>500</v>
      </c>
      <c r="U524" s="28">
        <v>0</v>
      </c>
      <c r="V524" s="28">
        <v>0</v>
      </c>
    </row>
    <row r="525" ht="31.5" customHeight="1">
      <c r="A525" t="s" s="21">
        <v>540</v>
      </c>
      <c r="B525" s="22">
        <f>SUM(C525,G525)</f>
        <v>17600</v>
      </c>
      <c r="C525" s="23">
        <f>SUM(H525,I525,J525,K525,L525,M525,N525,O525,P525,Q525,R525,S525,T525,U525,V525)</f>
        <v>17600</v>
      </c>
      <c r="D525" s="36"/>
      <c r="E525" s="25"/>
      <c r="F525" s="25"/>
      <c r="G525" s="26"/>
      <c r="H525" s="27">
        <v>15000</v>
      </c>
      <c r="I525" s="28">
        <v>0</v>
      </c>
      <c r="J525" s="28">
        <v>2000</v>
      </c>
      <c r="K525" s="28">
        <v>200</v>
      </c>
      <c r="L525" s="28">
        <v>250</v>
      </c>
      <c r="M525" s="30">
        <v>0</v>
      </c>
      <c r="N525" s="30">
        <v>0</v>
      </c>
      <c r="O525" s="30">
        <v>0</v>
      </c>
      <c r="P525" s="41">
        <v>0</v>
      </c>
      <c r="Q525" s="28">
        <v>0</v>
      </c>
      <c r="R525" s="28">
        <v>0</v>
      </c>
      <c r="S525" s="33"/>
      <c r="T525" s="28">
        <v>150</v>
      </c>
      <c r="U525" s="28">
        <v>0</v>
      </c>
      <c r="V525" s="28">
        <v>0</v>
      </c>
    </row>
    <row r="526" ht="78.75" customHeight="1">
      <c r="A526" t="s" s="21">
        <v>541</v>
      </c>
      <c r="B526" s="22">
        <f>SUM(C526,G526)</f>
        <v>98280</v>
      </c>
      <c r="C526" s="23">
        <f>SUM(H526,I526,J526,K526,L526,M526,N526,O526,P526,Q526,R526,S526,T526,U526,V526)</f>
        <v>98280</v>
      </c>
      <c r="D526" s="36"/>
      <c r="E526" s="25"/>
      <c r="F526" s="25"/>
      <c r="G526" s="26"/>
      <c r="H526" s="27">
        <v>25000</v>
      </c>
      <c r="I526" s="28">
        <v>300</v>
      </c>
      <c r="J526" s="28">
        <v>5000</v>
      </c>
      <c r="K526" s="28">
        <v>1600</v>
      </c>
      <c r="L526" s="28">
        <v>300</v>
      </c>
      <c r="M526" s="30">
        <v>7000</v>
      </c>
      <c r="N526" s="30">
        <v>15080</v>
      </c>
      <c r="O526" s="30">
        <v>19350</v>
      </c>
      <c r="P526" s="41">
        <v>8200</v>
      </c>
      <c r="Q526" s="28">
        <v>15950</v>
      </c>
      <c r="R526" s="28">
        <v>0</v>
      </c>
      <c r="S526" s="33"/>
      <c r="T526" s="28">
        <v>500</v>
      </c>
      <c r="U526" s="28">
        <v>0</v>
      </c>
      <c r="V526" s="28">
        <v>0</v>
      </c>
    </row>
    <row r="527" ht="31.5" customHeight="1">
      <c r="A527" t="s" s="88">
        <v>542</v>
      </c>
      <c r="B527" s="42">
        <f>SUM(C527,G527)</f>
        <v>0</v>
      </c>
      <c r="C527" s="43">
        <f>SUM(H527,I527,J527,K527,L527,M527,N527,O527,P527,Q527,R527,S527,T527,U527,V527)</f>
        <v>0</v>
      </c>
      <c r="D527" s="44"/>
      <c r="E527" s="33"/>
      <c r="F527" s="33"/>
      <c r="G527" s="33"/>
      <c r="H527" s="46"/>
      <c r="I527" s="47"/>
      <c r="J527" s="47"/>
      <c r="K527" s="47"/>
      <c r="L527" s="47"/>
      <c r="M527" s="48">
        <v>0</v>
      </c>
      <c r="N527" s="49"/>
      <c r="O527" s="50"/>
      <c r="P527" s="33"/>
      <c r="Q527" s="51">
        <v>0</v>
      </c>
      <c r="R527" s="47"/>
      <c r="S527" s="33"/>
      <c r="T527" s="47"/>
      <c r="U527" s="47"/>
      <c r="V527" s="51">
        <v>0</v>
      </c>
    </row>
    <row r="528" ht="31.5" customHeight="1">
      <c r="A528" t="s" s="21">
        <v>543</v>
      </c>
      <c r="B528" s="22">
        <f>SUM(C528,G528)</f>
        <v>850</v>
      </c>
      <c r="C528" s="23">
        <f>SUM(H528,I528,J528,K528,L528,M528,N528,O528,P528,Q528,R528,S528,T528,U528,V528)</f>
        <v>850</v>
      </c>
      <c r="D528" s="36"/>
      <c r="E528" s="25"/>
      <c r="F528" s="25"/>
      <c r="G528" s="26"/>
      <c r="H528" s="27">
        <v>300</v>
      </c>
      <c r="I528" s="28">
        <v>0</v>
      </c>
      <c r="J528" s="28">
        <v>500</v>
      </c>
      <c r="K528" s="28">
        <v>0</v>
      </c>
      <c r="L528" s="28">
        <v>0</v>
      </c>
      <c r="M528" s="30">
        <v>0</v>
      </c>
      <c r="N528" s="30">
        <v>0</v>
      </c>
      <c r="O528" s="30">
        <v>0</v>
      </c>
      <c r="P528" s="41">
        <v>0</v>
      </c>
      <c r="Q528" s="28">
        <v>0</v>
      </c>
      <c r="R528" s="28">
        <v>0</v>
      </c>
      <c r="S528" s="33"/>
      <c r="T528" s="28">
        <v>50</v>
      </c>
      <c r="U528" s="28">
        <v>0</v>
      </c>
      <c r="V528" s="28">
        <v>0</v>
      </c>
    </row>
    <row r="529" ht="19.5" customHeight="1">
      <c r="A529" t="s" s="88">
        <v>544</v>
      </c>
      <c r="B529" s="42">
        <f>SUM(C529,G529)</f>
        <v>0</v>
      </c>
      <c r="C529" s="43">
        <f>SUM(H529,I529,J529,K529,L529,M529,N529,O529,P529,Q529,R529,S529,T529,U529,V529)</f>
        <v>0</v>
      </c>
      <c r="D529" s="44"/>
      <c r="E529" s="33"/>
      <c r="F529" s="33"/>
      <c r="G529" s="33"/>
      <c r="H529" s="46"/>
      <c r="I529" s="47"/>
      <c r="J529" s="47"/>
      <c r="K529" s="47"/>
      <c r="L529" s="47"/>
      <c r="M529" s="48">
        <v>0</v>
      </c>
      <c r="N529" s="49"/>
      <c r="O529" s="50"/>
      <c r="P529" s="33"/>
      <c r="Q529" s="51">
        <v>0</v>
      </c>
      <c r="R529" s="47"/>
      <c r="S529" s="33"/>
      <c r="T529" s="47"/>
      <c r="U529" s="47"/>
      <c r="V529" s="51">
        <v>0</v>
      </c>
    </row>
    <row r="530" ht="31.5" customHeight="1">
      <c r="A530" t="s" s="21">
        <v>545</v>
      </c>
      <c r="B530" s="22">
        <f>SUM(C530,G530)</f>
        <v>1200</v>
      </c>
      <c r="C530" s="23">
        <f>SUM(H530,I530,J530,K530,L530,M530,N530,O530,P530,Q530,R530,S530,T530,U530,V530)</f>
        <v>1200</v>
      </c>
      <c r="D530" s="36"/>
      <c r="E530" s="25"/>
      <c r="F530" s="25"/>
      <c r="G530" s="26"/>
      <c r="H530" s="27">
        <v>1000</v>
      </c>
      <c r="I530" s="28">
        <v>0</v>
      </c>
      <c r="J530" s="28">
        <v>100</v>
      </c>
      <c r="K530" s="28">
        <v>0</v>
      </c>
      <c r="L530" s="28">
        <v>0</v>
      </c>
      <c r="M530" s="30">
        <v>0</v>
      </c>
      <c r="N530" s="30">
        <v>0</v>
      </c>
      <c r="O530" s="30">
        <v>0</v>
      </c>
      <c r="P530" s="41">
        <v>0</v>
      </c>
      <c r="Q530" s="28">
        <v>0</v>
      </c>
      <c r="R530" s="28">
        <v>0</v>
      </c>
      <c r="S530" s="33"/>
      <c r="T530" s="28">
        <v>100</v>
      </c>
      <c r="U530" s="28">
        <v>0</v>
      </c>
      <c r="V530" s="28">
        <v>0</v>
      </c>
    </row>
    <row r="531" ht="31.5" customHeight="1">
      <c r="A531" t="s" s="21">
        <v>546</v>
      </c>
      <c r="B531" s="22">
        <f>SUM(C531,G531)</f>
        <v>2070</v>
      </c>
      <c r="C531" s="23">
        <f>SUM(H531,I531,J531,K531,L531,M531,N531,O531,P531,Q531,R531,S531,T531,U531,V531)</f>
        <v>2070</v>
      </c>
      <c r="D531" s="36"/>
      <c r="E531" s="25"/>
      <c r="F531" s="25"/>
      <c r="G531" s="26"/>
      <c r="H531" s="27">
        <v>2000</v>
      </c>
      <c r="I531" s="28">
        <v>0</v>
      </c>
      <c r="J531" s="28">
        <v>20</v>
      </c>
      <c r="K531" s="28">
        <v>0</v>
      </c>
      <c r="L531" s="28">
        <v>0</v>
      </c>
      <c r="M531" s="30">
        <v>0</v>
      </c>
      <c r="N531" s="30">
        <v>0</v>
      </c>
      <c r="O531" s="30">
        <v>0</v>
      </c>
      <c r="P531" s="41">
        <v>0</v>
      </c>
      <c r="Q531" s="28">
        <v>0</v>
      </c>
      <c r="R531" s="28">
        <v>0</v>
      </c>
      <c r="S531" s="33"/>
      <c r="T531" s="28">
        <v>50</v>
      </c>
      <c r="U531" s="28">
        <v>0</v>
      </c>
      <c r="V531" s="28">
        <v>0</v>
      </c>
    </row>
    <row r="532" ht="31.5" customHeight="1">
      <c r="A532" t="s" s="88">
        <v>547</v>
      </c>
      <c r="B532" s="42">
        <f>SUM(C532,G532)</f>
        <v>0</v>
      </c>
      <c r="C532" s="43">
        <f>SUM(H532,I532,J532,K532,L532,M532,N532,O532,P532,Q532,R532,S532,T532,U532,V532)</f>
        <v>0</v>
      </c>
      <c r="D532" s="44"/>
      <c r="E532" s="33"/>
      <c r="F532" s="33"/>
      <c r="G532" s="33"/>
      <c r="H532" s="46"/>
      <c r="I532" s="51">
        <v>0</v>
      </c>
      <c r="J532" s="47"/>
      <c r="K532" s="47"/>
      <c r="L532" s="47"/>
      <c r="M532" s="48">
        <v>0</v>
      </c>
      <c r="N532" s="49"/>
      <c r="O532" s="50"/>
      <c r="P532" s="33"/>
      <c r="Q532" s="51">
        <v>0</v>
      </c>
      <c r="R532" s="47"/>
      <c r="S532" s="33"/>
      <c r="T532" s="47"/>
      <c r="U532" s="47"/>
      <c r="V532" s="51">
        <v>0</v>
      </c>
    </row>
    <row r="533" ht="31.5" customHeight="1">
      <c r="A533" t="s" s="21">
        <v>548</v>
      </c>
      <c r="B533" s="22">
        <f>SUM(C533,G533)</f>
        <v>6665</v>
      </c>
      <c r="C533" s="23">
        <f>SUM(H533,I533,J533,K533,L533,M533,N533,O533,P533,Q533,R533,S533,T533,U533,V533)</f>
        <v>6665</v>
      </c>
      <c r="D533" s="36"/>
      <c r="E533" s="25"/>
      <c r="F533" s="25"/>
      <c r="G533" s="26"/>
      <c r="H533" s="27">
        <v>1000</v>
      </c>
      <c r="I533" s="28">
        <v>0</v>
      </c>
      <c r="J533" s="28">
        <v>200</v>
      </c>
      <c r="K533" s="28">
        <v>0</v>
      </c>
      <c r="L533" s="28">
        <v>0</v>
      </c>
      <c r="M533" s="30">
        <v>1200</v>
      </c>
      <c r="N533" s="30">
        <v>1465</v>
      </c>
      <c r="O533" s="30">
        <v>1100</v>
      </c>
      <c r="P533" s="41">
        <v>550</v>
      </c>
      <c r="Q533" s="28">
        <v>1050</v>
      </c>
      <c r="R533" s="28">
        <v>0</v>
      </c>
      <c r="S533" s="33"/>
      <c r="T533" s="28">
        <v>100</v>
      </c>
      <c r="U533" s="28">
        <v>0</v>
      </c>
      <c r="V533" s="28">
        <v>0</v>
      </c>
    </row>
    <row r="534" ht="19.5" customHeight="1">
      <c r="A534" t="s" s="21">
        <v>549</v>
      </c>
      <c r="B534" s="22">
        <f>SUM(C534,G534)</f>
        <v>25984</v>
      </c>
      <c r="C534" s="23">
        <f>SUM(H534,I534,J534,K534,L534,M534,N534,O534,P534,Q534,R534,S534,T534,U534,V534)</f>
        <v>25984</v>
      </c>
      <c r="D534" s="36"/>
      <c r="E534" s="25"/>
      <c r="F534" s="25"/>
      <c r="G534" s="26"/>
      <c r="H534" s="27">
        <v>20000</v>
      </c>
      <c r="I534" s="28">
        <v>200</v>
      </c>
      <c r="J534" s="28">
        <v>3000</v>
      </c>
      <c r="K534" s="28">
        <v>1400</v>
      </c>
      <c r="L534" s="28">
        <v>800</v>
      </c>
      <c r="M534" s="30">
        <v>0</v>
      </c>
      <c r="N534" s="30">
        <v>0</v>
      </c>
      <c r="O534" s="30">
        <v>0</v>
      </c>
      <c r="P534" s="41">
        <v>0</v>
      </c>
      <c r="Q534" s="28">
        <v>0</v>
      </c>
      <c r="R534" s="28">
        <v>84</v>
      </c>
      <c r="S534" s="33"/>
      <c r="T534" s="28">
        <v>500</v>
      </c>
      <c r="U534" s="28">
        <v>0</v>
      </c>
      <c r="V534" s="28">
        <v>0</v>
      </c>
    </row>
    <row r="535" ht="19.5" customHeight="1">
      <c r="A535" t="s" s="21">
        <v>550</v>
      </c>
      <c r="B535" s="22">
        <f>SUM(C535,G535)</f>
        <v>28550</v>
      </c>
      <c r="C535" s="23">
        <f>SUM(H535,I535,J535,K535,L535,M535,N535,O535,P535,Q535,R535,S535,T535,U535,V535)</f>
        <v>28550</v>
      </c>
      <c r="D535" s="36"/>
      <c r="E535" s="25"/>
      <c r="F535" s="25"/>
      <c r="G535" s="26"/>
      <c r="H535" s="27">
        <v>25000</v>
      </c>
      <c r="I535" s="28">
        <v>0</v>
      </c>
      <c r="J535" s="28">
        <v>2000</v>
      </c>
      <c r="K535" s="28">
        <v>1000</v>
      </c>
      <c r="L535" s="28">
        <v>500</v>
      </c>
      <c r="M535" s="30">
        <v>0</v>
      </c>
      <c r="N535" s="30">
        <v>0</v>
      </c>
      <c r="O535" s="30">
        <v>0</v>
      </c>
      <c r="P535" s="41">
        <v>0</v>
      </c>
      <c r="Q535" s="87"/>
      <c r="R535" s="28">
        <v>0</v>
      </c>
      <c r="S535" s="33"/>
      <c r="T535" s="28">
        <v>50</v>
      </c>
      <c r="U535" s="28">
        <v>0</v>
      </c>
      <c r="V535" s="28">
        <v>0</v>
      </c>
    </row>
    <row r="536" ht="78.75" customHeight="1">
      <c r="A536" t="s" s="88">
        <v>551</v>
      </c>
      <c r="B536" s="42">
        <f>SUM(C536,G536)</f>
        <v>0</v>
      </c>
      <c r="C536" s="43">
        <f>SUM(H536,I536,J536,K536,L536,M536,N536,O536,P536,Q536,R536,S536,T536,U536,V536)</f>
        <v>0</v>
      </c>
      <c r="D536" s="44"/>
      <c r="E536" s="45"/>
      <c r="F536" s="45"/>
      <c r="G536" s="45"/>
      <c r="H536" s="46"/>
      <c r="I536" s="47"/>
      <c r="J536" s="47"/>
      <c r="K536" s="47"/>
      <c r="L536" s="47"/>
      <c r="M536" s="48">
        <v>0</v>
      </c>
      <c r="N536" s="49"/>
      <c r="O536" s="50"/>
      <c r="P536" s="45"/>
      <c r="Q536" s="51">
        <v>0</v>
      </c>
      <c r="R536" s="47"/>
      <c r="S536" s="45"/>
      <c r="T536" s="47"/>
      <c r="U536" s="47"/>
      <c r="V536" s="51">
        <v>0</v>
      </c>
    </row>
    <row r="537" ht="78.75" customHeight="1">
      <c r="A537" t="s" s="78">
        <v>552</v>
      </c>
      <c r="B537" s="42">
        <f>SUM(C537,G537)</f>
        <v>2260</v>
      </c>
      <c r="C537" s="43">
        <f>SUM(H537,I537,J537,K537,L537,M537,N537,O537,P537,Q537,R537,S537,T537,U537,V537)</f>
        <v>2260</v>
      </c>
      <c r="D537" s="44"/>
      <c r="E537" s="6"/>
      <c r="F537" s="6"/>
      <c r="G537" s="6"/>
      <c r="H537" s="27">
        <v>40</v>
      </c>
      <c r="I537" s="51">
        <v>220</v>
      </c>
      <c r="J537" s="51">
        <v>2000</v>
      </c>
      <c r="K537" s="51">
        <v>0</v>
      </c>
      <c r="L537" s="51">
        <v>0</v>
      </c>
      <c r="M537" s="48">
        <v>0</v>
      </c>
      <c r="N537" s="48">
        <v>0</v>
      </c>
      <c r="O537" s="55">
        <v>0</v>
      </c>
      <c r="P537" s="53">
        <v>0</v>
      </c>
      <c r="Q537" s="51">
        <v>0</v>
      </c>
      <c r="R537" s="51">
        <v>0</v>
      </c>
      <c r="S537" s="6"/>
      <c r="T537" s="51">
        <v>0</v>
      </c>
      <c r="U537" s="51">
        <v>0</v>
      </c>
      <c r="V537" s="51">
        <v>0</v>
      </c>
    </row>
    <row r="538" ht="94.5" customHeight="1">
      <c r="A538" t="s" s="78">
        <v>553</v>
      </c>
      <c r="B538" s="42">
        <f>SUM(C538,G538)</f>
        <v>2170</v>
      </c>
      <c r="C538" s="43">
        <f>SUM(H538,I538,J538,K538,L538,M538,N538,O538,P538,Q538,R538,S538,T538,U538,V538)</f>
        <v>2170</v>
      </c>
      <c r="D538" s="44"/>
      <c r="E538" s="6"/>
      <c r="F538" s="6"/>
      <c r="G538" s="6"/>
      <c r="H538" s="27">
        <v>0</v>
      </c>
      <c r="I538" s="51">
        <v>170</v>
      </c>
      <c r="J538" s="51">
        <v>2000</v>
      </c>
      <c r="K538" s="51">
        <v>0</v>
      </c>
      <c r="L538" s="51">
        <v>0</v>
      </c>
      <c r="M538" s="48">
        <v>0</v>
      </c>
      <c r="N538" s="48">
        <v>0</v>
      </c>
      <c r="O538" s="55">
        <v>0</v>
      </c>
      <c r="P538" s="53">
        <v>0</v>
      </c>
      <c r="Q538" s="51">
        <v>0</v>
      </c>
      <c r="R538" s="51">
        <v>0</v>
      </c>
      <c r="S538" s="6"/>
      <c r="T538" s="51">
        <v>0</v>
      </c>
      <c r="U538" s="51">
        <v>0</v>
      </c>
      <c r="V538" s="51">
        <v>0</v>
      </c>
    </row>
    <row r="539" ht="31.5" customHeight="1">
      <c r="A539" t="s" s="78">
        <v>554</v>
      </c>
      <c r="B539" s="42">
        <f>SUM(C539,G539)</f>
        <v>5212</v>
      </c>
      <c r="C539" s="43">
        <f>SUM(H539,I539,J539,K539,L539,M539,N539,O539,P539,Q539,R539,S539,T539,U539,V539)</f>
        <v>5142</v>
      </c>
      <c r="D539" s="44"/>
      <c r="E539" s="6"/>
      <c r="F539" s="6"/>
      <c r="G539" s="53">
        <v>70</v>
      </c>
      <c r="H539" s="27">
        <v>2500</v>
      </c>
      <c r="I539" s="51">
        <v>1000</v>
      </c>
      <c r="J539" s="51">
        <v>550</v>
      </c>
      <c r="K539" s="51">
        <v>1000</v>
      </c>
      <c r="L539" s="51">
        <v>70</v>
      </c>
      <c r="M539" s="48">
        <v>0</v>
      </c>
      <c r="N539" s="48">
        <v>0</v>
      </c>
      <c r="O539" s="55">
        <v>0</v>
      </c>
      <c r="P539" s="53">
        <v>10</v>
      </c>
      <c r="Q539" s="51">
        <v>0</v>
      </c>
      <c r="R539" s="51">
        <v>12</v>
      </c>
      <c r="S539" s="6"/>
      <c r="T539" s="51">
        <v>0</v>
      </c>
      <c r="U539" s="51">
        <v>0</v>
      </c>
      <c r="V539" s="51">
        <v>0</v>
      </c>
    </row>
    <row r="540" ht="31.5" customHeight="1">
      <c r="A540" t="s" s="78">
        <v>555</v>
      </c>
      <c r="B540" s="42">
        <f>SUM(C540,G540)</f>
        <v>3210</v>
      </c>
      <c r="C540" s="43">
        <f>SUM(H540,I540,J540,K540,L540,M540,N540,O540,P540,Q540,R540,S540,T540,U540,V540)</f>
        <v>3210</v>
      </c>
      <c r="D540" s="44"/>
      <c r="E540" s="6"/>
      <c r="F540" s="6"/>
      <c r="G540" s="6"/>
      <c r="H540" s="27">
        <v>500</v>
      </c>
      <c r="I540" s="51">
        <v>2500</v>
      </c>
      <c r="J540" s="51">
        <v>100</v>
      </c>
      <c r="K540" s="51">
        <v>100</v>
      </c>
      <c r="L540" s="51">
        <v>0</v>
      </c>
      <c r="M540" s="48">
        <v>0</v>
      </c>
      <c r="N540" s="48">
        <v>0</v>
      </c>
      <c r="O540" s="55">
        <v>0</v>
      </c>
      <c r="P540" s="53">
        <v>0</v>
      </c>
      <c r="Q540" s="51">
        <v>0</v>
      </c>
      <c r="R540" s="51">
        <v>0</v>
      </c>
      <c r="S540" s="6"/>
      <c r="T540" s="51">
        <v>10</v>
      </c>
      <c r="U540" s="51">
        <v>0</v>
      </c>
      <c r="V540" s="51">
        <v>0</v>
      </c>
    </row>
    <row r="541" ht="31.5" customHeight="1">
      <c r="A541" t="s" s="78">
        <v>556</v>
      </c>
      <c r="B541" s="42">
        <f>SUM(C541,G541)</f>
        <v>2312</v>
      </c>
      <c r="C541" s="43">
        <f>SUM(H541,I541,J541,K541,L541,M541,N541,O541,P541,Q541,R541,S541,T541,U541,V541)</f>
        <v>2312</v>
      </c>
      <c r="D541" s="44"/>
      <c r="E541" s="6"/>
      <c r="F541" s="6"/>
      <c r="G541" s="6"/>
      <c r="H541" s="27">
        <v>0</v>
      </c>
      <c r="I541" s="51">
        <v>1000</v>
      </c>
      <c r="J541" s="51">
        <v>1000</v>
      </c>
      <c r="K541" s="51">
        <v>260</v>
      </c>
      <c r="L541" s="51">
        <v>0</v>
      </c>
      <c r="M541" s="48">
        <v>0</v>
      </c>
      <c r="N541" s="48">
        <v>0</v>
      </c>
      <c r="O541" s="55">
        <v>0</v>
      </c>
      <c r="P541" s="53">
        <v>0</v>
      </c>
      <c r="Q541" s="51">
        <v>0</v>
      </c>
      <c r="R541" s="51">
        <v>2</v>
      </c>
      <c r="S541" s="6"/>
      <c r="T541" s="51">
        <v>50</v>
      </c>
      <c r="U541" s="51">
        <v>0</v>
      </c>
      <c r="V541" s="51">
        <v>0</v>
      </c>
    </row>
    <row r="542" ht="16.6" customHeight="1">
      <c r="A542" t="s" s="78">
        <v>557</v>
      </c>
      <c r="B542" s="42">
        <f>SUM(C542,G542)</f>
        <v>2989</v>
      </c>
      <c r="C542" s="43">
        <f>SUM(H542,I542,J542,K542,L542,M542,N542,O542,P542,Q542,R542,S542,T542,U542,V542)</f>
        <v>2989</v>
      </c>
      <c r="D542" s="44"/>
      <c r="E542" s="6"/>
      <c r="F542" s="6"/>
      <c r="G542" s="6"/>
      <c r="H542" s="27">
        <v>300</v>
      </c>
      <c r="I542" s="51">
        <v>2000</v>
      </c>
      <c r="J542" s="51">
        <v>350</v>
      </c>
      <c r="K542" s="51">
        <v>300</v>
      </c>
      <c r="L542" s="51">
        <v>0</v>
      </c>
      <c r="M542" s="48">
        <v>0</v>
      </c>
      <c r="N542" s="48">
        <v>0</v>
      </c>
      <c r="O542" s="55">
        <v>0</v>
      </c>
      <c r="P542" s="53">
        <v>0</v>
      </c>
      <c r="Q542" s="51">
        <v>0</v>
      </c>
      <c r="R542" s="51">
        <v>2</v>
      </c>
      <c r="S542" s="73">
        <v>12</v>
      </c>
      <c r="T542" s="51">
        <v>25</v>
      </c>
      <c r="U542" s="51">
        <v>0</v>
      </c>
      <c r="V542" s="51">
        <v>0</v>
      </c>
    </row>
    <row r="543" ht="16.6" customHeight="1">
      <c r="A543" t="s" s="78">
        <v>558</v>
      </c>
      <c r="B543" s="42">
        <f>SUM(C543,G543)</f>
        <v>4725</v>
      </c>
      <c r="C543" s="43">
        <f>SUM(H543,I543,J543,K543,L543,M543,N543,O543,P543,Q543,R543,S543,T543,U543,V543)</f>
        <v>4725</v>
      </c>
      <c r="D543" s="44"/>
      <c r="E543" s="6"/>
      <c r="F543" s="6"/>
      <c r="G543" s="6"/>
      <c r="H543" s="27">
        <v>2000</v>
      </c>
      <c r="I543" s="51">
        <v>1500</v>
      </c>
      <c r="J543" s="51">
        <v>900</v>
      </c>
      <c r="K543" s="51">
        <v>300</v>
      </c>
      <c r="L543" s="51">
        <v>0</v>
      </c>
      <c r="M543" s="48">
        <v>0</v>
      </c>
      <c r="N543" s="48">
        <v>0</v>
      </c>
      <c r="O543" s="55">
        <v>0</v>
      </c>
      <c r="P543" s="53">
        <v>0</v>
      </c>
      <c r="Q543" s="51">
        <v>0</v>
      </c>
      <c r="R543" s="51">
        <v>0</v>
      </c>
      <c r="S543" s="6"/>
      <c r="T543" s="51">
        <v>25</v>
      </c>
      <c r="U543" s="51">
        <v>0</v>
      </c>
      <c r="V543" s="51">
        <v>0</v>
      </c>
    </row>
    <row r="544" ht="16.6" customHeight="1">
      <c r="A544" t="s" s="78">
        <v>559</v>
      </c>
      <c r="B544" s="42">
        <f>SUM(C544,G544)</f>
        <v>280</v>
      </c>
      <c r="C544" s="43">
        <f>SUM(H544,I544,J544,K544,L544,M544,N544,O544,P544,Q544,R544,S544,T544,U544,V544)</f>
        <v>280</v>
      </c>
      <c r="D544" s="44"/>
      <c r="E544" s="6"/>
      <c r="F544" s="6"/>
      <c r="G544" s="6"/>
      <c r="H544" s="27">
        <v>0</v>
      </c>
      <c r="I544" s="51">
        <v>80</v>
      </c>
      <c r="J544" s="51">
        <v>100</v>
      </c>
      <c r="K544" s="51">
        <v>100</v>
      </c>
      <c r="L544" s="51">
        <v>0</v>
      </c>
      <c r="M544" s="48">
        <v>0</v>
      </c>
      <c r="N544" s="48">
        <v>0</v>
      </c>
      <c r="O544" s="55">
        <v>0</v>
      </c>
      <c r="P544" s="53">
        <v>0</v>
      </c>
      <c r="Q544" s="51">
        <v>0</v>
      </c>
      <c r="R544" s="51">
        <v>0</v>
      </c>
      <c r="S544" s="6"/>
      <c r="T544" s="51">
        <v>0</v>
      </c>
      <c r="U544" s="51">
        <v>0</v>
      </c>
      <c r="V544" s="51">
        <v>0</v>
      </c>
    </row>
    <row r="545" ht="63" customHeight="1">
      <c r="A545" t="s" s="78">
        <v>560</v>
      </c>
      <c r="B545" s="42">
        <f>SUM(C545,G545)</f>
        <v>600</v>
      </c>
      <c r="C545" s="43">
        <f>SUM(H545,I545,J545,K545,L545,M545,N545,O545,P545,Q545,R545,S545,T545,U545,V545)</f>
        <v>600</v>
      </c>
      <c r="D545" s="44"/>
      <c r="E545" s="6"/>
      <c r="F545" s="6"/>
      <c r="G545" s="6"/>
      <c r="H545" s="27">
        <v>0</v>
      </c>
      <c r="I545" s="51">
        <v>400</v>
      </c>
      <c r="J545" s="51">
        <v>100</v>
      </c>
      <c r="K545" s="51">
        <v>100</v>
      </c>
      <c r="L545" s="51">
        <v>0</v>
      </c>
      <c r="M545" s="48">
        <v>0</v>
      </c>
      <c r="N545" s="48">
        <v>0</v>
      </c>
      <c r="O545" s="55">
        <v>0</v>
      </c>
      <c r="P545" s="53">
        <v>0</v>
      </c>
      <c r="Q545" s="51">
        <v>0</v>
      </c>
      <c r="R545" s="51">
        <v>0</v>
      </c>
      <c r="S545" s="6"/>
      <c r="T545" s="51">
        <v>0</v>
      </c>
      <c r="U545" s="51">
        <v>0</v>
      </c>
      <c r="V545" s="51">
        <v>0</v>
      </c>
    </row>
    <row r="546" ht="63" customHeight="1">
      <c r="A546" t="s" s="78">
        <v>561</v>
      </c>
      <c r="B546" s="42">
        <f>SUM(C546,G546)</f>
        <v>920</v>
      </c>
      <c r="C546" s="43">
        <f>SUM(H546,I546,J546,K546,L546,M546,N546,O546,P546,Q546,R546,S546,T546,U546,V546)</f>
        <v>920</v>
      </c>
      <c r="D546" s="44"/>
      <c r="E546" s="6"/>
      <c r="F546" s="6"/>
      <c r="G546" s="6"/>
      <c r="H546" s="27">
        <v>0</v>
      </c>
      <c r="I546" s="51">
        <v>800</v>
      </c>
      <c r="J546" s="51">
        <v>100</v>
      </c>
      <c r="K546" s="51">
        <v>20</v>
      </c>
      <c r="L546" s="51">
        <v>0</v>
      </c>
      <c r="M546" s="48">
        <v>0</v>
      </c>
      <c r="N546" s="48">
        <v>0</v>
      </c>
      <c r="O546" s="55">
        <v>0</v>
      </c>
      <c r="P546" s="53">
        <v>0</v>
      </c>
      <c r="Q546" s="51">
        <v>0</v>
      </c>
      <c r="R546" s="51">
        <v>0</v>
      </c>
      <c r="S546" s="6"/>
      <c r="T546" s="51">
        <v>0</v>
      </c>
      <c r="U546" s="51">
        <v>0</v>
      </c>
      <c r="V546" s="51">
        <v>0</v>
      </c>
    </row>
    <row r="547" ht="63" customHeight="1">
      <c r="A547" t="s" s="78">
        <v>562</v>
      </c>
      <c r="B547" s="42">
        <f>SUM(C547,G547)</f>
        <v>270</v>
      </c>
      <c r="C547" s="43">
        <f>SUM(H547,I547,J547,K547,L547,M547,N547,O547,P547,Q547,R547,S547,T547,U547,V547)</f>
        <v>270</v>
      </c>
      <c r="D547" s="44"/>
      <c r="E547" s="6"/>
      <c r="F547" s="6"/>
      <c r="G547" s="6"/>
      <c r="H547" s="27">
        <v>0</v>
      </c>
      <c r="I547" s="51">
        <v>150</v>
      </c>
      <c r="J547" s="51">
        <v>100</v>
      </c>
      <c r="K547" s="51">
        <v>20</v>
      </c>
      <c r="L547" s="51">
        <v>0</v>
      </c>
      <c r="M547" s="48">
        <v>0</v>
      </c>
      <c r="N547" s="48">
        <v>0</v>
      </c>
      <c r="O547" s="55">
        <v>0</v>
      </c>
      <c r="P547" s="53">
        <v>0</v>
      </c>
      <c r="Q547" s="51">
        <v>0</v>
      </c>
      <c r="R547" s="51">
        <v>0</v>
      </c>
      <c r="S547" s="6"/>
      <c r="T547" s="51">
        <v>0</v>
      </c>
      <c r="U547" s="51">
        <v>0</v>
      </c>
      <c r="V547" s="51">
        <v>0</v>
      </c>
    </row>
    <row r="548" ht="78.75" customHeight="1">
      <c r="A548" t="s" s="78">
        <v>563</v>
      </c>
      <c r="B548" s="42">
        <f>SUM(C548,G548)</f>
        <v>2420</v>
      </c>
      <c r="C548" s="43">
        <f>SUM(H548,I548,J548,K548,L548,M548,N548,O548,P548,Q548,R548,S548,T548,U548,V548)</f>
        <v>2420</v>
      </c>
      <c r="D548" s="44"/>
      <c r="E548" s="6"/>
      <c r="F548" s="6"/>
      <c r="G548" s="6"/>
      <c r="H548" s="27">
        <v>0</v>
      </c>
      <c r="I548" s="51">
        <v>600</v>
      </c>
      <c r="J548" s="51">
        <v>1800</v>
      </c>
      <c r="K548" s="51">
        <v>20</v>
      </c>
      <c r="L548" s="51">
        <v>0</v>
      </c>
      <c r="M548" s="48">
        <v>0</v>
      </c>
      <c r="N548" s="48">
        <v>0</v>
      </c>
      <c r="O548" s="55">
        <v>0</v>
      </c>
      <c r="P548" s="53">
        <v>0</v>
      </c>
      <c r="Q548" s="51">
        <v>0</v>
      </c>
      <c r="R548" s="51">
        <v>0</v>
      </c>
      <c r="S548" s="6"/>
      <c r="T548" s="51">
        <v>0</v>
      </c>
      <c r="U548" s="51">
        <v>0</v>
      </c>
      <c r="V548" s="51">
        <v>0</v>
      </c>
    </row>
    <row r="549" ht="78.75" customHeight="1">
      <c r="A549" t="s" s="78">
        <v>564</v>
      </c>
      <c r="B549" s="42">
        <f>SUM(C549,G549)</f>
        <v>780</v>
      </c>
      <c r="C549" s="43">
        <f>SUM(H549,I549,J549,K549,L549,M549,N549,O549,P549,Q549,R549,S549,T549,U549,V549)</f>
        <v>780</v>
      </c>
      <c r="D549" s="44"/>
      <c r="E549" s="6"/>
      <c r="F549" s="6"/>
      <c r="G549" s="6"/>
      <c r="H549" s="27">
        <v>0</v>
      </c>
      <c r="I549" s="51">
        <v>80</v>
      </c>
      <c r="J549" s="51">
        <v>600</v>
      </c>
      <c r="K549" s="51">
        <v>100</v>
      </c>
      <c r="L549" s="51">
        <v>0</v>
      </c>
      <c r="M549" s="48">
        <v>0</v>
      </c>
      <c r="N549" s="48">
        <v>0</v>
      </c>
      <c r="O549" s="55">
        <v>0</v>
      </c>
      <c r="P549" s="53">
        <v>0</v>
      </c>
      <c r="Q549" s="51">
        <v>0</v>
      </c>
      <c r="R549" s="51">
        <v>0</v>
      </c>
      <c r="S549" s="6"/>
      <c r="T549" s="51">
        <v>0</v>
      </c>
      <c r="U549" s="51">
        <v>0</v>
      </c>
      <c r="V549" s="51">
        <v>0</v>
      </c>
    </row>
    <row r="550" ht="31.5" customHeight="1">
      <c r="A550" t="s" s="88">
        <v>565</v>
      </c>
      <c r="B550" s="42">
        <f>SUM(C550,G550)</f>
        <v>0</v>
      </c>
      <c r="C550" s="43">
        <f>SUM(H550,I550,J550,K550,L550,M550,N550,O550,P550,Q550,R550,S550,T550,U550,V550)</f>
        <v>0</v>
      </c>
      <c r="D550" s="44"/>
      <c r="E550" s="17"/>
      <c r="F550" s="17"/>
      <c r="G550" s="17"/>
      <c r="H550" s="46"/>
      <c r="I550" s="47"/>
      <c r="J550" s="47"/>
      <c r="K550" s="47"/>
      <c r="L550" s="47"/>
      <c r="M550" s="48">
        <v>0</v>
      </c>
      <c r="N550" s="49"/>
      <c r="O550" s="50"/>
      <c r="P550" s="17"/>
      <c r="Q550" s="51">
        <v>0</v>
      </c>
      <c r="R550" s="51">
        <v>0</v>
      </c>
      <c r="S550" s="17"/>
      <c r="T550" s="47"/>
      <c r="U550" s="47"/>
      <c r="V550" s="51">
        <v>0</v>
      </c>
    </row>
    <row r="551" ht="19.5" customHeight="1">
      <c r="A551" t="s" s="21">
        <v>566</v>
      </c>
      <c r="B551" s="22">
        <f>SUM(C551,G551)</f>
        <v>2530</v>
      </c>
      <c r="C551" s="23">
        <f>SUM(H551,I551,J551,K551,L551,M551,N551,O551,P551,Q551,R551,S551,T551,U551,V551)</f>
        <v>2530</v>
      </c>
      <c r="D551" s="36"/>
      <c r="E551" s="25"/>
      <c r="F551" s="25"/>
      <c r="G551" s="26"/>
      <c r="H551" s="27">
        <v>2000</v>
      </c>
      <c r="I551" s="28">
        <v>50</v>
      </c>
      <c r="J551" s="28">
        <v>360</v>
      </c>
      <c r="K551" s="28">
        <v>50</v>
      </c>
      <c r="L551" s="28">
        <v>50</v>
      </c>
      <c r="M551" s="30">
        <v>0</v>
      </c>
      <c r="N551" s="30">
        <v>0</v>
      </c>
      <c r="O551" s="30">
        <v>0</v>
      </c>
      <c r="P551" s="41">
        <v>0</v>
      </c>
      <c r="Q551" s="28">
        <v>0</v>
      </c>
      <c r="R551" s="28">
        <v>0</v>
      </c>
      <c r="S551" s="33"/>
      <c r="T551" s="28">
        <v>20</v>
      </c>
      <c r="U551" s="28">
        <v>0</v>
      </c>
      <c r="V551" s="28">
        <v>0</v>
      </c>
    </row>
    <row r="552" ht="31.5" customHeight="1">
      <c r="A552" t="s" s="88">
        <v>567</v>
      </c>
      <c r="B552" s="42">
        <f>SUM(C552,G552)</f>
        <v>0</v>
      </c>
      <c r="C552" s="43">
        <f>SUM(H552,I552,J552,K552,L552,M552,N552,O552,P552,Q552,R552,S552,T552,U552,V552)</f>
        <v>0</v>
      </c>
      <c r="D552" s="44"/>
      <c r="E552" s="33"/>
      <c r="F552" s="33"/>
      <c r="G552" s="33"/>
      <c r="H552" s="46"/>
      <c r="I552" s="47"/>
      <c r="J552" s="47"/>
      <c r="K552" s="47"/>
      <c r="L552" s="47"/>
      <c r="M552" s="48">
        <v>0</v>
      </c>
      <c r="N552" s="49"/>
      <c r="O552" s="50"/>
      <c r="P552" s="33"/>
      <c r="Q552" s="51">
        <v>0</v>
      </c>
      <c r="R552" s="51">
        <v>0</v>
      </c>
      <c r="S552" s="33"/>
      <c r="T552" s="47"/>
      <c r="U552" s="47"/>
      <c r="V552" s="51">
        <v>0</v>
      </c>
    </row>
    <row r="553" ht="19.5" customHeight="1">
      <c r="A553" t="s" s="21">
        <v>568</v>
      </c>
      <c r="B553" s="22">
        <f>SUM(C553,G553)</f>
        <v>12950</v>
      </c>
      <c r="C553" s="23">
        <f>SUM(H553,I553,J553,K553,L553,M553,N553,O553,P553,Q553,R553,S553,T553,U553,V553)</f>
        <v>12950</v>
      </c>
      <c r="D553" s="36"/>
      <c r="E553" s="25"/>
      <c r="F553" s="25"/>
      <c r="G553" s="26"/>
      <c r="H553" s="27">
        <v>2000</v>
      </c>
      <c r="I553" s="28">
        <v>0</v>
      </c>
      <c r="J553" s="28">
        <v>800</v>
      </c>
      <c r="K553" s="28">
        <v>100</v>
      </c>
      <c r="L553" s="28">
        <v>0</v>
      </c>
      <c r="M553" s="30">
        <v>6050</v>
      </c>
      <c r="N553" s="30">
        <v>975</v>
      </c>
      <c r="O553" s="30">
        <v>1200</v>
      </c>
      <c r="P553" s="41">
        <v>150</v>
      </c>
      <c r="Q553" s="28">
        <v>1575</v>
      </c>
      <c r="R553" s="28">
        <v>0</v>
      </c>
      <c r="S553" s="33"/>
      <c r="T553" s="28">
        <v>100</v>
      </c>
      <c r="U553" s="28">
        <v>0</v>
      </c>
      <c r="V553" s="28">
        <v>0</v>
      </c>
    </row>
    <row r="554" ht="47.25" customHeight="1">
      <c r="A554" t="s" s="21">
        <v>569</v>
      </c>
      <c r="B554" s="22">
        <f>SUM(C554,G554)</f>
        <v>7685</v>
      </c>
      <c r="C554" s="23">
        <f>SUM(H554,I554,J554,K554,L554,M554,N554,O554,P554,Q554,R554,S554,T554,U554,V554)</f>
        <v>7685</v>
      </c>
      <c r="D554" s="36"/>
      <c r="E554" s="25"/>
      <c r="F554" s="25"/>
      <c r="G554" s="26"/>
      <c r="H554" s="27">
        <v>2000</v>
      </c>
      <c r="I554" s="28">
        <v>0</v>
      </c>
      <c r="J554" s="28">
        <v>100</v>
      </c>
      <c r="K554" s="28">
        <v>100</v>
      </c>
      <c r="L554" s="28">
        <v>0</v>
      </c>
      <c r="M554" s="30">
        <v>2700</v>
      </c>
      <c r="N554" s="30">
        <v>895</v>
      </c>
      <c r="O554" s="30">
        <v>685</v>
      </c>
      <c r="P554" s="41">
        <v>300</v>
      </c>
      <c r="Q554" s="28">
        <v>855</v>
      </c>
      <c r="R554" s="28">
        <v>0</v>
      </c>
      <c r="S554" s="33"/>
      <c r="T554" s="28">
        <v>50</v>
      </c>
      <c r="U554" s="28">
        <v>0</v>
      </c>
      <c r="V554" s="28">
        <v>0</v>
      </c>
    </row>
    <row r="555" ht="47.25" customHeight="1">
      <c r="A555" t="s" s="103">
        <v>570</v>
      </c>
      <c r="B555" s="42">
        <f>SUM(C555,G555)</f>
        <v>0</v>
      </c>
      <c r="C555" s="43">
        <f>SUM(H555,I555,J555,K555,L555,M555,N555,O555,P555,Q555,R555,S555,T555,U555,V555)</f>
        <v>0</v>
      </c>
      <c r="D555" s="44"/>
      <c r="E555" s="45"/>
      <c r="F555" s="45"/>
      <c r="G555" s="45"/>
      <c r="H555" s="46"/>
      <c r="I555" s="47"/>
      <c r="J555" s="47"/>
      <c r="K555" s="47"/>
      <c r="L555" s="47"/>
      <c r="M555" s="48">
        <v>0</v>
      </c>
      <c r="N555" s="49"/>
      <c r="O555" s="50"/>
      <c r="P555" s="45"/>
      <c r="Q555" s="51">
        <v>0</v>
      </c>
      <c r="R555" s="47"/>
      <c r="S555" s="45"/>
      <c r="T555" s="47"/>
      <c r="U555" s="47"/>
      <c r="V555" s="51">
        <v>0</v>
      </c>
    </row>
    <row r="556" ht="19.5" customHeight="1">
      <c r="A556" t="s" s="88">
        <v>571</v>
      </c>
      <c r="B556" s="42">
        <f>SUM(C556,G556)</f>
        <v>0</v>
      </c>
      <c r="C556" s="43">
        <f>SUM(H556,I556,J556,K556,L556,M556,N556,O556,P556,Q556,R556,S556,T556,U556,V556)</f>
        <v>0</v>
      </c>
      <c r="D556" s="44"/>
      <c r="E556" s="6"/>
      <c r="F556" s="6"/>
      <c r="G556" s="6"/>
      <c r="H556" s="46"/>
      <c r="I556" s="47"/>
      <c r="J556" s="47"/>
      <c r="K556" s="47"/>
      <c r="L556" s="47"/>
      <c r="M556" s="48">
        <v>0</v>
      </c>
      <c r="N556" s="49"/>
      <c r="O556" s="50"/>
      <c r="P556" s="6"/>
      <c r="Q556" s="51">
        <v>0</v>
      </c>
      <c r="R556" s="47"/>
      <c r="S556" s="6"/>
      <c r="T556" s="47"/>
      <c r="U556" s="47"/>
      <c r="V556" s="51">
        <v>0</v>
      </c>
    </row>
    <row r="557" ht="19.5" customHeight="1">
      <c r="A557" t="s" s="88">
        <v>572</v>
      </c>
      <c r="B557" s="42">
        <f>SUM(C557,G557)</f>
        <v>0</v>
      </c>
      <c r="C557" s="43">
        <f>SUM(H557,I557,J557,K557,L557,M557,N557,O557,P557,Q557,R557,S557,T557,U557,V557)</f>
        <v>0</v>
      </c>
      <c r="D557" s="44"/>
      <c r="E557" s="6"/>
      <c r="F557" s="6"/>
      <c r="G557" s="6"/>
      <c r="H557" s="46"/>
      <c r="I557" s="47"/>
      <c r="J557" s="47"/>
      <c r="K557" s="47"/>
      <c r="L557" s="47"/>
      <c r="M557" s="48">
        <v>0</v>
      </c>
      <c r="N557" s="49"/>
      <c r="O557" s="50"/>
      <c r="P557" s="6"/>
      <c r="Q557" s="51">
        <v>0</v>
      </c>
      <c r="R557" s="47"/>
      <c r="S557" s="6"/>
      <c r="T557" s="47"/>
      <c r="U557" s="47"/>
      <c r="V557" s="51">
        <v>0</v>
      </c>
    </row>
    <row r="558" ht="47.25" customHeight="1">
      <c r="A558" t="s" s="52">
        <v>573</v>
      </c>
      <c r="B558" s="42">
        <f>SUM(C558,G558)</f>
        <v>1740</v>
      </c>
      <c r="C558" s="43">
        <f>SUM(H558,I558,J558,K558,L558,M558,N558,O558,P558,Q558,R558,S558,T558,U558,V558)</f>
        <v>1740</v>
      </c>
      <c r="D558" s="44"/>
      <c r="E558" s="17"/>
      <c r="F558" s="17"/>
      <c r="G558" s="17"/>
      <c r="H558" s="27">
        <v>100</v>
      </c>
      <c r="I558" s="51">
        <v>1000</v>
      </c>
      <c r="J558" s="51">
        <v>400</v>
      </c>
      <c r="K558" s="51">
        <v>240</v>
      </c>
      <c r="L558" s="51">
        <v>0</v>
      </c>
      <c r="M558" s="48">
        <v>0</v>
      </c>
      <c r="N558" s="48">
        <v>0</v>
      </c>
      <c r="O558" s="55">
        <v>0</v>
      </c>
      <c r="P558" s="56">
        <v>0</v>
      </c>
      <c r="Q558" s="51">
        <v>0</v>
      </c>
      <c r="R558" s="51">
        <v>0</v>
      </c>
      <c r="S558" s="17"/>
      <c r="T558" s="51">
        <v>0</v>
      </c>
      <c r="U558" s="51">
        <v>0</v>
      </c>
      <c r="V558" s="51">
        <v>0</v>
      </c>
    </row>
    <row r="559" ht="78" customHeight="1">
      <c r="A559" t="s" s="21">
        <v>574</v>
      </c>
      <c r="B559" s="22">
        <f>SUM(C559,G559)</f>
        <v>14750</v>
      </c>
      <c r="C559" s="23">
        <f>SUM(H559,I559,J559,K559,L559,M559,N559,O559,P559,Q559,R559,S559,T559,U559,V559)</f>
        <v>14750</v>
      </c>
      <c r="D559" s="36"/>
      <c r="E559" s="25"/>
      <c r="F559" s="25"/>
      <c r="G559" s="26"/>
      <c r="H559" s="27">
        <v>10000</v>
      </c>
      <c r="I559" s="28">
        <v>750</v>
      </c>
      <c r="J559" s="28">
        <v>3000</v>
      </c>
      <c r="K559" s="28">
        <v>1000</v>
      </c>
      <c r="L559" s="28">
        <v>0</v>
      </c>
      <c r="M559" s="30">
        <v>0</v>
      </c>
      <c r="N559" s="30">
        <v>0</v>
      </c>
      <c r="O559" s="30">
        <v>0</v>
      </c>
      <c r="P559" s="41">
        <v>0</v>
      </c>
      <c r="Q559" s="28">
        <v>0</v>
      </c>
      <c r="R559" s="28">
        <v>0</v>
      </c>
      <c r="S559" s="33"/>
      <c r="T559" s="28">
        <v>0</v>
      </c>
      <c r="U559" s="28">
        <v>0</v>
      </c>
      <c r="V559" s="28">
        <v>0</v>
      </c>
    </row>
    <row r="560" ht="31.5" customHeight="1">
      <c r="A560" t="s" s="88">
        <v>575</v>
      </c>
      <c r="B560" s="42">
        <f>SUM(C560,G560)</f>
        <v>0</v>
      </c>
      <c r="C560" s="43">
        <f>SUM(H560,I560,J560,K560,L560,M560,N560,O560,P560,Q560,R560,S560,T560,U560,V560)</f>
        <v>0</v>
      </c>
      <c r="D560" s="44"/>
      <c r="E560" s="45"/>
      <c r="F560" s="45"/>
      <c r="G560" s="45"/>
      <c r="H560" s="46"/>
      <c r="I560" s="47"/>
      <c r="J560" s="47"/>
      <c r="K560" s="47"/>
      <c r="L560" s="47"/>
      <c r="M560" s="48">
        <v>0</v>
      </c>
      <c r="N560" s="49"/>
      <c r="O560" s="50"/>
      <c r="P560" s="45"/>
      <c r="Q560" s="51">
        <v>0</v>
      </c>
      <c r="R560" s="47"/>
      <c r="S560" s="45"/>
      <c r="T560" s="47"/>
      <c r="U560" s="47"/>
      <c r="V560" s="51">
        <v>0</v>
      </c>
    </row>
    <row r="561" ht="195" customHeight="1">
      <c r="A561" t="s" s="52">
        <v>576</v>
      </c>
      <c r="B561" s="42">
        <f>SUM(C561,G561)</f>
        <v>1220</v>
      </c>
      <c r="C561" s="43">
        <f>SUM(H561,I561,J561,K561,L561,M561,N561,O561,P561,Q561,R561,S561,T561,U561,V561)</f>
        <v>1220</v>
      </c>
      <c r="D561" s="44"/>
      <c r="E561" s="6"/>
      <c r="F561" s="6"/>
      <c r="G561" s="6"/>
      <c r="H561" s="27">
        <v>1000</v>
      </c>
      <c r="I561" s="51">
        <v>50</v>
      </c>
      <c r="J561" s="51">
        <v>120</v>
      </c>
      <c r="K561" s="51">
        <v>50</v>
      </c>
      <c r="L561" s="51">
        <v>0</v>
      </c>
      <c r="M561" s="48">
        <v>0</v>
      </c>
      <c r="N561" s="48">
        <v>0</v>
      </c>
      <c r="O561" s="55">
        <v>0</v>
      </c>
      <c r="P561" s="53">
        <v>0</v>
      </c>
      <c r="Q561" s="51">
        <v>0</v>
      </c>
      <c r="R561" s="51">
        <v>0</v>
      </c>
      <c r="S561" s="6"/>
      <c r="T561" s="51">
        <v>0</v>
      </c>
      <c r="U561" s="51">
        <v>0</v>
      </c>
      <c r="V561" s="51">
        <v>0</v>
      </c>
    </row>
    <row r="562" ht="204.75" customHeight="1">
      <c r="A562" t="s" s="52">
        <v>577</v>
      </c>
      <c r="B562" s="42">
        <f>SUM(C562,G562)</f>
        <v>884</v>
      </c>
      <c r="C562" s="43">
        <f>SUM(H562,I562,J562,K562,L562,M562,N562,O562,P562,Q562,R562,S562,T562,U562,V562)</f>
        <v>884</v>
      </c>
      <c r="D562" s="44"/>
      <c r="E562" s="6"/>
      <c r="F562" s="6"/>
      <c r="G562" s="6"/>
      <c r="H562" s="27">
        <v>500</v>
      </c>
      <c r="I562" s="51">
        <v>24</v>
      </c>
      <c r="J562" s="51">
        <v>200</v>
      </c>
      <c r="K562" s="51">
        <v>160</v>
      </c>
      <c r="L562" s="51">
        <v>0</v>
      </c>
      <c r="M562" s="48">
        <v>0</v>
      </c>
      <c r="N562" s="48">
        <v>0</v>
      </c>
      <c r="O562" s="55">
        <v>0</v>
      </c>
      <c r="P562" s="53">
        <v>0</v>
      </c>
      <c r="Q562" s="51">
        <v>0</v>
      </c>
      <c r="R562" s="51">
        <v>0</v>
      </c>
      <c r="S562" s="6"/>
      <c r="T562" s="51">
        <v>0</v>
      </c>
      <c r="U562" s="51">
        <v>0</v>
      </c>
      <c r="V562" s="51">
        <v>0</v>
      </c>
    </row>
    <row r="563" ht="94.5" customHeight="1">
      <c r="A563" t="s" s="52">
        <v>578</v>
      </c>
      <c r="B563" s="42">
        <f>SUM(C563,G563)</f>
        <v>0</v>
      </c>
      <c r="C563" s="43">
        <f>SUM(H563,I563,J563,K563,L563,M563,N563,O563,P563,Q563,R563,S563,T563,U563,V563)</f>
        <v>0</v>
      </c>
      <c r="D563" s="44"/>
      <c r="E563" s="6"/>
      <c r="F563" s="6"/>
      <c r="G563" s="6"/>
      <c r="H563" s="27">
        <v>0</v>
      </c>
      <c r="I563" s="51">
        <v>0</v>
      </c>
      <c r="J563" s="51">
        <v>0</v>
      </c>
      <c r="K563" s="47"/>
      <c r="L563" s="51">
        <v>0</v>
      </c>
      <c r="M563" s="48">
        <v>0</v>
      </c>
      <c r="N563" s="48">
        <v>0</v>
      </c>
      <c r="O563" s="55">
        <v>0</v>
      </c>
      <c r="P563" s="53">
        <v>0</v>
      </c>
      <c r="Q563" s="51">
        <v>0</v>
      </c>
      <c r="R563" s="51">
        <v>0</v>
      </c>
      <c r="S563" s="6"/>
      <c r="T563" s="51">
        <v>0</v>
      </c>
      <c r="U563" s="51">
        <v>0</v>
      </c>
      <c r="V563" s="51">
        <v>0</v>
      </c>
    </row>
    <row r="564" ht="31.5" customHeight="1">
      <c r="A564" t="s" s="88">
        <v>579</v>
      </c>
      <c r="B564" s="42">
        <f>SUM(C564,G564)</f>
        <v>0</v>
      </c>
      <c r="C564" s="43">
        <f>SUM(H564,I564,J564,K564,L564,M564,N564,O564,P564,Q564,R564,S564,T564,U564,V564)</f>
        <v>0</v>
      </c>
      <c r="D564" s="44"/>
      <c r="E564" s="6"/>
      <c r="F564" s="6"/>
      <c r="G564" s="6"/>
      <c r="H564" s="46"/>
      <c r="I564" s="47"/>
      <c r="J564" s="47"/>
      <c r="K564" s="47"/>
      <c r="L564" s="47"/>
      <c r="M564" s="48">
        <v>0</v>
      </c>
      <c r="N564" s="49"/>
      <c r="O564" s="50"/>
      <c r="P564" s="6"/>
      <c r="Q564" s="51">
        <v>0</v>
      </c>
      <c r="R564" s="47"/>
      <c r="S564" s="6"/>
      <c r="T564" s="47"/>
      <c r="U564" s="47"/>
      <c r="V564" s="51">
        <v>0</v>
      </c>
    </row>
    <row r="565" ht="117" customHeight="1">
      <c r="A565" t="s" s="52">
        <v>580</v>
      </c>
      <c r="B565" s="42">
        <f>SUM(C565,G565)</f>
        <v>5590</v>
      </c>
      <c r="C565" s="43">
        <f>SUM(H565,I565,J565,K565,L565,M565,N565,O565,P565,Q565,R565,S565,T565,U565,V565)</f>
        <v>5590</v>
      </c>
      <c r="D565" s="44"/>
      <c r="E565" s="6"/>
      <c r="F565" s="6"/>
      <c r="G565" s="6"/>
      <c r="H565" s="27">
        <v>2000</v>
      </c>
      <c r="I565" s="51">
        <v>750</v>
      </c>
      <c r="J565" s="51">
        <v>1440</v>
      </c>
      <c r="K565" s="51">
        <v>1400</v>
      </c>
      <c r="L565" s="51">
        <v>0</v>
      </c>
      <c r="M565" s="48">
        <v>0</v>
      </c>
      <c r="N565" s="48">
        <v>0</v>
      </c>
      <c r="O565" s="55">
        <v>0</v>
      </c>
      <c r="P565" s="53">
        <v>0</v>
      </c>
      <c r="Q565" s="51">
        <v>0</v>
      </c>
      <c r="R565" s="51">
        <v>0</v>
      </c>
      <c r="S565" s="6"/>
      <c r="T565" s="51">
        <v>0</v>
      </c>
      <c r="U565" s="51">
        <v>0</v>
      </c>
      <c r="V565" s="51">
        <v>0</v>
      </c>
    </row>
    <row r="566" ht="110.25" customHeight="1">
      <c r="A566" t="s" s="52">
        <v>581</v>
      </c>
      <c r="B566" s="42">
        <f>SUM(C566,G566)</f>
        <v>3460</v>
      </c>
      <c r="C566" s="43">
        <f>SUM(H566,I566,J566,K566,L566,M566,N566,O566,P566,Q566,R566,S566,T566,U566,V566)</f>
        <v>3460</v>
      </c>
      <c r="D566" s="44"/>
      <c r="E566" s="6"/>
      <c r="F566" s="6"/>
      <c r="G566" s="6"/>
      <c r="H566" s="27">
        <v>2000</v>
      </c>
      <c r="I566" s="51">
        <v>260</v>
      </c>
      <c r="J566" s="51">
        <v>1200</v>
      </c>
      <c r="K566" s="47"/>
      <c r="L566" s="51">
        <v>0</v>
      </c>
      <c r="M566" s="48">
        <v>0</v>
      </c>
      <c r="N566" s="48">
        <v>0</v>
      </c>
      <c r="O566" s="55">
        <v>0</v>
      </c>
      <c r="P566" s="53">
        <v>0</v>
      </c>
      <c r="Q566" s="51">
        <v>0</v>
      </c>
      <c r="R566" s="51">
        <v>0</v>
      </c>
      <c r="S566" s="6"/>
      <c r="T566" s="51">
        <v>0</v>
      </c>
      <c r="U566" s="51">
        <v>0</v>
      </c>
      <c r="V566" s="51">
        <v>0</v>
      </c>
    </row>
    <row r="567" ht="47.25" customHeight="1">
      <c r="A567" t="s" s="52">
        <v>582</v>
      </c>
      <c r="B567" s="42">
        <f>SUM(C567,G567)</f>
        <v>550</v>
      </c>
      <c r="C567" s="43">
        <f>SUM(H567,I567,J567,K567,L567,M567,N567,O567,P567,Q567,R567,S567,T567,U567,V567)</f>
        <v>550</v>
      </c>
      <c r="D567" s="44"/>
      <c r="E567" s="6"/>
      <c r="F567" s="6"/>
      <c r="G567" s="6"/>
      <c r="H567" s="27">
        <v>50</v>
      </c>
      <c r="I567" s="51">
        <v>100</v>
      </c>
      <c r="J567" s="51">
        <v>100</v>
      </c>
      <c r="K567" s="51">
        <v>300</v>
      </c>
      <c r="L567" s="51">
        <v>0</v>
      </c>
      <c r="M567" s="48">
        <v>0</v>
      </c>
      <c r="N567" s="48">
        <v>0</v>
      </c>
      <c r="O567" s="55">
        <v>0</v>
      </c>
      <c r="P567" s="53">
        <v>0</v>
      </c>
      <c r="Q567" s="51">
        <v>0</v>
      </c>
      <c r="R567" s="51">
        <v>0</v>
      </c>
      <c r="S567" s="6"/>
      <c r="T567" s="51">
        <v>0</v>
      </c>
      <c r="U567" s="51">
        <v>0</v>
      </c>
      <c r="V567" s="51">
        <v>0</v>
      </c>
    </row>
    <row r="568" ht="19.5" customHeight="1">
      <c r="A568" t="s" s="67">
        <v>583</v>
      </c>
      <c r="B568" s="42">
        <f>SUM(C568,G568)</f>
        <v>0</v>
      </c>
      <c r="C568" s="43">
        <f>SUM(H568,I568,J568,K568,L568,M568,N568,O568,P568,Q568,R568,S568,T568,U568,V568)</f>
        <v>0</v>
      </c>
      <c r="D568" s="44"/>
      <c r="E568" s="6"/>
      <c r="F568" s="6"/>
      <c r="G568" s="6"/>
      <c r="H568" s="46"/>
      <c r="I568" s="47"/>
      <c r="J568" s="47"/>
      <c r="K568" s="47"/>
      <c r="L568" s="47"/>
      <c r="M568" s="48">
        <v>0</v>
      </c>
      <c r="N568" s="49"/>
      <c r="O568" s="50"/>
      <c r="P568" s="6"/>
      <c r="Q568" s="51">
        <v>0</v>
      </c>
      <c r="R568" s="47"/>
      <c r="S568" s="6"/>
      <c r="T568" s="47"/>
      <c r="U568" s="47"/>
      <c r="V568" s="51">
        <v>0</v>
      </c>
    </row>
    <row r="569" ht="31.5" customHeight="1">
      <c r="A569" t="s" s="52">
        <v>584</v>
      </c>
      <c r="B569" s="42">
        <f>SUM(C569,G569)</f>
        <v>5750</v>
      </c>
      <c r="C569" s="43">
        <f>SUM(H569,I569,J569,K569,L569,M569,N569,O569,P569,Q569,R569,S569,T569,U569,V569)</f>
        <v>5750</v>
      </c>
      <c r="D569" s="44"/>
      <c r="E569" s="6"/>
      <c r="F569" s="6"/>
      <c r="G569" s="6"/>
      <c r="H569" s="27">
        <v>5000</v>
      </c>
      <c r="I569" s="51">
        <v>250</v>
      </c>
      <c r="J569" s="51">
        <v>350</v>
      </c>
      <c r="K569" s="51">
        <v>150</v>
      </c>
      <c r="L569" s="51">
        <v>0</v>
      </c>
      <c r="M569" s="48">
        <v>0</v>
      </c>
      <c r="N569" s="48">
        <v>0</v>
      </c>
      <c r="O569" s="55">
        <v>0</v>
      </c>
      <c r="P569" s="53">
        <v>0</v>
      </c>
      <c r="Q569" s="51">
        <v>0</v>
      </c>
      <c r="R569" s="51">
        <v>0</v>
      </c>
      <c r="S569" s="6"/>
      <c r="T569" s="51">
        <v>0</v>
      </c>
      <c r="U569" s="51">
        <v>0</v>
      </c>
      <c r="V569" s="51">
        <v>0</v>
      </c>
    </row>
    <row r="570" ht="47.25" customHeight="1">
      <c r="A570" t="s" s="52">
        <v>585</v>
      </c>
      <c r="B570" s="42">
        <f>SUM(C570,G570)</f>
        <v>10100</v>
      </c>
      <c r="C570" s="43">
        <f>SUM(H570,I570,J570,K570,L570,M570,N570,O570,P570,Q570,R570,S570,T570,U570,V570)</f>
        <v>10100</v>
      </c>
      <c r="D570" s="44"/>
      <c r="E570" s="6"/>
      <c r="F570" s="6"/>
      <c r="G570" s="6"/>
      <c r="H570" s="27">
        <v>3000</v>
      </c>
      <c r="I570" s="51">
        <v>0</v>
      </c>
      <c r="J570" s="51">
        <v>3000</v>
      </c>
      <c r="K570" s="51">
        <v>4000</v>
      </c>
      <c r="L570" s="51">
        <v>100</v>
      </c>
      <c r="M570" s="48">
        <v>0</v>
      </c>
      <c r="N570" s="48">
        <v>0</v>
      </c>
      <c r="O570" s="55">
        <v>0</v>
      </c>
      <c r="P570" s="53">
        <v>0</v>
      </c>
      <c r="Q570" s="51">
        <v>0</v>
      </c>
      <c r="R570" s="47"/>
      <c r="S570" s="6"/>
      <c r="T570" s="51">
        <v>0</v>
      </c>
      <c r="U570" s="51">
        <v>0</v>
      </c>
      <c r="V570" s="51">
        <v>0</v>
      </c>
    </row>
    <row r="571" ht="31.5" customHeight="1">
      <c r="A571" t="s" s="52">
        <v>586</v>
      </c>
      <c r="B571" s="42">
        <f>SUM(C571,G571)</f>
        <v>1050</v>
      </c>
      <c r="C571" s="43">
        <f>SUM(H571,I571,J571,K571,L571,M571,N571,O571,P571,Q571,R571,S571,T571,U571,V571)</f>
        <v>1050</v>
      </c>
      <c r="D571" s="44"/>
      <c r="E571" s="6"/>
      <c r="F571" s="6"/>
      <c r="G571" s="6"/>
      <c r="H571" s="27">
        <v>800</v>
      </c>
      <c r="I571" s="51">
        <v>50</v>
      </c>
      <c r="J571" s="51">
        <v>200</v>
      </c>
      <c r="K571" s="47"/>
      <c r="L571" s="51">
        <v>0</v>
      </c>
      <c r="M571" s="48">
        <v>0</v>
      </c>
      <c r="N571" s="48">
        <v>0</v>
      </c>
      <c r="O571" s="55">
        <v>0</v>
      </c>
      <c r="P571" s="53">
        <v>0</v>
      </c>
      <c r="Q571" s="51">
        <v>0</v>
      </c>
      <c r="R571" s="51">
        <v>0</v>
      </c>
      <c r="S571" s="6"/>
      <c r="T571" s="51">
        <v>0</v>
      </c>
      <c r="U571" s="51">
        <v>0</v>
      </c>
      <c r="V571" s="51">
        <v>0</v>
      </c>
    </row>
    <row r="572" ht="19.5" customHeight="1">
      <c r="A572" t="s" s="67">
        <v>587</v>
      </c>
      <c r="B572" s="42">
        <f>SUM(C572,G572)</f>
        <v>0</v>
      </c>
      <c r="C572" s="43">
        <f>SUM(H572,I572,J572,K572,L572,M572,N572,O572,P572,Q572,R572,S572,T572,U572,V572)</f>
        <v>0</v>
      </c>
      <c r="D572" s="44"/>
      <c r="E572" s="6"/>
      <c r="F572" s="6"/>
      <c r="G572" s="14"/>
      <c r="H572" s="76"/>
      <c r="I572" s="47"/>
      <c r="J572" s="47"/>
      <c r="K572" s="47"/>
      <c r="L572" s="47"/>
      <c r="M572" s="48">
        <v>0</v>
      </c>
      <c r="N572" s="49"/>
      <c r="O572" s="50"/>
      <c r="P572" s="6"/>
      <c r="Q572" s="51">
        <v>0</v>
      </c>
      <c r="R572" s="47"/>
      <c r="S572" s="6"/>
      <c r="T572" s="47"/>
      <c r="U572" s="47"/>
      <c r="V572" s="51">
        <v>0</v>
      </c>
    </row>
    <row r="573" ht="117" customHeight="1">
      <c r="A573" t="s" s="52">
        <v>588</v>
      </c>
      <c r="B573" s="42">
        <f>SUM(C573,G573)</f>
        <v>5269</v>
      </c>
      <c r="C573" s="43">
        <f>SUM(H573,I573,J573,K573,L573,M573,N573,O573,P573,Q573,R573,S573,T573,U573,V573)</f>
        <v>5269</v>
      </c>
      <c r="D573" s="44"/>
      <c r="E573" s="17"/>
      <c r="F573" s="17"/>
      <c r="G573" s="17"/>
      <c r="H573" s="27">
        <v>2000</v>
      </c>
      <c r="I573" s="51">
        <v>350</v>
      </c>
      <c r="J573" s="51">
        <v>150</v>
      </c>
      <c r="K573" s="51">
        <v>300</v>
      </c>
      <c r="L573" s="51">
        <v>150</v>
      </c>
      <c r="M573" s="48">
        <v>200</v>
      </c>
      <c r="N573" s="48">
        <v>1214</v>
      </c>
      <c r="O573" s="55">
        <v>463</v>
      </c>
      <c r="P573" s="56">
        <v>35</v>
      </c>
      <c r="Q573" s="51">
        <v>407</v>
      </c>
      <c r="R573" s="51">
        <v>0</v>
      </c>
      <c r="S573" s="17"/>
      <c r="T573" s="51">
        <v>0</v>
      </c>
      <c r="U573" s="51">
        <v>0</v>
      </c>
      <c r="V573" s="51">
        <v>0</v>
      </c>
    </row>
    <row r="574" ht="78" customHeight="1">
      <c r="A574" t="s" s="21">
        <v>589</v>
      </c>
      <c r="B574" s="22">
        <f>SUM(C574,G574)</f>
        <v>31723</v>
      </c>
      <c r="C574" s="23">
        <f>SUM(H574,I574,J574,K574,L574,M574,N574,O574,P574,Q574,R574,S574,T574,U574,V574)</f>
        <v>31723</v>
      </c>
      <c r="D574" s="36"/>
      <c r="E574" s="25"/>
      <c r="F574" s="25"/>
      <c r="G574" s="26"/>
      <c r="H574" s="27">
        <v>20000</v>
      </c>
      <c r="I574" s="28">
        <v>360</v>
      </c>
      <c r="J574" s="28">
        <v>1000</v>
      </c>
      <c r="K574" s="28">
        <v>600</v>
      </c>
      <c r="L574" s="28">
        <v>250</v>
      </c>
      <c r="M574" s="30">
        <v>2500</v>
      </c>
      <c r="N574" s="30">
        <v>2403</v>
      </c>
      <c r="O574" s="30">
        <v>1500</v>
      </c>
      <c r="P574" s="41">
        <v>650</v>
      </c>
      <c r="Q574" s="28">
        <v>2160</v>
      </c>
      <c r="R574" s="28">
        <v>0</v>
      </c>
      <c r="S574" s="33"/>
      <c r="T574" s="28">
        <v>0</v>
      </c>
      <c r="U574" s="28">
        <v>0</v>
      </c>
      <c r="V574" s="28">
        <v>300</v>
      </c>
    </row>
    <row r="575" ht="173.25" customHeight="1">
      <c r="A575" t="s" s="52">
        <v>590</v>
      </c>
      <c r="B575" s="42">
        <f>SUM(C575,G575)</f>
        <v>13850</v>
      </c>
      <c r="C575" s="43">
        <f>SUM(H575,I575,J575,K575,L575,M575,N575,O575,P575,Q575,R575,S575,T575,U575,V575)</f>
        <v>13850</v>
      </c>
      <c r="D575" s="44"/>
      <c r="E575" s="45"/>
      <c r="F575" s="45"/>
      <c r="G575" s="45"/>
      <c r="H575" s="27">
        <v>2000</v>
      </c>
      <c r="I575" s="51">
        <v>10000</v>
      </c>
      <c r="J575" s="51">
        <v>500</v>
      </c>
      <c r="K575" s="51">
        <v>1350</v>
      </c>
      <c r="L575" s="51">
        <v>0</v>
      </c>
      <c r="M575" s="48">
        <v>0</v>
      </c>
      <c r="N575" s="48">
        <v>0</v>
      </c>
      <c r="O575" s="55">
        <v>0</v>
      </c>
      <c r="P575" s="58">
        <v>0</v>
      </c>
      <c r="Q575" s="51">
        <v>0</v>
      </c>
      <c r="R575" s="51">
        <v>0</v>
      </c>
      <c r="S575" s="45"/>
      <c r="T575" s="51">
        <v>0</v>
      </c>
      <c r="U575" s="51">
        <v>0</v>
      </c>
      <c r="V575" s="51">
        <v>0</v>
      </c>
    </row>
    <row r="576" ht="97.5" customHeight="1">
      <c r="A576" t="s" s="130">
        <v>591</v>
      </c>
      <c r="B576" s="42">
        <f>SUM(C576,G576)</f>
        <v>18900</v>
      </c>
      <c r="C576" s="43">
        <f>SUM(H576,I576,J576,K576,L576,M576,N576,O576,P576,Q576,R576,S576,T576,U576,V576)</f>
        <v>18800</v>
      </c>
      <c r="D576" s="44"/>
      <c r="E576" s="17"/>
      <c r="F576" s="17"/>
      <c r="G576" s="56">
        <v>100</v>
      </c>
      <c r="H576" s="27">
        <v>10000</v>
      </c>
      <c r="I576" s="51">
        <v>1100</v>
      </c>
      <c r="J576" s="51">
        <v>2800</v>
      </c>
      <c r="K576" s="51">
        <v>2400</v>
      </c>
      <c r="L576" s="51">
        <v>2500</v>
      </c>
      <c r="M576" s="48">
        <v>0</v>
      </c>
      <c r="N576" s="48">
        <v>0</v>
      </c>
      <c r="O576" s="55">
        <v>0</v>
      </c>
      <c r="P576" s="56">
        <v>0</v>
      </c>
      <c r="Q576" s="51">
        <v>0</v>
      </c>
      <c r="R576" s="51">
        <v>0</v>
      </c>
      <c r="S576" s="17"/>
      <c r="T576" s="51">
        <v>0</v>
      </c>
      <c r="U576" s="51">
        <v>0</v>
      </c>
      <c r="V576" s="51">
        <v>0</v>
      </c>
    </row>
    <row r="577" ht="63" customHeight="1">
      <c r="A577" t="s" s="59">
        <v>592</v>
      </c>
      <c r="B577" s="22">
        <f>SUM(C577,G577)</f>
        <v>104910</v>
      </c>
      <c r="C577" s="23">
        <f>SUM(H577,I577,J577,K577,L577,M577,N577,O577,P577,Q577,R577,S577,T577,U577,V577)</f>
        <v>104910</v>
      </c>
      <c r="D577" s="36"/>
      <c r="E577" s="25"/>
      <c r="F577" s="25"/>
      <c r="G577" s="26"/>
      <c r="H577" s="27">
        <v>2000</v>
      </c>
      <c r="I577" s="28">
        <v>10</v>
      </c>
      <c r="J577" s="28">
        <v>7000</v>
      </c>
      <c r="K577" s="28">
        <v>10000</v>
      </c>
      <c r="L577" s="28">
        <v>4500</v>
      </c>
      <c r="M577" s="30">
        <v>20900</v>
      </c>
      <c r="N577" s="30">
        <v>7000</v>
      </c>
      <c r="O577" s="30">
        <v>15500</v>
      </c>
      <c r="P577" s="41">
        <v>3000</v>
      </c>
      <c r="Q577" s="28">
        <v>4000</v>
      </c>
      <c r="R577" s="28">
        <v>0</v>
      </c>
      <c r="S577" s="33"/>
      <c r="T577" s="28">
        <v>0</v>
      </c>
      <c r="U577" s="28">
        <v>0</v>
      </c>
      <c r="V577" s="28">
        <v>31000</v>
      </c>
    </row>
    <row r="578" ht="47.25" customHeight="1">
      <c r="A578" t="s" s="130">
        <v>593</v>
      </c>
      <c r="B578" s="42">
        <f>SUM(C578,G578)</f>
        <v>10605</v>
      </c>
      <c r="C578" s="43">
        <f>SUM(H578,I578,J578,K578,L578,M578,N578,O578,P578,Q578,R578,S578,T578,U578,V578)</f>
        <v>10605</v>
      </c>
      <c r="D578" s="44"/>
      <c r="E578" s="45"/>
      <c r="F578" s="45"/>
      <c r="G578" s="45"/>
      <c r="H578" s="27">
        <v>0</v>
      </c>
      <c r="I578" s="51">
        <v>25</v>
      </c>
      <c r="J578" s="51">
        <v>1000</v>
      </c>
      <c r="K578" s="51">
        <v>2000</v>
      </c>
      <c r="L578" s="51">
        <v>0</v>
      </c>
      <c r="M578" s="48">
        <v>0</v>
      </c>
      <c r="N578" s="48">
        <v>930</v>
      </c>
      <c r="O578" s="55">
        <v>150</v>
      </c>
      <c r="P578" s="58">
        <v>0</v>
      </c>
      <c r="Q578" s="51">
        <v>6500</v>
      </c>
      <c r="R578" s="51">
        <v>0</v>
      </c>
      <c r="S578" s="45"/>
      <c r="T578" s="51">
        <v>0</v>
      </c>
      <c r="U578" s="51">
        <v>0</v>
      </c>
      <c r="V578" s="51">
        <v>0</v>
      </c>
    </row>
    <row r="579" ht="47.25" customHeight="1">
      <c r="A579" t="s" s="52">
        <v>594</v>
      </c>
      <c r="B579" s="42">
        <f>SUM(C579,G579)</f>
        <v>100</v>
      </c>
      <c r="C579" s="43">
        <f>SUM(H579,I579,J579,K579,L579,M579,N579,O579,P579,Q579,R579,S579,T579,U579,V579)</f>
        <v>100</v>
      </c>
      <c r="D579" s="44"/>
      <c r="E579" s="6"/>
      <c r="F579" s="6"/>
      <c r="G579" s="6"/>
      <c r="H579" s="27">
        <v>0</v>
      </c>
      <c r="I579" s="51">
        <v>0</v>
      </c>
      <c r="J579" s="51">
        <v>0</v>
      </c>
      <c r="K579" s="51">
        <v>100</v>
      </c>
      <c r="L579" s="51">
        <v>0</v>
      </c>
      <c r="M579" s="48">
        <v>0</v>
      </c>
      <c r="N579" s="48">
        <v>0</v>
      </c>
      <c r="O579" s="55">
        <v>0</v>
      </c>
      <c r="P579" s="53">
        <v>0</v>
      </c>
      <c r="Q579" s="51">
        <v>0</v>
      </c>
      <c r="R579" s="51">
        <v>0</v>
      </c>
      <c r="S579" s="6"/>
      <c r="T579" s="51">
        <v>0</v>
      </c>
      <c r="U579" s="51">
        <v>0</v>
      </c>
      <c r="V579" s="51">
        <v>0</v>
      </c>
    </row>
    <row r="580" ht="47.25" customHeight="1">
      <c r="A580" t="s" s="67">
        <v>595</v>
      </c>
      <c r="B580" s="42">
        <f>SUM(C580,G580)</f>
        <v>0</v>
      </c>
      <c r="C580" s="43">
        <f>SUM(H580,I580,J580,K580,L580,M580,N580,O580,P580,Q580,R580,S580,T580,U580,V580)</f>
        <v>0</v>
      </c>
      <c r="D580" s="44"/>
      <c r="E580" s="6"/>
      <c r="F580" s="6"/>
      <c r="G580" s="6"/>
      <c r="H580" s="46"/>
      <c r="I580" s="47"/>
      <c r="J580" s="47"/>
      <c r="K580" s="47"/>
      <c r="L580" s="47"/>
      <c r="M580" s="48">
        <v>0</v>
      </c>
      <c r="N580" s="49"/>
      <c r="O580" s="50"/>
      <c r="P580" s="6"/>
      <c r="Q580" s="51">
        <v>0</v>
      </c>
      <c r="R580" s="47"/>
      <c r="S580" s="6"/>
      <c r="T580" s="47"/>
      <c r="U580" s="47"/>
      <c r="V580" s="51">
        <v>0</v>
      </c>
    </row>
    <row r="581" ht="47.25" customHeight="1">
      <c r="A581" t="s" s="52">
        <v>596</v>
      </c>
      <c r="B581" s="42">
        <f>SUM(C581,G581)</f>
        <v>0</v>
      </c>
      <c r="C581" s="43">
        <f>SUM(H581,I581,J581,K581,L581,M581,N581,O581,P581,Q581,R581,S581,T581,U581,V581)</f>
        <v>0</v>
      </c>
      <c r="D581" s="44"/>
      <c r="E581" s="6"/>
      <c r="F581" s="6"/>
      <c r="G581" s="6"/>
      <c r="H581" s="27">
        <v>0</v>
      </c>
      <c r="I581" s="51">
        <v>0</v>
      </c>
      <c r="J581" s="51">
        <v>0</v>
      </c>
      <c r="K581" s="51">
        <v>0</v>
      </c>
      <c r="L581" s="51">
        <v>0</v>
      </c>
      <c r="M581" s="48">
        <v>0</v>
      </c>
      <c r="N581" s="48">
        <v>0</v>
      </c>
      <c r="O581" s="55">
        <v>0</v>
      </c>
      <c r="P581" s="53">
        <v>0</v>
      </c>
      <c r="Q581" s="51">
        <v>0</v>
      </c>
      <c r="R581" s="51">
        <v>0</v>
      </c>
      <c r="S581" s="6"/>
      <c r="T581" s="51">
        <v>0</v>
      </c>
      <c r="U581" s="51">
        <v>0</v>
      </c>
      <c r="V581" s="51">
        <v>0</v>
      </c>
    </row>
    <row r="582" ht="47.25" customHeight="1">
      <c r="A582" t="s" s="52">
        <v>597</v>
      </c>
      <c r="B582" s="42">
        <f>SUM(C582,G582)</f>
        <v>0</v>
      </c>
      <c r="C582" s="43">
        <f>SUM(H582,I582,J582,K582,L582,M582,N582,O582,P582,Q582,R582,S582,T582,U582,V582)</f>
        <v>0</v>
      </c>
      <c r="D582" s="44"/>
      <c r="E582" s="17"/>
      <c r="F582" s="17"/>
      <c r="G582" s="17"/>
      <c r="H582" s="27">
        <v>0</v>
      </c>
      <c r="I582" s="51">
        <v>0</v>
      </c>
      <c r="J582" s="51">
        <v>0</v>
      </c>
      <c r="K582" s="51">
        <v>0</v>
      </c>
      <c r="L582" s="51">
        <v>0</v>
      </c>
      <c r="M582" s="48">
        <v>0</v>
      </c>
      <c r="N582" s="48">
        <v>0</v>
      </c>
      <c r="O582" s="55">
        <v>0</v>
      </c>
      <c r="P582" s="56">
        <v>0</v>
      </c>
      <c r="Q582" s="51">
        <v>0</v>
      </c>
      <c r="R582" s="51">
        <v>0</v>
      </c>
      <c r="S582" s="17"/>
      <c r="T582" s="51">
        <v>0</v>
      </c>
      <c r="U582" s="51">
        <v>0</v>
      </c>
      <c r="V582" s="51">
        <v>0</v>
      </c>
    </row>
    <row r="583" ht="236.25" customHeight="1">
      <c r="A583" t="s" s="21">
        <v>598</v>
      </c>
      <c r="B583" s="22">
        <f>SUM(C583,G583)</f>
        <v>9390</v>
      </c>
      <c r="C583" s="23">
        <f>SUM(H583,I583,J583,K583,L583,M583,N583,O583,P583,Q583,R583,S583,T583,U583,V583)</f>
        <v>9340</v>
      </c>
      <c r="D583" s="36"/>
      <c r="E583" s="25"/>
      <c r="F583" s="25"/>
      <c r="G583" s="37">
        <v>50</v>
      </c>
      <c r="H583" s="27">
        <v>5000</v>
      </c>
      <c r="I583" s="28">
        <v>1200</v>
      </c>
      <c r="J583" s="28">
        <v>1200</v>
      </c>
      <c r="K583" s="28">
        <v>1200</v>
      </c>
      <c r="L583" s="28">
        <v>400</v>
      </c>
      <c r="M583" s="30">
        <v>200</v>
      </c>
      <c r="N583" s="30">
        <v>49</v>
      </c>
      <c r="O583" s="30">
        <v>85</v>
      </c>
      <c r="P583" s="41">
        <v>0</v>
      </c>
      <c r="Q583" s="28">
        <v>0</v>
      </c>
      <c r="R583" s="28">
        <v>0</v>
      </c>
      <c r="S583" s="33"/>
      <c r="T583" s="28">
        <v>0</v>
      </c>
      <c r="U583" s="28">
        <v>1</v>
      </c>
      <c r="V583" s="28">
        <v>5</v>
      </c>
    </row>
    <row r="584" ht="78" customHeight="1">
      <c r="A584" t="s" s="10">
        <v>599</v>
      </c>
      <c r="B584" s="34">
        <f>SUM(C584,G584)</f>
        <v>26901</v>
      </c>
      <c r="C584" s="35">
        <f>SUM(H584,I584,J584,K584,L584,M584,N584,O584,P584,Q584,R584,S584,T584,U584,V584)</f>
        <v>26851</v>
      </c>
      <c r="D584" s="36"/>
      <c r="E584" s="25"/>
      <c r="F584" s="25"/>
      <c r="G584" s="37">
        <v>50</v>
      </c>
      <c r="H584" s="27">
        <v>20000</v>
      </c>
      <c r="I584" s="38">
        <v>2000</v>
      </c>
      <c r="J584" s="38">
        <v>2400</v>
      </c>
      <c r="K584" s="38">
        <v>2400</v>
      </c>
      <c r="L584" s="38">
        <v>50</v>
      </c>
      <c r="M584" s="40">
        <v>0</v>
      </c>
      <c r="N584" s="40">
        <v>0</v>
      </c>
      <c r="O584" s="40">
        <v>0</v>
      </c>
      <c r="P584" s="41">
        <v>0</v>
      </c>
      <c r="Q584" s="38">
        <v>0</v>
      </c>
      <c r="R584" s="38">
        <v>0</v>
      </c>
      <c r="S584" s="33"/>
      <c r="T584" s="38">
        <v>0</v>
      </c>
      <c r="U584" s="38">
        <v>1</v>
      </c>
      <c r="V584" s="38">
        <v>0</v>
      </c>
    </row>
    <row r="585" ht="31.5" customHeight="1">
      <c r="A585" t="s" s="67">
        <v>600</v>
      </c>
      <c r="B585" s="42">
        <f>SUM(C585,G585)</f>
        <v>0</v>
      </c>
      <c r="C585" s="43">
        <f>SUM(H585,I585,J585,K585,L585,M585,N585,O585,P585,Q585,R585,S585,T585,U585,V585)</f>
        <v>0</v>
      </c>
      <c r="D585" s="44"/>
      <c r="E585" s="45"/>
      <c r="F585" s="45"/>
      <c r="G585" s="119"/>
      <c r="H585" s="131"/>
      <c r="I585" s="47"/>
      <c r="J585" s="47"/>
      <c r="K585" s="47"/>
      <c r="L585" s="47"/>
      <c r="M585" s="48">
        <v>0</v>
      </c>
      <c r="N585" s="49"/>
      <c r="O585" s="50"/>
      <c r="P585" s="45"/>
      <c r="Q585" s="51">
        <v>0</v>
      </c>
      <c r="R585" s="47"/>
      <c r="S585" s="45"/>
      <c r="T585" s="47"/>
      <c r="U585" s="47"/>
      <c r="V585" s="51">
        <v>0</v>
      </c>
    </row>
    <row r="586" ht="19.5" customHeight="1">
      <c r="A586" t="s" s="82">
        <v>601</v>
      </c>
      <c r="B586" s="42">
        <f>SUM(C586,G586)</f>
        <v>0</v>
      </c>
      <c r="C586" s="43">
        <f>SUM(H586,I586,J586,K586,L586,M586,N586,O586,P586,Q586,R586,S586,T586,U586,V586)</f>
        <v>0</v>
      </c>
      <c r="D586" s="44"/>
      <c r="E586" s="6"/>
      <c r="F586" s="6"/>
      <c r="G586" s="14"/>
      <c r="H586" s="123"/>
      <c r="I586" s="47"/>
      <c r="J586" s="47"/>
      <c r="K586" s="47"/>
      <c r="L586" s="47"/>
      <c r="M586" s="48">
        <v>0</v>
      </c>
      <c r="N586" s="49"/>
      <c r="O586" s="50"/>
      <c r="P586" s="6"/>
      <c r="Q586" s="51">
        <v>0</v>
      </c>
      <c r="R586" s="47"/>
      <c r="S586" s="6"/>
      <c r="T586" s="47"/>
      <c r="U586" s="47"/>
      <c r="V586" s="51">
        <v>0</v>
      </c>
    </row>
    <row r="587" ht="47.25" customHeight="1">
      <c r="A587" t="s" s="52">
        <v>602</v>
      </c>
      <c r="B587" s="42">
        <f>SUM(C587,G587)</f>
        <v>6650</v>
      </c>
      <c r="C587" s="43">
        <f>SUM(H587,I587,J587,K587,L587,M587,N587,O587,P587,Q587,R587,S587,T587,U587,V587)</f>
        <v>6650</v>
      </c>
      <c r="D587" s="44"/>
      <c r="E587" s="6"/>
      <c r="F587" s="6"/>
      <c r="G587" s="6"/>
      <c r="H587" s="27">
        <v>5000</v>
      </c>
      <c r="I587" s="51">
        <v>1000</v>
      </c>
      <c r="J587" s="51">
        <v>250</v>
      </c>
      <c r="K587" s="51">
        <v>400</v>
      </c>
      <c r="L587" s="51">
        <v>0</v>
      </c>
      <c r="M587" s="48">
        <v>0</v>
      </c>
      <c r="N587" s="48">
        <v>0</v>
      </c>
      <c r="O587" s="55">
        <v>0</v>
      </c>
      <c r="P587" s="53">
        <v>0</v>
      </c>
      <c r="Q587" s="51">
        <v>0</v>
      </c>
      <c r="R587" s="51">
        <v>0</v>
      </c>
      <c r="S587" s="6"/>
      <c r="T587" s="51">
        <v>0</v>
      </c>
      <c r="U587" s="51">
        <v>0</v>
      </c>
      <c r="V587" s="51">
        <v>0</v>
      </c>
    </row>
    <row r="588" ht="19.5" customHeight="1">
      <c r="A588" t="s" s="82">
        <v>603</v>
      </c>
      <c r="B588" s="42">
        <f>SUM(C588,G588)</f>
        <v>0</v>
      </c>
      <c r="C588" s="43">
        <f>SUM(H588,I588,J588,K588,L588,M588,N588,O588,P588,Q588,R588,S588,T588,U588,V588)</f>
        <v>0</v>
      </c>
      <c r="D588" s="44"/>
      <c r="E588" s="6"/>
      <c r="F588" s="6"/>
      <c r="G588" s="14"/>
      <c r="H588" s="131"/>
      <c r="I588" s="47"/>
      <c r="J588" s="47"/>
      <c r="K588" s="47"/>
      <c r="L588" s="47"/>
      <c r="M588" s="48">
        <v>0</v>
      </c>
      <c r="N588" s="49"/>
      <c r="O588" s="50"/>
      <c r="P588" s="6"/>
      <c r="Q588" s="51">
        <v>0</v>
      </c>
      <c r="R588" s="47"/>
      <c r="S588" s="6"/>
      <c r="T588" s="47"/>
      <c r="U588" s="47"/>
      <c r="V588" s="51">
        <v>0</v>
      </c>
    </row>
    <row r="589" ht="47.25" customHeight="1">
      <c r="A589" t="s" s="67">
        <v>604</v>
      </c>
      <c r="B589" s="42">
        <f>SUM(C589,G589)</f>
        <v>0</v>
      </c>
      <c r="C589" s="43">
        <f>SUM(H589,I589,J589,K589,L589,M589,N589,O589,P589,Q589,R589,S589,T589,U589,V589)</f>
        <v>0</v>
      </c>
      <c r="D589" s="44"/>
      <c r="E589" s="6"/>
      <c r="F589" s="6"/>
      <c r="G589" s="14"/>
      <c r="H589" s="123"/>
      <c r="I589" s="47"/>
      <c r="J589" s="47"/>
      <c r="K589" s="47"/>
      <c r="L589" s="47"/>
      <c r="M589" s="48">
        <v>0</v>
      </c>
      <c r="N589" s="49"/>
      <c r="O589" s="50"/>
      <c r="P589" s="6"/>
      <c r="Q589" s="51">
        <v>0</v>
      </c>
      <c r="R589" s="47"/>
      <c r="S589" s="6"/>
      <c r="T589" s="47"/>
      <c r="U589" s="47"/>
      <c r="V589" s="51">
        <v>0</v>
      </c>
    </row>
    <row r="590" ht="283.5" customHeight="1">
      <c r="A590" t="s" s="132">
        <v>605</v>
      </c>
      <c r="B590" s="42">
        <f>SUM(C590,G590)</f>
        <v>0</v>
      </c>
      <c r="C590" s="43">
        <f>SUM(H590,I590,J590,K590,L590,M590,N590,O590,P590,Q590,R590,S590,T590,U590,V590)</f>
        <v>0</v>
      </c>
      <c r="D590" s="44"/>
      <c r="E590" s="6"/>
      <c r="F590" s="6"/>
      <c r="G590" s="6"/>
      <c r="H590" s="27">
        <v>0</v>
      </c>
      <c r="I590" s="51">
        <v>0</v>
      </c>
      <c r="J590" s="51">
        <v>0</v>
      </c>
      <c r="K590" s="51">
        <v>0</v>
      </c>
      <c r="L590" s="51">
        <v>0</v>
      </c>
      <c r="M590" s="48">
        <v>0</v>
      </c>
      <c r="N590" s="48">
        <v>0</v>
      </c>
      <c r="O590" s="55">
        <v>0</v>
      </c>
      <c r="P590" s="53">
        <v>0</v>
      </c>
      <c r="Q590" s="51">
        <v>0</v>
      </c>
      <c r="R590" s="51">
        <v>0</v>
      </c>
      <c r="S590" s="6"/>
      <c r="T590" s="51">
        <v>0</v>
      </c>
      <c r="U590" s="51">
        <v>0</v>
      </c>
      <c r="V590" s="47"/>
    </row>
    <row r="591" ht="220.5" customHeight="1">
      <c r="A591" t="s" s="132">
        <v>606</v>
      </c>
      <c r="B591" s="42">
        <f>SUM(C591,G591)</f>
        <v>0</v>
      </c>
      <c r="C591" s="43">
        <f>SUM(H591,I591,J591,K591,L591,M591,N591,O591,P591,Q591,R591,S591,T591,U591,V591)</f>
        <v>0</v>
      </c>
      <c r="D591" s="44"/>
      <c r="E591" s="6"/>
      <c r="F591" s="6"/>
      <c r="G591" s="6"/>
      <c r="H591" s="27">
        <v>0</v>
      </c>
      <c r="I591" s="51">
        <v>0</v>
      </c>
      <c r="J591" s="51">
        <v>0</v>
      </c>
      <c r="K591" s="51">
        <v>0</v>
      </c>
      <c r="L591" s="51">
        <v>0</v>
      </c>
      <c r="M591" s="48">
        <v>0</v>
      </c>
      <c r="N591" s="48">
        <v>0</v>
      </c>
      <c r="O591" s="55">
        <v>0</v>
      </c>
      <c r="P591" s="53">
        <v>0</v>
      </c>
      <c r="Q591" s="51">
        <v>0</v>
      </c>
      <c r="R591" s="51">
        <v>0</v>
      </c>
      <c r="S591" s="6"/>
      <c r="T591" s="51">
        <v>0</v>
      </c>
      <c r="U591" s="51">
        <v>0</v>
      </c>
      <c r="V591" s="51">
        <v>0</v>
      </c>
    </row>
    <row r="592" ht="220.5" customHeight="1">
      <c r="A592" t="s" s="132">
        <v>607</v>
      </c>
      <c r="B592" s="42">
        <f>SUM(C592,G592)</f>
        <v>0</v>
      </c>
      <c r="C592" s="43">
        <f>SUM(H592,I592,J592,K592,L592,M592,N592,O592,P592,Q592,R592,S592,T592,U592,V592)</f>
        <v>0</v>
      </c>
      <c r="D592" s="44"/>
      <c r="E592" s="6"/>
      <c r="F592" s="6"/>
      <c r="G592" s="6"/>
      <c r="H592" s="46"/>
      <c r="I592" s="51">
        <v>0</v>
      </c>
      <c r="J592" s="51">
        <v>0</v>
      </c>
      <c r="K592" s="51">
        <v>0</v>
      </c>
      <c r="L592" s="51">
        <v>0</v>
      </c>
      <c r="M592" s="48">
        <v>0</v>
      </c>
      <c r="N592" s="48">
        <v>0</v>
      </c>
      <c r="O592" s="55">
        <v>0</v>
      </c>
      <c r="P592" s="53">
        <v>0</v>
      </c>
      <c r="Q592" s="51">
        <v>0</v>
      </c>
      <c r="R592" s="51">
        <v>0</v>
      </c>
      <c r="S592" s="6"/>
      <c r="T592" s="51">
        <v>0</v>
      </c>
      <c r="U592" s="51">
        <v>0</v>
      </c>
      <c r="V592" s="51">
        <v>0</v>
      </c>
    </row>
    <row r="593" ht="315" customHeight="1">
      <c r="A593" t="s" s="132">
        <v>608</v>
      </c>
      <c r="B593" s="42">
        <f>SUM(C593,G593)</f>
        <v>0</v>
      </c>
      <c r="C593" s="43">
        <f>SUM(H593,I593,J593,K593,L593,M593,N593,O593,P593,Q593,R593,S593,T593,U593,V593)</f>
        <v>0</v>
      </c>
      <c r="D593" s="44"/>
      <c r="E593" s="6"/>
      <c r="F593" s="6"/>
      <c r="G593" s="6"/>
      <c r="H593" s="27">
        <v>0</v>
      </c>
      <c r="I593" s="51">
        <v>0</v>
      </c>
      <c r="J593" s="51">
        <v>0</v>
      </c>
      <c r="K593" s="51">
        <v>0</v>
      </c>
      <c r="L593" s="51">
        <v>0</v>
      </c>
      <c r="M593" s="48">
        <v>0</v>
      </c>
      <c r="N593" s="48">
        <v>0</v>
      </c>
      <c r="O593" s="55">
        <v>0</v>
      </c>
      <c r="P593" s="53">
        <v>0</v>
      </c>
      <c r="Q593" s="51">
        <v>0</v>
      </c>
      <c r="R593" s="51">
        <v>0</v>
      </c>
      <c r="S593" s="6"/>
      <c r="T593" s="51">
        <v>0</v>
      </c>
      <c r="U593" s="51">
        <v>0</v>
      </c>
      <c r="V593" s="47"/>
    </row>
    <row r="594" ht="141.75" customHeight="1">
      <c r="A594" t="s" s="133">
        <v>609</v>
      </c>
      <c r="B594" s="42">
        <f>SUM(C594,G594)</f>
        <v>0</v>
      </c>
      <c r="C594" s="43">
        <f>SUM(H594,I594,J594,K594,L594,M594,N594,O594,P594,Q594,R594,S594,T594,U594,V594)</f>
        <v>0</v>
      </c>
      <c r="D594" s="44"/>
      <c r="E594" s="6"/>
      <c r="F594" s="6"/>
      <c r="G594" s="6"/>
      <c r="H594" s="27">
        <v>0</v>
      </c>
      <c r="I594" s="51">
        <v>0</v>
      </c>
      <c r="J594" s="51">
        <v>0</v>
      </c>
      <c r="K594" s="51">
        <v>0</v>
      </c>
      <c r="L594" s="51">
        <v>0</v>
      </c>
      <c r="M594" s="48">
        <v>0</v>
      </c>
      <c r="N594" s="48">
        <v>0</v>
      </c>
      <c r="O594" s="55">
        <v>0</v>
      </c>
      <c r="P594" s="53">
        <v>0</v>
      </c>
      <c r="Q594" s="51">
        <v>0</v>
      </c>
      <c r="R594" s="51">
        <v>0</v>
      </c>
      <c r="S594" s="6"/>
      <c r="T594" s="51">
        <v>0</v>
      </c>
      <c r="U594" s="51">
        <v>0</v>
      </c>
      <c r="V594" s="51">
        <v>0</v>
      </c>
    </row>
    <row r="595" ht="141.75" customHeight="1">
      <c r="A595" t="s" s="134">
        <v>610</v>
      </c>
      <c r="B595" s="42">
        <f>SUM(C595,G595)</f>
        <v>0</v>
      </c>
      <c r="C595" s="43">
        <f>SUM(H595,I595,J595,K595,L595,M595,N595,O595,P595,Q595,R595,S595,T595,U595,V595)</f>
        <v>0</v>
      </c>
      <c r="D595" s="44"/>
      <c r="E595" s="6"/>
      <c r="F595" s="6"/>
      <c r="G595" s="6"/>
      <c r="H595" s="27">
        <v>0</v>
      </c>
      <c r="I595" s="51">
        <v>0</v>
      </c>
      <c r="J595" s="51">
        <v>0</v>
      </c>
      <c r="K595" s="51">
        <v>0</v>
      </c>
      <c r="L595" s="51">
        <v>0</v>
      </c>
      <c r="M595" s="48">
        <v>0</v>
      </c>
      <c r="N595" s="48">
        <v>0</v>
      </c>
      <c r="O595" s="55">
        <v>0</v>
      </c>
      <c r="P595" s="53">
        <v>0</v>
      </c>
      <c r="Q595" s="51">
        <v>0</v>
      </c>
      <c r="R595" s="51">
        <v>0</v>
      </c>
      <c r="S595" s="6"/>
      <c r="T595" s="51">
        <v>0</v>
      </c>
      <c r="U595" s="51">
        <v>0</v>
      </c>
      <c r="V595" s="51">
        <v>0</v>
      </c>
    </row>
    <row r="596" ht="19.5" customHeight="1">
      <c r="A596" t="s" s="135">
        <v>611</v>
      </c>
      <c r="B596" s="42">
        <f>SUM(C596,G596)</f>
        <v>0</v>
      </c>
      <c r="C596" s="43">
        <f>SUM(H596,I596,J596,K596,L596,M596,N596,O596,P596,Q596,R596,S596,T596,U596,V596)</f>
        <v>0</v>
      </c>
      <c r="D596" s="44"/>
      <c r="E596" s="6"/>
      <c r="F596" s="6"/>
      <c r="G596" s="6"/>
      <c r="H596" s="46"/>
      <c r="I596" s="47"/>
      <c r="J596" s="47"/>
      <c r="K596" s="47"/>
      <c r="L596" s="47"/>
      <c r="M596" s="48">
        <v>0</v>
      </c>
      <c r="N596" s="49"/>
      <c r="O596" s="50"/>
      <c r="P596" s="6"/>
      <c r="Q596" s="51">
        <v>0</v>
      </c>
      <c r="R596" s="47"/>
      <c r="S596" s="6"/>
      <c r="T596" s="47"/>
      <c r="U596" s="47"/>
      <c r="V596" s="51">
        <v>0</v>
      </c>
    </row>
    <row r="597" ht="58.5" customHeight="1">
      <c r="A597" t="s" s="136">
        <v>612</v>
      </c>
      <c r="B597" s="42">
        <f>SUM(C597,G597)</f>
        <v>0</v>
      </c>
      <c r="C597" s="43">
        <f>SUM(H597,I597,J597,K597,L597,M597,N597,O597,P597,Q597,R597,S597,T597,U597,V597)</f>
        <v>0</v>
      </c>
      <c r="D597" s="44"/>
      <c r="E597" s="6"/>
      <c r="F597" s="6"/>
      <c r="G597" s="6"/>
      <c r="H597" s="46"/>
      <c r="I597" s="47"/>
      <c r="J597" s="47"/>
      <c r="K597" s="47"/>
      <c r="L597" s="47"/>
      <c r="M597" s="48">
        <v>0</v>
      </c>
      <c r="N597" s="49"/>
      <c r="O597" s="50"/>
      <c r="P597" s="6"/>
      <c r="Q597" s="51">
        <v>0</v>
      </c>
      <c r="R597" s="47"/>
      <c r="S597" s="6"/>
      <c r="T597" s="47"/>
      <c r="U597" s="47"/>
      <c r="V597" s="51">
        <v>0</v>
      </c>
    </row>
    <row r="598" ht="175.5" customHeight="1">
      <c r="A598" t="s" s="137">
        <v>613</v>
      </c>
      <c r="B598" s="42">
        <f>SUM(C598,G598)</f>
        <v>15000</v>
      </c>
      <c r="C598" s="43">
        <f>SUM(H598,I598,J598,K598,L598,M598,N598,O598,P598,Q598,R598,S598,T598,U598,V598)</f>
        <v>15000</v>
      </c>
      <c r="D598" s="44"/>
      <c r="E598" s="6"/>
      <c r="F598" s="6"/>
      <c r="G598" s="6"/>
      <c r="H598" s="27">
        <v>0</v>
      </c>
      <c r="I598" s="51">
        <v>0</v>
      </c>
      <c r="J598" s="51">
        <v>0</v>
      </c>
      <c r="K598" s="51">
        <v>0</v>
      </c>
      <c r="L598" s="51">
        <v>0</v>
      </c>
      <c r="M598" s="48">
        <v>0</v>
      </c>
      <c r="N598" s="48">
        <v>0</v>
      </c>
      <c r="O598" s="55">
        <v>0</v>
      </c>
      <c r="P598" s="53">
        <v>0</v>
      </c>
      <c r="Q598" s="51">
        <v>15000</v>
      </c>
      <c r="R598" s="51">
        <v>0</v>
      </c>
      <c r="S598" s="6"/>
      <c r="T598" s="51">
        <v>0</v>
      </c>
      <c r="U598" s="51">
        <v>0</v>
      </c>
      <c r="V598" s="51">
        <v>0</v>
      </c>
    </row>
    <row r="599" ht="97.5" customHeight="1">
      <c r="A599" t="s" s="137">
        <v>614</v>
      </c>
      <c r="B599" s="42">
        <f>SUM(C599,G599)</f>
        <v>1500</v>
      </c>
      <c r="C599" s="43">
        <f>SUM(H599,I599,J599,K599,L599,M599,N599,O599,P599,Q599,R599,S599,T599,U599,V599)</f>
        <v>1500</v>
      </c>
      <c r="D599" s="44"/>
      <c r="E599" s="6"/>
      <c r="F599" s="6"/>
      <c r="G599" s="6"/>
      <c r="H599" s="27">
        <v>0</v>
      </c>
      <c r="I599" s="51">
        <v>0</v>
      </c>
      <c r="J599" s="51">
        <v>0</v>
      </c>
      <c r="K599" s="51">
        <v>0</v>
      </c>
      <c r="L599" s="51">
        <v>0</v>
      </c>
      <c r="M599" s="48">
        <v>0</v>
      </c>
      <c r="N599" s="48">
        <v>0</v>
      </c>
      <c r="O599" s="55">
        <v>0</v>
      </c>
      <c r="P599" s="53">
        <v>0</v>
      </c>
      <c r="Q599" s="51">
        <v>1500</v>
      </c>
      <c r="R599" s="51">
        <v>0</v>
      </c>
      <c r="S599" s="6"/>
      <c r="T599" s="51">
        <v>0</v>
      </c>
      <c r="U599" s="51">
        <v>0</v>
      </c>
      <c r="V599" s="51">
        <v>0</v>
      </c>
    </row>
    <row r="600" ht="63" customHeight="1">
      <c r="A600" t="s" s="138">
        <v>615</v>
      </c>
      <c r="B600" s="42">
        <f>SUM(C600,G600)</f>
        <v>0</v>
      </c>
      <c r="C600" s="43">
        <f>SUM(H600,I600,J600,K600,L600,M600,N600,O600,P600,Q600,R600,S600,T600,U600,V600)</f>
        <v>0</v>
      </c>
      <c r="D600" s="44"/>
      <c r="E600" s="6"/>
      <c r="F600" s="6"/>
      <c r="G600" s="6"/>
      <c r="H600" s="27">
        <v>0</v>
      </c>
      <c r="I600" s="51">
        <v>0</v>
      </c>
      <c r="J600" s="51">
        <v>0</v>
      </c>
      <c r="K600" s="51">
        <v>0</v>
      </c>
      <c r="L600" s="51">
        <v>0</v>
      </c>
      <c r="M600" s="48">
        <v>0</v>
      </c>
      <c r="N600" s="48">
        <v>0</v>
      </c>
      <c r="O600" s="55">
        <v>0</v>
      </c>
      <c r="P600" s="53">
        <v>0</v>
      </c>
      <c r="Q600" s="51">
        <v>0</v>
      </c>
      <c r="R600" s="47"/>
      <c r="S600" s="6"/>
      <c r="T600" s="51">
        <v>0</v>
      </c>
      <c r="U600" s="51">
        <v>0</v>
      </c>
      <c r="V600" s="51">
        <v>0</v>
      </c>
    </row>
    <row r="601" ht="30" customHeight="1">
      <c r="A601" t="s" s="137">
        <v>616</v>
      </c>
      <c r="B601" s="42">
        <f>SUM(C601,G601)</f>
        <v>4000</v>
      </c>
      <c r="C601" s="43">
        <f>SUM(H601,I601,J601,K601,L601,M601,N601,O601,P601,Q601,R601,S601,T601,U601,V601)</f>
        <v>4000</v>
      </c>
      <c r="D601" s="44"/>
      <c r="E601" s="6"/>
      <c r="F601" s="6"/>
      <c r="G601" s="6"/>
      <c r="H601" s="27">
        <v>0</v>
      </c>
      <c r="I601" s="51">
        <v>0</v>
      </c>
      <c r="J601" s="51">
        <v>0</v>
      </c>
      <c r="K601" s="51">
        <v>0</v>
      </c>
      <c r="L601" s="51">
        <v>0</v>
      </c>
      <c r="M601" s="48">
        <v>0</v>
      </c>
      <c r="N601" s="48">
        <v>0</v>
      </c>
      <c r="O601" s="55">
        <v>0</v>
      </c>
      <c r="P601" s="53">
        <v>0</v>
      </c>
      <c r="Q601" s="51">
        <v>4000</v>
      </c>
      <c r="R601" s="51">
        <v>0</v>
      </c>
      <c r="S601" s="6"/>
      <c r="T601" s="51">
        <v>0</v>
      </c>
      <c r="U601" s="51">
        <v>0</v>
      </c>
      <c r="V601" s="51">
        <v>0</v>
      </c>
    </row>
    <row r="602" ht="30" customHeight="1">
      <c r="A602" t="s" s="137">
        <v>617</v>
      </c>
      <c r="B602" s="42">
        <f>SUM(C602,G602)</f>
        <v>650</v>
      </c>
      <c r="C602" s="43">
        <f>SUM(H602,I602,J602,K602,L602,M602,N602,O602,P602,Q602,R602,S602,T602,U602,V602)</f>
        <v>650</v>
      </c>
      <c r="D602" s="44"/>
      <c r="E602" s="17"/>
      <c r="F602" s="17"/>
      <c r="G602" s="17"/>
      <c r="H602" s="27">
        <v>0</v>
      </c>
      <c r="I602" s="51">
        <v>300</v>
      </c>
      <c r="J602" s="51">
        <v>0</v>
      </c>
      <c r="K602" s="51">
        <v>50</v>
      </c>
      <c r="L602" s="51">
        <v>100</v>
      </c>
      <c r="M602" s="48">
        <v>0</v>
      </c>
      <c r="N602" s="48">
        <v>0</v>
      </c>
      <c r="O602" s="55">
        <v>0</v>
      </c>
      <c r="P602" s="56">
        <v>0</v>
      </c>
      <c r="Q602" s="51">
        <v>200</v>
      </c>
      <c r="R602" s="51">
        <v>0</v>
      </c>
      <c r="S602" s="17"/>
      <c r="T602" s="51">
        <v>0</v>
      </c>
      <c r="U602" s="51">
        <v>0</v>
      </c>
      <c r="V602" s="51">
        <v>0</v>
      </c>
    </row>
    <row r="603" ht="45" customHeight="1">
      <c r="A603" t="s" s="139">
        <v>618</v>
      </c>
      <c r="B603" s="22">
        <f>SUM(C603,G603)</f>
        <v>4890</v>
      </c>
      <c r="C603" s="23">
        <f>SUM(H603,I603,J603,K603,L603,M603,N603,O603,P603,Q603,R603,S603,T603,U603,V603)</f>
        <v>4860</v>
      </c>
      <c r="D603" s="36"/>
      <c r="E603" s="25"/>
      <c r="F603" s="25"/>
      <c r="G603" s="37">
        <v>30</v>
      </c>
      <c r="H603" s="27">
        <v>3000</v>
      </c>
      <c r="I603" s="28">
        <v>60</v>
      </c>
      <c r="J603" s="28">
        <v>1200</v>
      </c>
      <c r="K603" s="28">
        <v>500</v>
      </c>
      <c r="L603" s="28">
        <v>100</v>
      </c>
      <c r="M603" s="30">
        <v>0</v>
      </c>
      <c r="N603" s="30">
        <v>0</v>
      </c>
      <c r="O603" s="30">
        <v>0</v>
      </c>
      <c r="P603" s="41">
        <v>0</v>
      </c>
      <c r="Q603" s="28">
        <v>0</v>
      </c>
      <c r="R603" s="28">
        <v>0</v>
      </c>
      <c r="S603" s="33"/>
      <c r="T603" s="28">
        <v>0</v>
      </c>
      <c r="U603" s="28">
        <v>0</v>
      </c>
      <c r="V603" s="28">
        <v>0</v>
      </c>
    </row>
    <row r="604" ht="60" customHeight="1">
      <c r="A604" t="s" s="139">
        <v>619</v>
      </c>
      <c r="B604" s="22">
        <f>SUM(C604,G604)</f>
        <v>2572</v>
      </c>
      <c r="C604" s="23">
        <f>SUM(H604,I604,J604,K604,L604,M604,N604,O604,P604,Q604,R604,S604,T604,U604,V604)</f>
        <v>2542</v>
      </c>
      <c r="D604" s="36"/>
      <c r="E604" s="25"/>
      <c r="F604" s="25"/>
      <c r="G604" s="37">
        <v>30</v>
      </c>
      <c r="H604" s="27">
        <v>1000</v>
      </c>
      <c r="I604" s="28">
        <v>30</v>
      </c>
      <c r="J604" s="28">
        <v>1000</v>
      </c>
      <c r="K604" s="28">
        <v>300</v>
      </c>
      <c r="L604" s="28">
        <v>30</v>
      </c>
      <c r="M604" s="30">
        <v>0</v>
      </c>
      <c r="N604" s="30">
        <v>152</v>
      </c>
      <c r="O604" s="30">
        <v>0</v>
      </c>
      <c r="P604" s="41">
        <v>0</v>
      </c>
      <c r="Q604" s="28">
        <v>30</v>
      </c>
      <c r="R604" s="28">
        <v>0</v>
      </c>
      <c r="S604" s="33"/>
      <c r="T604" s="28">
        <v>0</v>
      </c>
      <c r="U604" s="28">
        <v>0</v>
      </c>
      <c r="V604" s="28">
        <v>0</v>
      </c>
    </row>
    <row r="605" ht="60" customHeight="1">
      <c r="A605" t="s" s="137">
        <v>620</v>
      </c>
      <c r="B605" s="42">
        <f>SUM(C605,G605)</f>
        <v>182</v>
      </c>
      <c r="C605" s="43">
        <f>SUM(H605,I605,J605,K605,L605,M605,N605,O605,P605,Q605,R605,S605,T605,U605,V605)</f>
        <v>182</v>
      </c>
      <c r="D605" s="44"/>
      <c r="E605" s="33"/>
      <c r="F605" s="33"/>
      <c r="G605" s="33"/>
      <c r="H605" s="27">
        <v>0</v>
      </c>
      <c r="I605" s="51">
        <v>30</v>
      </c>
      <c r="J605" s="51">
        <v>0</v>
      </c>
      <c r="K605" s="47"/>
      <c r="L605" s="51">
        <v>0</v>
      </c>
      <c r="M605" s="48">
        <v>0</v>
      </c>
      <c r="N605" s="48">
        <v>152</v>
      </c>
      <c r="O605" s="55">
        <v>0</v>
      </c>
      <c r="P605" s="41">
        <v>0</v>
      </c>
      <c r="Q605" s="51">
        <v>0</v>
      </c>
      <c r="R605" s="51">
        <v>0</v>
      </c>
      <c r="S605" s="33"/>
      <c r="T605" s="51">
        <v>0</v>
      </c>
      <c r="U605" s="51">
        <v>0</v>
      </c>
      <c r="V605" s="51">
        <v>0</v>
      </c>
    </row>
    <row r="606" ht="39" customHeight="1">
      <c r="A606" t="s" s="139">
        <v>621</v>
      </c>
      <c r="B606" s="22">
        <f>SUM(C606,G606)</f>
        <v>19492</v>
      </c>
      <c r="C606" s="23">
        <f>SUM(H606,I606,J606,K606,L606,M606,N606,O606,P606,Q606,R606,S606,T606,U606,V606)</f>
        <v>19422</v>
      </c>
      <c r="D606" s="36"/>
      <c r="E606" s="25"/>
      <c r="F606" s="25"/>
      <c r="G606" s="37">
        <v>70</v>
      </c>
      <c r="H606" s="27">
        <v>10000</v>
      </c>
      <c r="I606" s="28">
        <v>70</v>
      </c>
      <c r="J606" s="28">
        <v>7200</v>
      </c>
      <c r="K606" s="28">
        <v>800</v>
      </c>
      <c r="L606" s="28">
        <v>1200</v>
      </c>
      <c r="M606" s="140"/>
      <c r="N606" s="30">
        <v>152</v>
      </c>
      <c r="O606" s="30">
        <v>0</v>
      </c>
      <c r="P606" s="41">
        <v>0</v>
      </c>
      <c r="Q606" s="28">
        <v>0</v>
      </c>
      <c r="R606" s="28">
        <v>0</v>
      </c>
      <c r="S606" s="33"/>
      <c r="T606" s="28">
        <v>0</v>
      </c>
      <c r="U606" s="28">
        <v>0</v>
      </c>
      <c r="V606" s="28">
        <v>0</v>
      </c>
    </row>
    <row r="607" ht="19.5" customHeight="1">
      <c r="A607" t="s" s="137">
        <v>622</v>
      </c>
      <c r="B607" s="42">
        <f>SUM(C607,G607)</f>
        <v>22000</v>
      </c>
      <c r="C607" s="43">
        <f>SUM(H607,I607,J607,K607,L607,M607,N607,O607,P607,Q607,R607,S607,T607,U607,V607)</f>
        <v>22000</v>
      </c>
      <c r="D607" s="44"/>
      <c r="E607" s="45"/>
      <c r="F607" s="45"/>
      <c r="G607" s="45"/>
      <c r="H607" s="27">
        <v>10000</v>
      </c>
      <c r="I607" s="51">
        <v>0</v>
      </c>
      <c r="J607" s="51">
        <v>0</v>
      </c>
      <c r="K607" s="51">
        <v>0</v>
      </c>
      <c r="L607" s="51">
        <v>0</v>
      </c>
      <c r="M607" s="48">
        <v>0</v>
      </c>
      <c r="N607" s="48">
        <v>0</v>
      </c>
      <c r="O607" s="55">
        <v>0</v>
      </c>
      <c r="P607" s="58">
        <v>0</v>
      </c>
      <c r="Q607" s="51">
        <v>12000</v>
      </c>
      <c r="R607" s="51">
        <v>0</v>
      </c>
      <c r="S607" s="45"/>
      <c r="T607" s="51">
        <v>0</v>
      </c>
      <c r="U607" s="51">
        <v>0</v>
      </c>
      <c r="V607" s="51">
        <v>0</v>
      </c>
    </row>
    <row r="608" ht="19.5" customHeight="1">
      <c r="A608" t="s" s="137">
        <v>623</v>
      </c>
      <c r="B608" s="42">
        <f>SUM(C608,G608)</f>
        <v>11010</v>
      </c>
      <c r="C608" s="43">
        <f>SUM(H608,I608,J608,K608,L608,M608,N608,O608,P608,Q608,R608,S608,T608,U608,V608)</f>
        <v>11010</v>
      </c>
      <c r="D608" s="44"/>
      <c r="E608" s="6"/>
      <c r="F608" s="6"/>
      <c r="G608" s="6"/>
      <c r="H608" s="27">
        <v>0</v>
      </c>
      <c r="I608" s="51">
        <v>0</v>
      </c>
      <c r="J608" s="51">
        <v>0</v>
      </c>
      <c r="K608" s="51">
        <v>0</v>
      </c>
      <c r="L608" s="51">
        <v>10</v>
      </c>
      <c r="M608" s="48">
        <v>0</v>
      </c>
      <c r="N608" s="48">
        <v>0</v>
      </c>
      <c r="O608" s="55">
        <v>0</v>
      </c>
      <c r="P608" s="53">
        <v>0</v>
      </c>
      <c r="Q608" s="51">
        <v>11000</v>
      </c>
      <c r="R608" s="51">
        <v>0</v>
      </c>
      <c r="S608" s="6"/>
      <c r="T608" s="51">
        <v>0</v>
      </c>
      <c r="U608" s="51">
        <v>0</v>
      </c>
      <c r="V608" s="51">
        <v>0</v>
      </c>
    </row>
    <row r="609" ht="39" customHeight="1">
      <c r="A609" t="s" s="137">
        <v>624</v>
      </c>
      <c r="B609" s="42">
        <f>SUM(C609,G609)</f>
        <v>2192</v>
      </c>
      <c r="C609" s="43">
        <f>SUM(H609,I609,J609,K609,L609,M609,N609,O609,P609,Q609,R609,S609,T609,U609,V609)</f>
        <v>2192</v>
      </c>
      <c r="D609" s="44"/>
      <c r="E609" s="6"/>
      <c r="F609" s="6"/>
      <c r="G609" s="6"/>
      <c r="H609" s="141">
        <v>300</v>
      </c>
      <c r="I609" s="51">
        <v>40</v>
      </c>
      <c r="J609" s="51">
        <v>1100</v>
      </c>
      <c r="K609" s="51">
        <v>500</v>
      </c>
      <c r="L609" s="51">
        <v>200</v>
      </c>
      <c r="M609" s="48">
        <v>0</v>
      </c>
      <c r="N609" s="48">
        <v>52</v>
      </c>
      <c r="O609" s="55">
        <v>0</v>
      </c>
      <c r="P609" s="53">
        <v>0</v>
      </c>
      <c r="Q609" s="51">
        <v>0</v>
      </c>
      <c r="R609" s="51">
        <v>0</v>
      </c>
      <c r="S609" s="6"/>
      <c r="T609" s="51">
        <v>0</v>
      </c>
      <c r="U609" s="51">
        <v>0</v>
      </c>
      <c r="V609" s="51">
        <v>0</v>
      </c>
    </row>
    <row r="610" ht="45" customHeight="1">
      <c r="A610" t="s" s="137">
        <v>625</v>
      </c>
      <c r="B610" s="42">
        <f>SUM(C610,G610)</f>
        <v>327</v>
      </c>
      <c r="C610" s="43">
        <f>SUM(H610,I610,J610,K610,L610,M610,N610,O610,P610,Q610,R610,S610,T610,U610,V610)</f>
        <v>327</v>
      </c>
      <c r="D610" s="44"/>
      <c r="E610" s="6"/>
      <c r="F610" s="6"/>
      <c r="G610" s="6"/>
      <c r="H610" s="27">
        <v>100</v>
      </c>
      <c r="I610" s="51">
        <v>25</v>
      </c>
      <c r="J610" s="51">
        <v>80</v>
      </c>
      <c r="K610" s="51">
        <v>20</v>
      </c>
      <c r="L610" s="51">
        <v>50</v>
      </c>
      <c r="M610" s="48">
        <v>0</v>
      </c>
      <c r="N610" s="48">
        <v>52</v>
      </c>
      <c r="O610" s="55">
        <v>0</v>
      </c>
      <c r="P610" s="53">
        <v>0</v>
      </c>
      <c r="Q610" s="51">
        <v>0</v>
      </c>
      <c r="R610" s="51">
        <v>0</v>
      </c>
      <c r="S610" s="6"/>
      <c r="T610" s="51">
        <v>0</v>
      </c>
      <c r="U610" s="51">
        <v>0</v>
      </c>
      <c r="V610" s="51">
        <v>0</v>
      </c>
    </row>
    <row r="611" ht="39" customHeight="1">
      <c r="A611" t="s" s="137">
        <v>626</v>
      </c>
      <c r="B611" s="42">
        <f>SUM(C611,G611)</f>
        <v>10000</v>
      </c>
      <c r="C611" s="43">
        <f>SUM(H611,I611,J611,K611,L611,M611,N611,O611,P611,Q611,R611,S611,T611,U611,V611)</f>
        <v>10000</v>
      </c>
      <c r="D611" s="44"/>
      <c r="E611" s="6"/>
      <c r="F611" s="6"/>
      <c r="G611" s="6"/>
      <c r="H611" s="27">
        <v>0</v>
      </c>
      <c r="I611" s="51">
        <v>0</v>
      </c>
      <c r="J611" s="51">
        <v>0</v>
      </c>
      <c r="K611" s="51">
        <v>0</v>
      </c>
      <c r="L611" s="51">
        <v>0</v>
      </c>
      <c r="M611" s="48">
        <v>0</v>
      </c>
      <c r="N611" s="48">
        <v>0</v>
      </c>
      <c r="O611" s="55">
        <v>0</v>
      </c>
      <c r="P611" s="53">
        <v>0</v>
      </c>
      <c r="Q611" s="51">
        <v>10000</v>
      </c>
      <c r="R611" s="51">
        <v>0</v>
      </c>
      <c r="S611" s="6"/>
      <c r="T611" s="51">
        <v>0</v>
      </c>
      <c r="U611" s="51">
        <v>0</v>
      </c>
      <c r="V611" s="51">
        <v>0</v>
      </c>
    </row>
    <row r="612" ht="30" customHeight="1">
      <c r="A612" t="s" s="137">
        <v>627</v>
      </c>
      <c r="B612" s="42">
        <f>SUM(C612,G612)</f>
        <v>1750</v>
      </c>
      <c r="C612" s="43">
        <f>SUM(H612,I612,J612,K612,L612,M612,N612,O612,P612,Q612,R612,S612,T612,U612,V612)</f>
        <v>1750</v>
      </c>
      <c r="D612" s="44"/>
      <c r="E612" s="6"/>
      <c r="F612" s="6"/>
      <c r="G612" s="6"/>
      <c r="H612" s="27">
        <v>500</v>
      </c>
      <c r="I612" s="51">
        <v>0</v>
      </c>
      <c r="J612" s="51">
        <v>1000</v>
      </c>
      <c r="K612" s="51">
        <v>50</v>
      </c>
      <c r="L612" s="51">
        <v>200</v>
      </c>
      <c r="M612" s="48">
        <v>0</v>
      </c>
      <c r="N612" s="48">
        <v>0</v>
      </c>
      <c r="O612" s="55">
        <v>0</v>
      </c>
      <c r="P612" s="53">
        <v>0</v>
      </c>
      <c r="Q612" s="51">
        <v>0</v>
      </c>
      <c r="R612" s="51">
        <v>0</v>
      </c>
      <c r="S612" s="6"/>
      <c r="T612" s="51">
        <v>0</v>
      </c>
      <c r="U612" s="51">
        <v>0</v>
      </c>
      <c r="V612" s="51">
        <v>0</v>
      </c>
    </row>
    <row r="613" ht="30" customHeight="1">
      <c r="A613" t="s" s="137">
        <v>628</v>
      </c>
      <c r="B613" s="42">
        <f>SUM(C613,G613)</f>
        <v>30</v>
      </c>
      <c r="C613" s="43">
        <f>SUM(H613,I613,J613,K613,L613,M613,N613,O613,P613,Q613,R613,S613,T613,U613,V613)</f>
        <v>30</v>
      </c>
      <c r="D613" s="44"/>
      <c r="E613" s="6"/>
      <c r="F613" s="6"/>
      <c r="G613" s="6"/>
      <c r="H613" s="27">
        <v>0</v>
      </c>
      <c r="I613" s="51">
        <v>0</v>
      </c>
      <c r="J613" s="51">
        <v>0</v>
      </c>
      <c r="K613" s="51">
        <v>20</v>
      </c>
      <c r="L613" s="51">
        <v>0</v>
      </c>
      <c r="M613" s="48">
        <v>0</v>
      </c>
      <c r="N613" s="48">
        <v>0</v>
      </c>
      <c r="O613" s="55">
        <v>0</v>
      </c>
      <c r="P613" s="53">
        <v>0</v>
      </c>
      <c r="Q613" s="51">
        <v>10</v>
      </c>
      <c r="R613" s="51">
        <v>0</v>
      </c>
      <c r="S613" s="6"/>
      <c r="T613" s="51">
        <v>0</v>
      </c>
      <c r="U613" s="51">
        <v>0</v>
      </c>
      <c r="V613" s="51">
        <v>0</v>
      </c>
    </row>
    <row r="614" ht="45" customHeight="1">
      <c r="A614" t="s" s="137">
        <v>629</v>
      </c>
      <c r="B614" s="42">
        <f>SUM(C614,G614)</f>
        <v>2</v>
      </c>
      <c r="C614" s="43">
        <f>SUM(H614,I614,J614,K614,L614,M614,N614,O614,P614,Q614,R614,S614,T614,U614,V614)</f>
        <v>2</v>
      </c>
      <c r="D614" s="44"/>
      <c r="E614" s="6"/>
      <c r="F614" s="6"/>
      <c r="G614" s="6"/>
      <c r="H614" s="27">
        <v>0</v>
      </c>
      <c r="I614" s="51">
        <v>0</v>
      </c>
      <c r="J614" s="51">
        <v>0</v>
      </c>
      <c r="K614" s="51">
        <v>0</v>
      </c>
      <c r="L614" s="51">
        <v>0</v>
      </c>
      <c r="M614" s="48">
        <v>0</v>
      </c>
      <c r="N614" s="48">
        <v>2</v>
      </c>
      <c r="O614" s="55">
        <v>0</v>
      </c>
      <c r="P614" s="53">
        <v>0</v>
      </c>
      <c r="Q614" s="51">
        <v>0</v>
      </c>
      <c r="R614" s="51">
        <v>0</v>
      </c>
      <c r="S614" s="6"/>
      <c r="T614" s="51">
        <v>0</v>
      </c>
      <c r="U614" s="51">
        <v>0</v>
      </c>
      <c r="V614" s="51">
        <v>0</v>
      </c>
    </row>
    <row r="615" ht="75" customHeight="1">
      <c r="A615" t="s" s="137">
        <v>630</v>
      </c>
      <c r="B615" s="42">
        <f>SUM(C615,G615)</f>
        <v>2</v>
      </c>
      <c r="C615" s="43">
        <f>SUM(H615,I615,J615,K615,L615,M615,N615,O615,P615,Q615,R615,S615,T615,U615,V615)</f>
        <v>2</v>
      </c>
      <c r="D615" s="44"/>
      <c r="E615" s="6"/>
      <c r="F615" s="6"/>
      <c r="G615" s="6"/>
      <c r="H615" s="27">
        <v>0</v>
      </c>
      <c r="I615" s="51">
        <v>0</v>
      </c>
      <c r="J615" s="51">
        <v>0</v>
      </c>
      <c r="K615" s="51">
        <v>0</v>
      </c>
      <c r="L615" s="51">
        <v>0</v>
      </c>
      <c r="M615" s="48">
        <v>0</v>
      </c>
      <c r="N615" s="48">
        <v>2</v>
      </c>
      <c r="O615" s="55">
        <v>0</v>
      </c>
      <c r="P615" s="53">
        <v>0</v>
      </c>
      <c r="Q615" s="51">
        <v>0</v>
      </c>
      <c r="R615" s="51">
        <v>0</v>
      </c>
      <c r="S615" s="6"/>
      <c r="T615" s="51">
        <v>0</v>
      </c>
      <c r="U615" s="51">
        <v>0</v>
      </c>
      <c r="V615" s="51">
        <v>0</v>
      </c>
    </row>
    <row r="616" ht="210" customHeight="1">
      <c r="A616" t="s" s="137">
        <v>631</v>
      </c>
      <c r="B616" s="42">
        <f>SUM(C616,G616)</f>
        <v>52</v>
      </c>
      <c r="C616" s="43">
        <f>SUM(H616,I616,J616,K616,L616,M616,N616,O616,P616,Q616,R616,S616,T616,U616,V616)</f>
        <v>52</v>
      </c>
      <c r="D616" s="44"/>
      <c r="E616" s="6"/>
      <c r="F616" s="6"/>
      <c r="G616" s="6"/>
      <c r="H616" s="27">
        <v>0</v>
      </c>
      <c r="I616" s="51">
        <v>0</v>
      </c>
      <c r="J616" s="51">
        <v>0</v>
      </c>
      <c r="K616" s="51">
        <v>0</v>
      </c>
      <c r="L616" s="51">
        <v>0</v>
      </c>
      <c r="M616" s="48">
        <v>0</v>
      </c>
      <c r="N616" s="48">
        <v>52</v>
      </c>
      <c r="O616" s="55">
        <v>0</v>
      </c>
      <c r="P616" s="53">
        <v>0</v>
      </c>
      <c r="Q616" s="51">
        <v>0</v>
      </c>
      <c r="R616" s="51">
        <v>0</v>
      </c>
      <c r="S616" s="6"/>
      <c r="T616" s="51">
        <v>0</v>
      </c>
      <c r="U616" s="51">
        <v>0</v>
      </c>
      <c r="V616" s="51">
        <v>0</v>
      </c>
    </row>
    <row r="617" ht="30" customHeight="1">
      <c r="A617" t="s" s="137">
        <v>632</v>
      </c>
      <c r="B617" s="42">
        <f>SUM(C617,G617)</f>
        <v>7800</v>
      </c>
      <c r="C617" s="43">
        <f>SUM(H617,I617,J617,K617,L617,M617,N617,O617,P617,Q617,R617,S617,T617,U617,V617)</f>
        <v>7800</v>
      </c>
      <c r="D617" s="44"/>
      <c r="E617" s="6"/>
      <c r="F617" s="6"/>
      <c r="G617" s="6"/>
      <c r="H617" s="27">
        <v>0</v>
      </c>
      <c r="I617" s="51">
        <v>2000</v>
      </c>
      <c r="J617" s="51">
        <v>0</v>
      </c>
      <c r="K617" s="51">
        <v>5000</v>
      </c>
      <c r="L617" s="51">
        <v>0</v>
      </c>
      <c r="M617" s="48">
        <v>0</v>
      </c>
      <c r="N617" s="48">
        <v>0</v>
      </c>
      <c r="O617" s="55">
        <v>0</v>
      </c>
      <c r="P617" s="53">
        <v>0</v>
      </c>
      <c r="Q617" s="51">
        <v>800</v>
      </c>
      <c r="R617" s="51">
        <v>0</v>
      </c>
      <c r="S617" s="6"/>
      <c r="T617" s="51">
        <v>0</v>
      </c>
      <c r="U617" s="51">
        <v>0</v>
      </c>
      <c r="V617" s="51">
        <v>0</v>
      </c>
    </row>
    <row r="618" ht="78.75" customHeight="1">
      <c r="A618" t="s" s="137">
        <v>633</v>
      </c>
      <c r="B618" s="42">
        <f>SUM(C618,G618)</f>
        <v>5000</v>
      </c>
      <c r="C618" s="43">
        <f>SUM(H618,I618,J618,K618,L618,M618,N618,O618,P618,Q618,R618,S618,T618,U618,V618)</f>
        <v>5000</v>
      </c>
      <c r="D618" s="44"/>
      <c r="E618" s="6"/>
      <c r="F618" s="6"/>
      <c r="G618" s="6"/>
      <c r="H618" s="27">
        <v>0</v>
      </c>
      <c r="I618" s="51">
        <v>0</v>
      </c>
      <c r="J618" s="51">
        <v>0</v>
      </c>
      <c r="K618" s="51">
        <v>0</v>
      </c>
      <c r="L618" s="51">
        <v>0</v>
      </c>
      <c r="M618" s="48">
        <v>0</v>
      </c>
      <c r="N618" s="48">
        <v>0</v>
      </c>
      <c r="O618" s="55">
        <v>0</v>
      </c>
      <c r="P618" s="53">
        <v>0</v>
      </c>
      <c r="Q618" s="51">
        <v>5000</v>
      </c>
      <c r="R618" s="51">
        <v>0</v>
      </c>
      <c r="S618" s="6"/>
      <c r="T618" s="51">
        <v>0</v>
      </c>
      <c r="U618" s="51">
        <v>0</v>
      </c>
      <c r="V618" s="51">
        <v>0</v>
      </c>
    </row>
    <row r="619" ht="30" customHeight="1">
      <c r="A619" t="s" s="137">
        <v>634</v>
      </c>
      <c r="B619" s="42">
        <f>SUM(C619,G619)</f>
        <v>2050</v>
      </c>
      <c r="C619" s="43">
        <f>SUM(H619,I619,J619,K619,L619,M619,N619,O619,P619,Q619,R619,S619,T619,U619,V619)</f>
        <v>2050</v>
      </c>
      <c r="D619" s="44"/>
      <c r="E619" s="6"/>
      <c r="F619" s="6"/>
      <c r="G619" s="6"/>
      <c r="H619" s="27">
        <v>0</v>
      </c>
      <c r="I619" s="51">
        <v>0</v>
      </c>
      <c r="J619" s="51">
        <v>0</v>
      </c>
      <c r="K619" s="51">
        <v>50</v>
      </c>
      <c r="L619" s="51">
        <v>0</v>
      </c>
      <c r="M619" s="48">
        <v>0</v>
      </c>
      <c r="N619" s="48">
        <v>0</v>
      </c>
      <c r="O619" s="55">
        <v>0</v>
      </c>
      <c r="P619" s="53">
        <v>0</v>
      </c>
      <c r="Q619" s="51">
        <v>2000</v>
      </c>
      <c r="R619" s="51">
        <v>0</v>
      </c>
      <c r="S619" s="6"/>
      <c r="T619" s="51">
        <v>0</v>
      </c>
      <c r="U619" s="51">
        <v>0</v>
      </c>
      <c r="V619" s="51">
        <v>0</v>
      </c>
    </row>
    <row r="620" ht="45" customHeight="1">
      <c r="A620" t="s" s="137">
        <v>635</v>
      </c>
      <c r="B620" s="42">
        <f>SUM(C620,G620)</f>
        <v>4000</v>
      </c>
      <c r="C620" s="43">
        <f>SUM(H620,I620,J620,K620,L620,M620,N620,O620,P620,Q620,R620,S620,T620,U620,V620)</f>
        <v>4000</v>
      </c>
      <c r="D620" s="44"/>
      <c r="E620" s="6"/>
      <c r="F620" s="6"/>
      <c r="G620" s="6"/>
      <c r="H620" s="27">
        <v>0</v>
      </c>
      <c r="I620" s="51">
        <v>0</v>
      </c>
      <c r="J620" s="51">
        <v>0</v>
      </c>
      <c r="K620" s="51">
        <v>0</v>
      </c>
      <c r="L620" s="51">
        <v>0</v>
      </c>
      <c r="M620" s="48">
        <v>0</v>
      </c>
      <c r="N620" s="48">
        <v>0</v>
      </c>
      <c r="O620" s="55">
        <v>0</v>
      </c>
      <c r="P620" s="53">
        <v>0</v>
      </c>
      <c r="Q620" s="51">
        <v>4000</v>
      </c>
      <c r="R620" s="51">
        <v>0</v>
      </c>
      <c r="S620" s="6"/>
      <c r="T620" s="51">
        <v>0</v>
      </c>
      <c r="U620" s="51">
        <v>0</v>
      </c>
      <c r="V620" s="51">
        <v>0</v>
      </c>
    </row>
    <row r="621" ht="45" customHeight="1">
      <c r="A621" t="s" s="137">
        <v>636</v>
      </c>
      <c r="B621" s="42">
        <f>SUM(C621,G621)</f>
        <v>0</v>
      </c>
      <c r="C621" s="43">
        <f>SUM(H621,I621,J621,K621,L621,M621,N621,O621,P621,Q621,R621,S621,T621,U621,V621)</f>
        <v>0</v>
      </c>
      <c r="D621" s="44"/>
      <c r="E621" s="6"/>
      <c r="F621" s="6"/>
      <c r="G621" s="6"/>
      <c r="H621" s="27">
        <v>0</v>
      </c>
      <c r="I621" s="51">
        <v>0</v>
      </c>
      <c r="J621" s="51">
        <v>0</v>
      </c>
      <c r="K621" s="51">
        <v>0</v>
      </c>
      <c r="L621" s="51">
        <v>0</v>
      </c>
      <c r="M621" s="48">
        <v>0</v>
      </c>
      <c r="N621" s="48">
        <v>0</v>
      </c>
      <c r="O621" s="55">
        <v>0</v>
      </c>
      <c r="P621" s="53">
        <v>0</v>
      </c>
      <c r="Q621" s="51">
        <v>0</v>
      </c>
      <c r="R621" s="51">
        <v>0</v>
      </c>
      <c r="S621" s="6"/>
      <c r="T621" s="51">
        <v>0</v>
      </c>
      <c r="U621" s="51">
        <v>0</v>
      </c>
      <c r="V621" s="51">
        <v>0</v>
      </c>
    </row>
    <row r="622" ht="19.5" customHeight="1">
      <c r="A622" t="s" s="137">
        <v>637</v>
      </c>
      <c r="B622" s="42">
        <f>SUM(C622,G622)</f>
        <v>16000</v>
      </c>
      <c r="C622" s="43">
        <f>SUM(H622,I622,J622,K622,L622,M622,N622,O622,P622,Q622,R622,S622,T622,U622,V622)</f>
        <v>16000</v>
      </c>
      <c r="D622" s="44"/>
      <c r="E622" s="6"/>
      <c r="F622" s="6"/>
      <c r="G622" s="6"/>
      <c r="H622" s="27">
        <v>0</v>
      </c>
      <c r="I622" s="51">
        <v>0</v>
      </c>
      <c r="J622" s="51">
        <v>0</v>
      </c>
      <c r="K622" s="51">
        <v>0</v>
      </c>
      <c r="L622" s="51">
        <v>0</v>
      </c>
      <c r="M622" s="48">
        <v>0</v>
      </c>
      <c r="N622" s="48">
        <v>0</v>
      </c>
      <c r="O622" s="55">
        <v>0</v>
      </c>
      <c r="P622" s="53">
        <v>0</v>
      </c>
      <c r="Q622" s="51">
        <v>16000</v>
      </c>
      <c r="R622" s="51">
        <v>0</v>
      </c>
      <c r="S622" s="6"/>
      <c r="T622" s="51">
        <v>0</v>
      </c>
      <c r="U622" s="51">
        <v>0</v>
      </c>
      <c r="V622" s="51">
        <v>0</v>
      </c>
    </row>
    <row r="623" ht="30" customHeight="1">
      <c r="A623" t="s" s="137">
        <v>638</v>
      </c>
      <c r="B623" s="42">
        <f>SUM(C623,G623)</f>
        <v>8000</v>
      </c>
      <c r="C623" s="43">
        <f>SUM(H623,I623,J623,K623,L623,M623,N623,O623,P623,Q623,R623,S623,T623,U623,V623)</f>
        <v>8000</v>
      </c>
      <c r="D623" s="44"/>
      <c r="E623" s="6"/>
      <c r="F623" s="6"/>
      <c r="G623" s="6"/>
      <c r="H623" s="27">
        <v>0</v>
      </c>
      <c r="I623" s="51">
        <v>0</v>
      </c>
      <c r="J623" s="51">
        <v>0</v>
      </c>
      <c r="K623" s="51">
        <v>0</v>
      </c>
      <c r="L623" s="51">
        <v>0</v>
      </c>
      <c r="M623" s="48">
        <v>0</v>
      </c>
      <c r="N623" s="48">
        <v>0</v>
      </c>
      <c r="O623" s="55">
        <v>0</v>
      </c>
      <c r="P623" s="53">
        <v>0</v>
      </c>
      <c r="Q623" s="51">
        <v>8000</v>
      </c>
      <c r="R623" s="51">
        <v>0</v>
      </c>
      <c r="S623" s="6"/>
      <c r="T623" s="51">
        <v>0</v>
      </c>
      <c r="U623" s="51">
        <v>0</v>
      </c>
      <c r="V623" s="51">
        <v>0</v>
      </c>
    </row>
    <row r="624" ht="39" customHeight="1">
      <c r="A624" t="s" s="137">
        <v>639</v>
      </c>
      <c r="B624" s="42">
        <f>SUM(C624,G624)</f>
        <v>32000</v>
      </c>
      <c r="C624" s="43">
        <f>SUM(H624,I624,J624,K624,L624,M624,N624,O624,P624,Q624,R624,S624,T624,U624,V624)</f>
        <v>32000</v>
      </c>
      <c r="D624" s="44"/>
      <c r="E624" s="6"/>
      <c r="F624" s="6"/>
      <c r="G624" s="6"/>
      <c r="H624" s="27">
        <v>0</v>
      </c>
      <c r="I624" s="51">
        <v>0</v>
      </c>
      <c r="J624" s="51">
        <v>0</v>
      </c>
      <c r="K624" s="51">
        <v>0</v>
      </c>
      <c r="L624" s="51">
        <v>0</v>
      </c>
      <c r="M624" s="48">
        <v>0</v>
      </c>
      <c r="N624" s="48">
        <v>0</v>
      </c>
      <c r="O624" s="55">
        <v>0</v>
      </c>
      <c r="P624" s="53">
        <v>0</v>
      </c>
      <c r="Q624" s="51">
        <v>32000</v>
      </c>
      <c r="R624" s="51">
        <v>0</v>
      </c>
      <c r="S624" s="6"/>
      <c r="T624" s="51">
        <v>0</v>
      </c>
      <c r="U624" s="51">
        <v>0</v>
      </c>
      <c r="V624" s="51">
        <v>0</v>
      </c>
    </row>
    <row r="625" ht="19.5" customHeight="1">
      <c r="A625" t="s" s="67">
        <v>640</v>
      </c>
      <c r="B625" s="42">
        <f>SUM(C625,G625)</f>
        <v>0</v>
      </c>
      <c r="C625" s="43">
        <f>SUM(H625,I625,J625,K625,L625,M625,N625,O625,P625,Q625,R625,S625,T625,U625,V625)</f>
        <v>0</v>
      </c>
      <c r="D625" s="44"/>
      <c r="E625" s="6"/>
      <c r="F625" s="6"/>
      <c r="G625" s="6"/>
      <c r="H625" s="46"/>
      <c r="I625" s="47"/>
      <c r="J625" s="47"/>
      <c r="K625" s="47"/>
      <c r="L625" s="47"/>
      <c r="M625" s="48">
        <v>0</v>
      </c>
      <c r="N625" s="49"/>
      <c r="O625" s="50"/>
      <c r="P625" s="6"/>
      <c r="Q625" s="51">
        <v>0</v>
      </c>
      <c r="R625" s="47"/>
      <c r="S625" s="6"/>
      <c r="T625" s="47"/>
      <c r="U625" s="47"/>
      <c r="V625" s="51">
        <v>0</v>
      </c>
    </row>
    <row r="626" ht="110.25" customHeight="1">
      <c r="A626" t="s" s="52">
        <v>641</v>
      </c>
      <c r="B626" s="42">
        <f>SUM(C626,G626)</f>
        <v>2200</v>
      </c>
      <c r="C626" s="43">
        <f>SUM(H626,I626,J626,K626,L626,M626,N626,O626,P626,Q626,R626,S626,T626,U626,V626)</f>
        <v>2200</v>
      </c>
      <c r="D626" s="44"/>
      <c r="E626" s="17"/>
      <c r="F626" s="17"/>
      <c r="G626" s="17"/>
      <c r="H626" s="27">
        <v>0</v>
      </c>
      <c r="I626" s="51">
        <v>800</v>
      </c>
      <c r="J626" s="51">
        <v>1000</v>
      </c>
      <c r="K626" s="51">
        <v>400</v>
      </c>
      <c r="L626" s="51">
        <v>0</v>
      </c>
      <c r="M626" s="48">
        <v>0</v>
      </c>
      <c r="N626" s="48">
        <v>0</v>
      </c>
      <c r="O626" s="55">
        <v>0</v>
      </c>
      <c r="P626" s="56">
        <v>0</v>
      </c>
      <c r="Q626" s="51">
        <v>0</v>
      </c>
      <c r="R626" s="51">
        <v>0</v>
      </c>
      <c r="S626" s="17"/>
      <c r="T626" s="51">
        <v>0</v>
      </c>
      <c r="U626" s="51">
        <v>0</v>
      </c>
      <c r="V626" s="51">
        <v>0</v>
      </c>
    </row>
    <row r="627" ht="234" customHeight="1">
      <c r="A627" t="s" s="10">
        <v>642</v>
      </c>
      <c r="B627" s="34">
        <f>SUM(C627,G627)</f>
        <v>2310</v>
      </c>
      <c r="C627" s="35">
        <f>SUM(H627,I627,J627,K627,L627,M627,N627,O627,P627,Q627,R627,S627,T627,U627,V627)</f>
        <v>2310</v>
      </c>
      <c r="D627" s="36"/>
      <c r="E627" s="25"/>
      <c r="F627" s="25"/>
      <c r="G627" s="26"/>
      <c r="H627" s="27">
        <v>2000</v>
      </c>
      <c r="I627" s="38">
        <v>300</v>
      </c>
      <c r="J627" s="38">
        <v>0</v>
      </c>
      <c r="K627" s="38">
        <v>10</v>
      </c>
      <c r="L627" s="38">
        <v>0</v>
      </c>
      <c r="M627" s="40">
        <v>0</v>
      </c>
      <c r="N627" s="40">
        <v>0</v>
      </c>
      <c r="O627" s="40">
        <v>0</v>
      </c>
      <c r="P627" s="41">
        <v>0</v>
      </c>
      <c r="Q627" s="38">
        <v>0</v>
      </c>
      <c r="R627" s="38">
        <v>0</v>
      </c>
      <c r="S627" s="33"/>
      <c r="T627" s="38">
        <v>0</v>
      </c>
      <c r="U627" s="38">
        <v>0</v>
      </c>
      <c r="V627" s="38">
        <v>0</v>
      </c>
    </row>
    <row r="628" ht="94.5" customHeight="1">
      <c r="A628" t="s" s="67">
        <v>643</v>
      </c>
      <c r="B628" s="42">
        <f>SUM(C628,G628)</f>
        <v>0</v>
      </c>
      <c r="C628" s="43">
        <f>SUM(H628,I628,J628,K628,L628,M628,N628,O628,P628,Q628,R628,S628,T628,U628,V628)</f>
        <v>0</v>
      </c>
      <c r="D628" s="44"/>
      <c r="E628" s="33"/>
      <c r="F628" s="33"/>
      <c r="G628" s="104"/>
      <c r="H628" s="105"/>
      <c r="I628" s="47"/>
      <c r="J628" s="47"/>
      <c r="K628" s="47"/>
      <c r="L628" s="47"/>
      <c r="M628" s="48">
        <v>0</v>
      </c>
      <c r="N628" s="49"/>
      <c r="O628" s="50"/>
      <c r="P628" s="33"/>
      <c r="Q628" s="51">
        <v>0</v>
      </c>
      <c r="R628" s="47"/>
      <c r="S628" s="33"/>
      <c r="T628" s="47"/>
      <c r="U628" s="47"/>
      <c r="V628" s="51">
        <v>0</v>
      </c>
    </row>
    <row r="629" ht="58.5" customHeight="1">
      <c r="A629" t="s" s="10">
        <v>644</v>
      </c>
      <c r="B629" s="34">
        <f>SUM(C629,G629)</f>
        <v>230</v>
      </c>
      <c r="C629" s="35">
        <f>SUM(H629,I629,J629,K629,L629,M629,N629,O629,P629,Q629,R629,S629,T629,U629,V629)</f>
        <v>230</v>
      </c>
      <c r="D629" s="36"/>
      <c r="E629" s="25"/>
      <c r="F629" s="25"/>
      <c r="G629" s="25"/>
      <c r="H629" s="37">
        <v>200</v>
      </c>
      <c r="I629" s="38">
        <v>0</v>
      </c>
      <c r="J629" s="38">
        <v>20</v>
      </c>
      <c r="K629" s="38">
        <v>10</v>
      </c>
      <c r="L629" s="38">
        <v>0</v>
      </c>
      <c r="M629" s="40">
        <v>0</v>
      </c>
      <c r="N629" s="40">
        <v>0</v>
      </c>
      <c r="O629" s="40">
        <v>0</v>
      </c>
      <c r="P629" s="41">
        <v>0</v>
      </c>
      <c r="Q629" s="38">
        <v>0</v>
      </c>
      <c r="R629" s="38">
        <v>0</v>
      </c>
      <c r="S629" s="33"/>
      <c r="T629" s="38">
        <v>0</v>
      </c>
      <c r="U629" s="38">
        <v>0</v>
      </c>
      <c r="V629" s="38">
        <v>0</v>
      </c>
    </row>
    <row r="630" ht="117" customHeight="1">
      <c r="A630" t="s" s="52">
        <v>645</v>
      </c>
      <c r="B630" s="42">
        <f>SUM(C630,G630)</f>
        <v>2</v>
      </c>
      <c r="C630" s="43">
        <f>SUM(H630,I630,J630,K630,L630,M630,N630,O630,P630,Q630,R630,S630,T630,U630,V630)</f>
        <v>2</v>
      </c>
      <c r="D630" s="44"/>
      <c r="E630" s="33"/>
      <c r="F630" s="33"/>
      <c r="G630" s="104"/>
      <c r="H630" s="142">
        <v>0</v>
      </c>
      <c r="I630" s="51">
        <v>0</v>
      </c>
      <c r="J630" s="51">
        <v>2</v>
      </c>
      <c r="K630" s="51">
        <v>0</v>
      </c>
      <c r="L630" s="51">
        <v>0</v>
      </c>
      <c r="M630" s="48">
        <v>0</v>
      </c>
      <c r="N630" s="48">
        <v>0</v>
      </c>
      <c r="O630" s="55">
        <v>0</v>
      </c>
      <c r="P630" s="41">
        <v>0</v>
      </c>
      <c r="Q630" s="51">
        <v>0</v>
      </c>
      <c r="R630" s="51">
        <v>0</v>
      </c>
      <c r="S630" s="33"/>
      <c r="T630" s="51">
        <v>0</v>
      </c>
      <c r="U630" s="51">
        <v>0</v>
      </c>
      <c r="V630" s="51">
        <v>0</v>
      </c>
    </row>
    <row r="631" ht="117" customHeight="1">
      <c r="A631" t="s" s="10">
        <v>646</v>
      </c>
      <c r="B631" s="34">
        <f>SUM(C631,G631)</f>
        <v>0</v>
      </c>
      <c r="C631" s="35">
        <f>SUM(H631,I631,J631,K631,L631,M631,N631,O631,P631,Q631,R631,S631,T631,U631,V631)</f>
        <v>0</v>
      </c>
      <c r="D631" s="36"/>
      <c r="E631" s="25"/>
      <c r="F631" s="25"/>
      <c r="G631" s="25"/>
      <c r="H631" s="37">
        <v>0</v>
      </c>
      <c r="I631" s="38">
        <v>0</v>
      </c>
      <c r="J631" s="38">
        <v>0</v>
      </c>
      <c r="K631" s="38">
        <v>0</v>
      </c>
      <c r="L631" s="38">
        <v>0</v>
      </c>
      <c r="M631" s="40">
        <v>0</v>
      </c>
      <c r="N631" s="40">
        <v>0</v>
      </c>
      <c r="O631" s="40">
        <v>0</v>
      </c>
      <c r="P631" s="41">
        <v>0</v>
      </c>
      <c r="Q631" s="38">
        <v>0</v>
      </c>
      <c r="R631" s="38">
        <v>0</v>
      </c>
      <c r="S631" s="33"/>
      <c r="T631" s="38">
        <v>0</v>
      </c>
      <c r="U631" s="38">
        <v>0</v>
      </c>
      <c r="V631" s="38">
        <v>0</v>
      </c>
    </row>
    <row r="632" ht="312" customHeight="1">
      <c r="A632" t="s" s="10">
        <v>647</v>
      </c>
      <c r="B632" s="34">
        <f>SUM(C632,G632)</f>
        <v>23700</v>
      </c>
      <c r="C632" s="35">
        <f>SUM(H632,I632,J632,K632,L632,M632,N632,O632,P632,Q632,R632,S632,T632,U632,V632)</f>
        <v>23700</v>
      </c>
      <c r="D632" s="36"/>
      <c r="E632" s="25"/>
      <c r="F632" s="25"/>
      <c r="G632" s="25"/>
      <c r="H632" s="37">
        <v>0</v>
      </c>
      <c r="I632" s="38">
        <v>16500</v>
      </c>
      <c r="J632" s="38">
        <v>3600</v>
      </c>
      <c r="K632" s="38">
        <v>3600</v>
      </c>
      <c r="L632" s="38">
        <v>0</v>
      </c>
      <c r="M632" s="40">
        <v>0</v>
      </c>
      <c r="N632" s="40">
        <v>0</v>
      </c>
      <c r="O632" s="40">
        <v>0</v>
      </c>
      <c r="P632" s="41">
        <v>0</v>
      </c>
      <c r="Q632" s="38">
        <v>0</v>
      </c>
      <c r="R632" s="38">
        <v>0</v>
      </c>
      <c r="S632" s="33"/>
      <c r="T632" s="38">
        <v>0</v>
      </c>
      <c r="U632" s="38">
        <v>0</v>
      </c>
      <c r="V632" s="38">
        <v>0</v>
      </c>
    </row>
    <row r="633" ht="214.5" customHeight="1">
      <c r="A633" t="s" s="52">
        <v>648</v>
      </c>
      <c r="B633" s="42">
        <f>SUM(C633,G633)</f>
        <v>2</v>
      </c>
      <c r="C633" s="43">
        <f>SUM(H633,I633,J633,K633,L633,M633,N633,O633,P633,Q633,R633,S633,T633,U633,V633)</f>
        <v>2</v>
      </c>
      <c r="D633" s="44"/>
      <c r="E633" s="45"/>
      <c r="F633" s="45"/>
      <c r="G633" s="119"/>
      <c r="H633" s="143">
        <v>0</v>
      </c>
      <c r="I633" s="51">
        <v>0</v>
      </c>
      <c r="J633" s="51">
        <v>2</v>
      </c>
      <c r="K633" s="51">
        <v>0</v>
      </c>
      <c r="L633" s="51">
        <v>0</v>
      </c>
      <c r="M633" s="48">
        <v>0</v>
      </c>
      <c r="N633" s="48">
        <v>0</v>
      </c>
      <c r="O633" s="55">
        <v>0</v>
      </c>
      <c r="P633" s="58">
        <v>0</v>
      </c>
      <c r="Q633" s="51">
        <v>0</v>
      </c>
      <c r="R633" s="51">
        <v>0</v>
      </c>
      <c r="S633" s="45"/>
      <c r="T633" s="51">
        <v>0</v>
      </c>
      <c r="U633" s="51">
        <v>0</v>
      </c>
      <c r="V633" s="51">
        <v>0</v>
      </c>
    </row>
    <row r="634" ht="117" customHeight="1">
      <c r="A634" t="s" s="52">
        <v>649</v>
      </c>
      <c r="B634" s="42">
        <f>SUM(C634,G634)</f>
        <v>2</v>
      </c>
      <c r="C634" s="43">
        <f>SUM(H634,I634,J634,K634,L634,M634,N634,O634,P634,Q634,R634,S634,T634,U634,V634)</f>
        <v>2</v>
      </c>
      <c r="D634" s="44"/>
      <c r="E634" s="6"/>
      <c r="F634" s="6"/>
      <c r="G634" s="14"/>
      <c r="H634" s="121">
        <v>0</v>
      </c>
      <c r="I634" s="51">
        <v>0</v>
      </c>
      <c r="J634" s="51">
        <v>2</v>
      </c>
      <c r="K634" s="51">
        <v>0</v>
      </c>
      <c r="L634" s="51">
        <v>0</v>
      </c>
      <c r="M634" s="48">
        <v>0</v>
      </c>
      <c r="N634" s="48">
        <v>0</v>
      </c>
      <c r="O634" s="55">
        <v>0</v>
      </c>
      <c r="P634" s="53">
        <v>0</v>
      </c>
      <c r="Q634" s="51">
        <v>0</v>
      </c>
      <c r="R634" s="51">
        <v>0</v>
      </c>
      <c r="S634" s="6"/>
      <c r="T634" s="51">
        <v>0</v>
      </c>
      <c r="U634" s="51">
        <v>0</v>
      </c>
      <c r="V634" s="51">
        <v>0</v>
      </c>
    </row>
    <row r="635" ht="117" customHeight="1">
      <c r="A635" t="s" s="52">
        <v>650</v>
      </c>
      <c r="B635" s="42">
        <f>SUM(C635,G635)</f>
        <v>0</v>
      </c>
      <c r="C635" s="43">
        <f>SUM(H635,I635,J635,K635,L635,M635,N635,O635,P635,Q635,R635,S635,T635,U635,V635)</f>
        <v>0</v>
      </c>
      <c r="D635" s="44"/>
      <c r="E635" s="17"/>
      <c r="F635" s="17"/>
      <c r="G635" s="18"/>
      <c r="H635" s="144">
        <v>0</v>
      </c>
      <c r="I635" s="51">
        <v>0</v>
      </c>
      <c r="J635" s="51">
        <v>0</v>
      </c>
      <c r="K635" s="51">
        <v>0</v>
      </c>
      <c r="L635" s="51">
        <v>0</v>
      </c>
      <c r="M635" s="48">
        <v>0</v>
      </c>
      <c r="N635" s="48">
        <v>0</v>
      </c>
      <c r="O635" s="55">
        <v>0</v>
      </c>
      <c r="P635" s="56">
        <v>0</v>
      </c>
      <c r="Q635" s="51">
        <v>0</v>
      </c>
      <c r="R635" s="51">
        <v>0</v>
      </c>
      <c r="S635" s="17"/>
      <c r="T635" s="51">
        <v>0</v>
      </c>
      <c r="U635" s="51">
        <v>0</v>
      </c>
      <c r="V635" s="51">
        <v>0</v>
      </c>
    </row>
    <row r="636" ht="117" customHeight="1">
      <c r="A636" t="s" s="10">
        <v>651</v>
      </c>
      <c r="B636" s="34">
        <f>SUM(C636,G636)</f>
        <v>50</v>
      </c>
      <c r="C636" s="35">
        <f>SUM(H636,I636,J636,K636,L636,M636,N636,O636,P636,Q636,R636,S636,T636,U636,V636)</f>
        <v>50</v>
      </c>
      <c r="D636" s="36"/>
      <c r="E636" s="25"/>
      <c r="F636" s="25"/>
      <c r="G636" s="25"/>
      <c r="H636" s="37">
        <v>20</v>
      </c>
      <c r="I636" s="38">
        <v>0</v>
      </c>
      <c r="J636" s="38">
        <v>30</v>
      </c>
      <c r="K636" s="38">
        <v>0</v>
      </c>
      <c r="L636" s="38">
        <v>0</v>
      </c>
      <c r="M636" s="40">
        <v>0</v>
      </c>
      <c r="N636" s="40">
        <v>0</v>
      </c>
      <c r="O636" s="40">
        <v>0</v>
      </c>
      <c r="P636" s="41">
        <v>0</v>
      </c>
      <c r="Q636" s="38">
        <v>0</v>
      </c>
      <c r="R636" s="38">
        <v>0</v>
      </c>
      <c r="S636" s="33"/>
      <c r="T636" s="38">
        <v>0</v>
      </c>
      <c r="U636" s="38">
        <v>0</v>
      </c>
      <c r="V636" s="38">
        <v>0</v>
      </c>
    </row>
    <row r="637" ht="117" customHeight="1">
      <c r="A637" t="s" s="52">
        <v>652</v>
      </c>
      <c r="B637" s="42">
        <f>SUM(C637,G637)</f>
        <v>0</v>
      </c>
      <c r="C637" s="43">
        <f>SUM(H637,I637,J637,K637,L637,M637,N637,O637,P637,Q637,R637,S637,T637,U637,V637)</f>
        <v>0</v>
      </c>
      <c r="D637" s="44"/>
      <c r="E637" s="45"/>
      <c r="F637" s="45"/>
      <c r="G637" s="119"/>
      <c r="H637" s="143">
        <v>0</v>
      </c>
      <c r="I637" s="51">
        <v>0</v>
      </c>
      <c r="J637" s="51">
        <v>0</v>
      </c>
      <c r="K637" s="51">
        <v>0</v>
      </c>
      <c r="L637" s="51">
        <v>0</v>
      </c>
      <c r="M637" s="48">
        <v>0</v>
      </c>
      <c r="N637" s="48">
        <v>0</v>
      </c>
      <c r="O637" s="55">
        <v>0</v>
      </c>
      <c r="P637" s="58">
        <v>0</v>
      </c>
      <c r="Q637" s="51">
        <v>0</v>
      </c>
      <c r="R637" s="51">
        <v>0</v>
      </c>
      <c r="S637" s="45"/>
      <c r="T637" s="51">
        <v>0</v>
      </c>
      <c r="U637" s="51">
        <v>0</v>
      </c>
      <c r="V637" s="51">
        <v>0</v>
      </c>
    </row>
    <row r="638" ht="117" customHeight="1">
      <c r="A638" t="s" s="52">
        <v>653</v>
      </c>
      <c r="B638" s="42">
        <f>SUM(C638,G638)</f>
        <v>0</v>
      </c>
      <c r="C638" s="43">
        <f>SUM(H638,I638,J638,K638,L638,M638,N638,O638,P638,Q638,R638,S638,T638,U638,V638)</f>
        <v>0</v>
      </c>
      <c r="D638" s="44"/>
      <c r="E638" s="6"/>
      <c r="F638" s="6"/>
      <c r="G638" s="14"/>
      <c r="H638" s="121">
        <v>0</v>
      </c>
      <c r="I638" s="51">
        <v>0</v>
      </c>
      <c r="J638" s="51">
        <v>0</v>
      </c>
      <c r="K638" s="51">
        <v>0</v>
      </c>
      <c r="L638" s="51">
        <v>0</v>
      </c>
      <c r="M638" s="48">
        <v>0</v>
      </c>
      <c r="N638" s="48">
        <v>0</v>
      </c>
      <c r="O638" s="55">
        <v>0</v>
      </c>
      <c r="P638" s="53">
        <v>0</v>
      </c>
      <c r="Q638" s="51">
        <v>0</v>
      </c>
      <c r="R638" s="51">
        <v>0</v>
      </c>
      <c r="S638" s="6"/>
      <c r="T638" s="51">
        <v>0</v>
      </c>
      <c r="U638" s="51">
        <v>0</v>
      </c>
      <c r="V638" s="51">
        <v>0</v>
      </c>
    </row>
    <row r="639" ht="117" customHeight="1">
      <c r="A639" t="s" s="52">
        <v>654</v>
      </c>
      <c r="B639" s="42">
        <f>SUM(C639,G639)</f>
        <v>0</v>
      </c>
      <c r="C639" s="43">
        <f>SUM(H639,I639,J639,K639,L639,M639,N639,O639,P639,Q639,R639,S639,T639,U639,V639)</f>
        <v>0</v>
      </c>
      <c r="D639" s="44"/>
      <c r="E639" s="6"/>
      <c r="F639" s="6"/>
      <c r="G639" s="14"/>
      <c r="H639" s="121">
        <v>0</v>
      </c>
      <c r="I639" s="51">
        <v>0</v>
      </c>
      <c r="J639" s="51">
        <v>0</v>
      </c>
      <c r="K639" s="51">
        <v>0</v>
      </c>
      <c r="L639" s="51">
        <v>0</v>
      </c>
      <c r="M639" s="48">
        <v>0</v>
      </c>
      <c r="N639" s="48">
        <v>0</v>
      </c>
      <c r="O639" s="55">
        <v>0</v>
      </c>
      <c r="P639" s="53">
        <v>0</v>
      </c>
      <c r="Q639" s="51">
        <v>0</v>
      </c>
      <c r="R639" s="51">
        <v>0</v>
      </c>
      <c r="S639" s="6"/>
      <c r="T639" s="51">
        <v>0</v>
      </c>
      <c r="U639" s="51">
        <v>0</v>
      </c>
      <c r="V639" s="51">
        <v>0</v>
      </c>
    </row>
    <row r="640" ht="117" customHeight="1">
      <c r="A640" t="s" s="52">
        <v>655</v>
      </c>
      <c r="B640" s="42">
        <f>SUM(C640,G640)</f>
        <v>0</v>
      </c>
      <c r="C640" s="43">
        <f>SUM(H640,I640,J640,K640,L640,M640,N640,O640,P640,Q640,R640,S640,T640,U640,V640)</f>
        <v>0</v>
      </c>
      <c r="D640" s="44"/>
      <c r="E640" s="17"/>
      <c r="F640" s="17"/>
      <c r="G640" s="18"/>
      <c r="H640" s="144">
        <v>0</v>
      </c>
      <c r="I640" s="51">
        <v>0</v>
      </c>
      <c r="J640" s="51">
        <v>0</v>
      </c>
      <c r="K640" s="51">
        <v>0</v>
      </c>
      <c r="L640" s="51">
        <v>0</v>
      </c>
      <c r="M640" s="48">
        <v>0</v>
      </c>
      <c r="N640" s="48">
        <v>0</v>
      </c>
      <c r="O640" s="55">
        <v>0</v>
      </c>
      <c r="P640" s="56">
        <v>0</v>
      </c>
      <c r="Q640" s="51">
        <v>0</v>
      </c>
      <c r="R640" s="51">
        <v>0</v>
      </c>
      <c r="S640" s="17"/>
      <c r="T640" s="51">
        <v>0</v>
      </c>
      <c r="U640" s="51">
        <v>0</v>
      </c>
      <c r="V640" s="51">
        <v>0</v>
      </c>
    </row>
    <row r="641" ht="117" customHeight="1">
      <c r="A641" t="s" s="21">
        <v>656</v>
      </c>
      <c r="B641" s="22">
        <f>SUM(C641,G641)</f>
        <v>50</v>
      </c>
      <c r="C641" s="23">
        <f>SUM(H641,I641,J641,K641,L641,M641,N641,O641,P641,Q641,R641,S641,T641,U641,V641)</f>
        <v>50</v>
      </c>
      <c r="D641" s="36"/>
      <c r="E641" s="25"/>
      <c r="F641" s="25"/>
      <c r="G641" s="25"/>
      <c r="H641" s="37">
        <v>0</v>
      </c>
      <c r="I641" s="28">
        <v>0</v>
      </c>
      <c r="J641" s="28">
        <v>50</v>
      </c>
      <c r="K641" s="28">
        <v>0</v>
      </c>
      <c r="L641" s="28">
        <v>0</v>
      </c>
      <c r="M641" s="30">
        <v>0</v>
      </c>
      <c r="N641" s="30">
        <v>0</v>
      </c>
      <c r="O641" s="30">
        <v>0</v>
      </c>
      <c r="P641" s="41">
        <v>0</v>
      </c>
      <c r="Q641" s="28">
        <v>0</v>
      </c>
      <c r="R641" s="28">
        <v>0</v>
      </c>
      <c r="S641" s="33"/>
      <c r="T641" s="28">
        <v>0</v>
      </c>
      <c r="U641" s="28">
        <v>0</v>
      </c>
      <c r="V641" s="28">
        <v>0</v>
      </c>
    </row>
    <row r="642" ht="117" customHeight="1">
      <c r="A642" t="s" s="52">
        <v>657</v>
      </c>
      <c r="B642" s="42">
        <f>SUM(C642,G642)</f>
        <v>0</v>
      </c>
      <c r="C642" s="43">
        <f>SUM(H642,I642,J642,K642,L642,M642,N642,O642,P642,Q642,R642,S642,T642,U642,V642)</f>
        <v>0</v>
      </c>
      <c r="D642" s="44"/>
      <c r="E642" s="45"/>
      <c r="F642" s="45"/>
      <c r="G642" s="119"/>
      <c r="H642" s="143">
        <v>0</v>
      </c>
      <c r="I642" s="51">
        <v>0</v>
      </c>
      <c r="J642" s="51">
        <v>0</v>
      </c>
      <c r="K642" s="51">
        <v>0</v>
      </c>
      <c r="L642" s="51">
        <v>0</v>
      </c>
      <c r="M642" s="48">
        <v>0</v>
      </c>
      <c r="N642" s="48">
        <v>0</v>
      </c>
      <c r="O642" s="55">
        <v>0</v>
      </c>
      <c r="P642" s="58">
        <v>0</v>
      </c>
      <c r="Q642" s="51">
        <v>0</v>
      </c>
      <c r="R642" s="51">
        <v>0</v>
      </c>
      <c r="S642" s="45"/>
      <c r="T642" s="51">
        <v>0</v>
      </c>
      <c r="U642" s="51">
        <v>0</v>
      </c>
      <c r="V642" s="51">
        <v>0</v>
      </c>
    </row>
    <row r="643" ht="78" customHeight="1">
      <c r="A643" t="s" s="52">
        <v>658</v>
      </c>
      <c r="B643" s="42">
        <f>SUM(C643,G643)</f>
        <v>0</v>
      </c>
      <c r="C643" s="43">
        <f>SUM(H643,I643,J643,K643,L643,M643,N643,O643,P643,Q643,R643,S643,T643,U643,V643)</f>
        <v>0</v>
      </c>
      <c r="D643" s="44"/>
      <c r="E643" s="6"/>
      <c r="F643" s="6"/>
      <c r="G643" s="14"/>
      <c r="H643" s="121">
        <v>0</v>
      </c>
      <c r="I643" s="51">
        <v>0</v>
      </c>
      <c r="J643" s="51">
        <v>0</v>
      </c>
      <c r="K643" s="51">
        <v>0</v>
      </c>
      <c r="L643" s="51">
        <v>0</v>
      </c>
      <c r="M643" s="48">
        <v>0</v>
      </c>
      <c r="N643" s="48">
        <v>0</v>
      </c>
      <c r="O643" s="55">
        <v>0</v>
      </c>
      <c r="P643" s="53">
        <v>0</v>
      </c>
      <c r="Q643" s="51">
        <v>0</v>
      </c>
      <c r="R643" s="51">
        <v>0</v>
      </c>
      <c r="S643" s="6"/>
      <c r="T643" s="51">
        <v>0</v>
      </c>
      <c r="U643" s="51">
        <v>0</v>
      </c>
      <c r="V643" s="51">
        <v>0</v>
      </c>
    </row>
    <row r="644" ht="409.5" customHeight="1">
      <c r="A644" t="s" s="52">
        <v>659</v>
      </c>
      <c r="B644" s="42">
        <f>SUM(C644,G644)</f>
        <v>122400</v>
      </c>
      <c r="C644" s="43">
        <f>SUM(H644,I644,J644,K644,L644,M644,N644,O644,P644,Q644,R644,S644,T644,U644,V644)</f>
        <v>122400</v>
      </c>
      <c r="D644" s="44"/>
      <c r="E644" s="6"/>
      <c r="F644" s="6"/>
      <c r="G644" s="14"/>
      <c r="H644" s="121">
        <v>0</v>
      </c>
      <c r="I644" s="51">
        <v>90000</v>
      </c>
      <c r="J644" s="51">
        <v>0</v>
      </c>
      <c r="K644" s="51">
        <v>32400</v>
      </c>
      <c r="L644" s="51">
        <v>0</v>
      </c>
      <c r="M644" s="48">
        <v>0</v>
      </c>
      <c r="N644" s="48">
        <v>0</v>
      </c>
      <c r="O644" s="55">
        <v>0</v>
      </c>
      <c r="P644" s="53">
        <v>0</v>
      </c>
      <c r="Q644" s="51">
        <v>0</v>
      </c>
      <c r="R644" s="51">
        <v>0</v>
      </c>
      <c r="S644" s="6"/>
      <c r="T644" s="51">
        <v>0</v>
      </c>
      <c r="U644" s="51">
        <v>0</v>
      </c>
      <c r="V644" s="51">
        <v>0</v>
      </c>
    </row>
    <row r="645" ht="195" customHeight="1">
      <c r="A645" t="s" s="52">
        <v>660</v>
      </c>
      <c r="B645" s="42">
        <f>SUM(C645,G645)</f>
        <v>0</v>
      </c>
      <c r="C645" s="43">
        <f>SUM(H645,I645,J645,K645,L645,M645,N645,O645,P645,Q645,R645,S645,T645,U645,V645)</f>
        <v>0</v>
      </c>
      <c r="D645" s="44"/>
      <c r="E645" s="6"/>
      <c r="F645" s="6"/>
      <c r="G645" s="14"/>
      <c r="H645" s="121">
        <v>0</v>
      </c>
      <c r="I645" s="51">
        <v>0</v>
      </c>
      <c r="J645" s="51">
        <v>0</v>
      </c>
      <c r="K645" s="47"/>
      <c r="L645" s="51">
        <v>0</v>
      </c>
      <c r="M645" s="48">
        <v>0</v>
      </c>
      <c r="N645" s="48">
        <v>0</v>
      </c>
      <c r="O645" s="55">
        <v>0</v>
      </c>
      <c r="P645" s="53">
        <v>0</v>
      </c>
      <c r="Q645" s="51">
        <v>0</v>
      </c>
      <c r="R645" s="51">
        <v>0</v>
      </c>
      <c r="S645" s="6"/>
      <c r="T645" s="51">
        <v>0</v>
      </c>
      <c r="U645" s="51">
        <v>0</v>
      </c>
      <c r="V645" s="51">
        <v>0</v>
      </c>
    </row>
    <row r="646" ht="117" customHeight="1">
      <c r="A646" t="s" s="52">
        <v>661</v>
      </c>
      <c r="B646" s="42">
        <f>SUM(C646,G646)</f>
        <v>0</v>
      </c>
      <c r="C646" s="43">
        <f>SUM(H646,I646,J646,K646,L646,M646,N646,O646,P646,Q646,R646,S646,T646,U646,V646)</f>
        <v>0</v>
      </c>
      <c r="D646" s="44"/>
      <c r="E646" s="17"/>
      <c r="F646" s="17"/>
      <c r="G646" s="18"/>
      <c r="H646" s="144">
        <v>0</v>
      </c>
      <c r="I646" s="51">
        <v>0</v>
      </c>
      <c r="J646" s="51">
        <v>0</v>
      </c>
      <c r="K646" s="51">
        <v>0</v>
      </c>
      <c r="L646" s="51">
        <v>0</v>
      </c>
      <c r="M646" s="48">
        <v>0</v>
      </c>
      <c r="N646" s="48">
        <v>0</v>
      </c>
      <c r="O646" s="55">
        <v>0</v>
      </c>
      <c r="P646" s="56">
        <v>0</v>
      </c>
      <c r="Q646" s="51">
        <v>0</v>
      </c>
      <c r="R646" s="51">
        <v>0</v>
      </c>
      <c r="S646" s="17"/>
      <c r="T646" s="51">
        <v>0</v>
      </c>
      <c r="U646" s="51">
        <v>0</v>
      </c>
      <c r="V646" s="51">
        <v>0</v>
      </c>
    </row>
    <row r="647" ht="117" customHeight="1">
      <c r="A647" t="s" s="21">
        <v>662</v>
      </c>
      <c r="B647" s="22">
        <f>SUM(C647,G647)</f>
        <v>10</v>
      </c>
      <c r="C647" s="23">
        <f>SUM(H647,I647,J647,K647,L647,M647,N647,O647,P647,Q647,R647,S647,T647,U647,V647)</f>
        <v>10</v>
      </c>
      <c r="D647" s="36"/>
      <c r="E647" s="25"/>
      <c r="F647" s="25"/>
      <c r="G647" s="25"/>
      <c r="H647" s="37">
        <v>0</v>
      </c>
      <c r="I647" s="28">
        <v>0</v>
      </c>
      <c r="J647" s="28">
        <v>10</v>
      </c>
      <c r="K647" s="28">
        <v>0</v>
      </c>
      <c r="L647" s="28">
        <v>0</v>
      </c>
      <c r="M647" s="30">
        <v>0</v>
      </c>
      <c r="N647" s="30">
        <v>0</v>
      </c>
      <c r="O647" s="30">
        <v>0</v>
      </c>
      <c r="P647" s="41">
        <v>0</v>
      </c>
      <c r="Q647" s="28">
        <v>0</v>
      </c>
      <c r="R647" s="28">
        <v>0</v>
      </c>
      <c r="S647" s="33"/>
      <c r="T647" s="28">
        <v>0</v>
      </c>
      <c r="U647" s="28">
        <v>0</v>
      </c>
      <c r="V647" s="28">
        <v>0</v>
      </c>
    </row>
    <row r="648" ht="78" customHeight="1">
      <c r="A648" t="s" s="21">
        <v>663</v>
      </c>
      <c r="B648" s="22">
        <f>SUM(C648,G648)</f>
        <v>30</v>
      </c>
      <c r="C648" s="23">
        <f>SUM(H648,I648,J648,K648,L648,M648,N648,O648,P648,Q648,R648,S648,T648,U648,V648)</f>
        <v>30</v>
      </c>
      <c r="D648" s="36"/>
      <c r="E648" s="25"/>
      <c r="F648" s="25"/>
      <c r="G648" s="25"/>
      <c r="H648" s="37">
        <v>10</v>
      </c>
      <c r="I648" s="28">
        <v>10</v>
      </c>
      <c r="J648" s="28">
        <v>10</v>
      </c>
      <c r="K648" s="28">
        <v>0</v>
      </c>
      <c r="L648" s="28">
        <v>0</v>
      </c>
      <c r="M648" s="30">
        <v>0</v>
      </c>
      <c r="N648" s="30">
        <v>0</v>
      </c>
      <c r="O648" s="30">
        <v>0</v>
      </c>
      <c r="P648" s="41">
        <v>0</v>
      </c>
      <c r="Q648" s="28">
        <v>0</v>
      </c>
      <c r="R648" s="28">
        <v>0</v>
      </c>
      <c r="S648" s="33"/>
      <c r="T648" s="28">
        <v>0</v>
      </c>
      <c r="U648" s="28">
        <v>0</v>
      </c>
      <c r="V648" s="28">
        <v>0</v>
      </c>
    </row>
    <row r="649" ht="117" customHeight="1">
      <c r="A649" t="s" s="10">
        <v>664</v>
      </c>
      <c r="B649" s="34">
        <f>SUM(C649,G649)</f>
        <v>80</v>
      </c>
      <c r="C649" s="35">
        <f>SUM(H649,I649,J649,K649,L649,M649,N649,O649,P649,Q649,R649,S649,T649,U649,V649)</f>
        <v>80</v>
      </c>
      <c r="D649" s="36"/>
      <c r="E649" s="25"/>
      <c r="F649" s="25"/>
      <c r="G649" s="25"/>
      <c r="H649" s="37">
        <v>0</v>
      </c>
      <c r="I649" s="38">
        <v>0</v>
      </c>
      <c r="J649" s="38">
        <v>0</v>
      </c>
      <c r="K649" s="38">
        <v>50</v>
      </c>
      <c r="L649" s="38">
        <v>0</v>
      </c>
      <c r="M649" s="40">
        <v>0</v>
      </c>
      <c r="N649" s="40">
        <v>30</v>
      </c>
      <c r="O649" s="40">
        <v>0</v>
      </c>
      <c r="P649" s="41">
        <v>0</v>
      </c>
      <c r="Q649" s="38">
        <v>0</v>
      </c>
      <c r="R649" s="38">
        <v>0</v>
      </c>
      <c r="S649" s="33"/>
      <c r="T649" s="38">
        <v>0</v>
      </c>
      <c r="U649" s="38">
        <v>0</v>
      </c>
      <c r="V649" s="38">
        <v>0</v>
      </c>
    </row>
    <row r="650" ht="126" customHeight="1">
      <c r="A650" t="s" s="52">
        <v>665</v>
      </c>
      <c r="B650" s="42">
        <f>SUM(C650,G650)</f>
        <v>0</v>
      </c>
      <c r="C650" s="43">
        <f>SUM(H650,I650,J650,K650,L650,M650,N650,O650,P650,Q650,R650,S650,T650,U650,V650)</f>
        <v>0</v>
      </c>
      <c r="D650" s="44"/>
      <c r="E650" s="33"/>
      <c r="F650" s="33"/>
      <c r="G650" s="104"/>
      <c r="H650" s="142">
        <v>0</v>
      </c>
      <c r="I650" s="51">
        <v>0</v>
      </c>
      <c r="J650" s="51">
        <v>0</v>
      </c>
      <c r="K650" s="51">
        <v>0</v>
      </c>
      <c r="L650" s="51">
        <v>0</v>
      </c>
      <c r="M650" s="48">
        <v>0</v>
      </c>
      <c r="N650" s="48">
        <v>0</v>
      </c>
      <c r="O650" s="55">
        <v>0</v>
      </c>
      <c r="P650" s="41">
        <v>0</v>
      </c>
      <c r="Q650" s="51">
        <v>0</v>
      </c>
      <c r="R650" s="51">
        <v>0</v>
      </c>
      <c r="S650" s="33"/>
      <c r="T650" s="51">
        <v>0</v>
      </c>
      <c r="U650" s="51">
        <v>0</v>
      </c>
      <c r="V650" s="51">
        <v>0</v>
      </c>
    </row>
    <row r="651" ht="58.5" customHeight="1">
      <c r="A651" t="s" s="10">
        <v>666</v>
      </c>
      <c r="B651" s="34">
        <f>SUM(C651,G651)</f>
        <v>192</v>
      </c>
      <c r="C651" s="35">
        <f>SUM(H651,I651,J651,K651,L651,M651,N651,O651,P651,Q651,R651,S651,T651,U651,V651)</f>
        <v>192</v>
      </c>
      <c r="D651" s="36"/>
      <c r="E651" s="25"/>
      <c r="F651" s="25"/>
      <c r="G651" s="25"/>
      <c r="H651" s="37">
        <v>20</v>
      </c>
      <c r="I651" s="38">
        <v>0</v>
      </c>
      <c r="J651" s="38">
        <v>12</v>
      </c>
      <c r="K651" s="38">
        <v>0</v>
      </c>
      <c r="L651" s="38">
        <v>0</v>
      </c>
      <c r="M651" s="40">
        <v>10</v>
      </c>
      <c r="N651" s="40">
        <v>0</v>
      </c>
      <c r="O651" s="40">
        <v>150</v>
      </c>
      <c r="P651" s="41">
        <v>0</v>
      </c>
      <c r="Q651" s="38">
        <v>0</v>
      </c>
      <c r="R651" s="38">
        <v>0</v>
      </c>
      <c r="S651" s="33"/>
      <c r="T651" s="38">
        <v>0</v>
      </c>
      <c r="U651" s="38">
        <v>0</v>
      </c>
      <c r="V651" s="38">
        <v>0</v>
      </c>
    </row>
    <row r="652" ht="214.5" customHeight="1">
      <c r="A652" t="s" s="52">
        <v>667</v>
      </c>
      <c r="B652" s="42">
        <f>SUM(C652,G652)</f>
        <v>0</v>
      </c>
      <c r="C652" s="43">
        <f>SUM(H652,I652,J652,K652,L652,M652,N652,O652,P652,Q652,R652,S652,T652,U652,V652)</f>
        <v>0</v>
      </c>
      <c r="D652" s="44"/>
      <c r="E652" s="45"/>
      <c r="F652" s="45"/>
      <c r="G652" s="119"/>
      <c r="H652" s="143">
        <v>0</v>
      </c>
      <c r="I652" s="51">
        <v>0</v>
      </c>
      <c r="J652" s="51">
        <v>0</v>
      </c>
      <c r="K652" s="51">
        <v>0</v>
      </c>
      <c r="L652" s="51">
        <v>0</v>
      </c>
      <c r="M652" s="48">
        <v>0</v>
      </c>
      <c r="N652" s="48">
        <v>0</v>
      </c>
      <c r="O652" s="55">
        <v>0</v>
      </c>
      <c r="P652" s="58">
        <v>0</v>
      </c>
      <c r="Q652" s="51">
        <v>0</v>
      </c>
      <c r="R652" s="51">
        <v>0</v>
      </c>
      <c r="S652" s="45"/>
      <c r="T652" s="51">
        <v>0</v>
      </c>
      <c r="U652" s="51">
        <v>0</v>
      </c>
      <c r="V652" s="51">
        <v>0</v>
      </c>
    </row>
    <row r="653" ht="78" customHeight="1">
      <c r="A653" t="s" s="52">
        <v>668</v>
      </c>
      <c r="B653" s="42">
        <f>SUM(C653,G653)</f>
        <v>0</v>
      </c>
      <c r="C653" s="43">
        <f>SUM(H653,I653,J653,K653,L653,M653,N653,O653,P653,Q653,R653,S653,T653,U653,V653)</f>
        <v>0</v>
      </c>
      <c r="D653" s="44"/>
      <c r="E653" s="6"/>
      <c r="F653" s="6"/>
      <c r="G653" s="14"/>
      <c r="H653" s="121">
        <v>0</v>
      </c>
      <c r="I653" s="51">
        <v>0</v>
      </c>
      <c r="J653" s="51">
        <v>0</v>
      </c>
      <c r="K653" s="51">
        <v>0</v>
      </c>
      <c r="L653" s="51">
        <v>0</v>
      </c>
      <c r="M653" s="48">
        <v>0</v>
      </c>
      <c r="N653" s="48">
        <v>0</v>
      </c>
      <c r="O653" s="55">
        <v>0</v>
      </c>
      <c r="P653" s="53">
        <v>0</v>
      </c>
      <c r="Q653" s="51">
        <v>0</v>
      </c>
      <c r="R653" s="51">
        <v>0</v>
      </c>
      <c r="S653" s="6"/>
      <c r="T653" s="51">
        <v>0</v>
      </c>
      <c r="U653" s="51">
        <v>0</v>
      </c>
      <c r="V653" s="51">
        <v>0</v>
      </c>
    </row>
    <row r="654" ht="19.5" customHeight="1">
      <c r="A654" t="s" s="67">
        <v>669</v>
      </c>
      <c r="B654" s="42">
        <f>SUM(C654,G654)</f>
        <v>0</v>
      </c>
      <c r="C654" s="43">
        <f>SUM(H654,I654,J654,K654,L654,M654,N654,O654,P654,Q654,R654,S654,T654,U654,V654)</f>
        <v>0</v>
      </c>
      <c r="D654" s="44"/>
      <c r="E654" s="6"/>
      <c r="F654" s="6"/>
      <c r="G654" s="14"/>
      <c r="H654" s="122"/>
      <c r="I654" s="47"/>
      <c r="J654" s="47"/>
      <c r="K654" s="47"/>
      <c r="L654" s="47"/>
      <c r="M654" s="48">
        <v>0</v>
      </c>
      <c r="N654" s="49"/>
      <c r="O654" s="50"/>
      <c r="P654" s="6"/>
      <c r="Q654" s="51">
        <v>0</v>
      </c>
      <c r="R654" s="47"/>
      <c r="S654" s="6"/>
      <c r="T654" s="47"/>
      <c r="U654" s="47"/>
      <c r="V654" s="51">
        <v>0</v>
      </c>
    </row>
    <row r="655" ht="47.25" customHeight="1">
      <c r="A655" t="s" s="52">
        <v>670</v>
      </c>
      <c r="B655" s="42">
        <f>SUM(C655,G655)</f>
        <v>0</v>
      </c>
      <c r="C655" s="43">
        <f>SUM(H655,I655,J655,K655,L655,M655,N655,O655,P655,Q655,R655,S655,T655,U655,V655)</f>
        <v>0</v>
      </c>
      <c r="D655" s="44"/>
      <c r="E655" s="17"/>
      <c r="F655" s="17"/>
      <c r="G655" s="18"/>
      <c r="H655" s="144">
        <v>0</v>
      </c>
      <c r="I655" s="51">
        <v>0</v>
      </c>
      <c r="J655" s="51">
        <v>0</v>
      </c>
      <c r="K655" s="51">
        <v>0</v>
      </c>
      <c r="L655" s="51">
        <v>0</v>
      </c>
      <c r="M655" s="48">
        <v>0</v>
      </c>
      <c r="N655" s="48">
        <v>0</v>
      </c>
      <c r="O655" s="55">
        <v>0</v>
      </c>
      <c r="P655" s="56">
        <v>0</v>
      </c>
      <c r="Q655" s="51">
        <v>0</v>
      </c>
      <c r="R655" s="51">
        <v>0</v>
      </c>
      <c r="S655" s="17"/>
      <c r="T655" s="51">
        <v>0</v>
      </c>
      <c r="U655" s="51">
        <v>0</v>
      </c>
      <c r="V655" s="51">
        <v>0</v>
      </c>
    </row>
    <row r="656" ht="78.75" customHeight="1">
      <c r="A656" t="s" s="10">
        <v>671</v>
      </c>
      <c r="B656" s="34">
        <f>SUM(C656,G656)</f>
        <v>750</v>
      </c>
      <c r="C656" s="35">
        <f>SUM(H656,I656,J656,K656,L656,M656,N656,O656,P656,Q656,R656,S656,T656,U656,V656)</f>
        <v>750</v>
      </c>
      <c r="D656" s="36"/>
      <c r="E656" s="25"/>
      <c r="F656" s="25"/>
      <c r="G656" s="25"/>
      <c r="H656" s="37">
        <v>100</v>
      </c>
      <c r="I656" s="38">
        <v>500</v>
      </c>
      <c r="J656" s="38">
        <v>100</v>
      </c>
      <c r="K656" s="38">
        <v>50</v>
      </c>
      <c r="L656" s="38">
        <v>0</v>
      </c>
      <c r="M656" s="40">
        <v>0</v>
      </c>
      <c r="N656" s="40">
        <v>0</v>
      </c>
      <c r="O656" s="40">
        <v>0</v>
      </c>
      <c r="P656" s="41">
        <v>0</v>
      </c>
      <c r="Q656" s="38">
        <v>0</v>
      </c>
      <c r="R656" s="38">
        <v>0</v>
      </c>
      <c r="S656" s="33"/>
      <c r="T656" s="38">
        <v>0</v>
      </c>
      <c r="U656" s="38">
        <v>0</v>
      </c>
      <c r="V656" s="38">
        <v>0</v>
      </c>
    </row>
    <row r="657" ht="110.25" customHeight="1">
      <c r="A657" t="s" s="10">
        <v>672</v>
      </c>
      <c r="B657" s="34">
        <f>SUM(C657,G657)</f>
        <v>750</v>
      </c>
      <c r="C657" s="35">
        <f>SUM(H657,I657,J657,K657,L657,M657,N657,O657,P657,Q657,R657,S657,T657,U657,V657)</f>
        <v>750</v>
      </c>
      <c r="D657" s="36"/>
      <c r="E657" s="25"/>
      <c r="F657" s="25"/>
      <c r="G657" s="25"/>
      <c r="H657" s="37">
        <v>100</v>
      </c>
      <c r="I657" s="38">
        <v>500</v>
      </c>
      <c r="J657" s="38">
        <v>100</v>
      </c>
      <c r="K657" s="38">
        <v>50</v>
      </c>
      <c r="L657" s="38">
        <v>0</v>
      </c>
      <c r="M657" s="40">
        <v>0</v>
      </c>
      <c r="N657" s="40">
        <v>0</v>
      </c>
      <c r="O657" s="40">
        <v>0</v>
      </c>
      <c r="P657" s="41">
        <v>0</v>
      </c>
      <c r="Q657" s="38">
        <v>0</v>
      </c>
      <c r="R657" s="38">
        <v>0</v>
      </c>
      <c r="S657" s="33"/>
      <c r="T657" s="38">
        <v>0</v>
      </c>
      <c r="U657" s="38">
        <v>0</v>
      </c>
      <c r="V657" s="38">
        <v>0</v>
      </c>
    </row>
    <row r="658" ht="97.5" customHeight="1">
      <c r="A658" t="s" s="10">
        <v>673</v>
      </c>
      <c r="B658" s="34">
        <f>SUM(C658,G658)</f>
        <v>650</v>
      </c>
      <c r="C658" s="35">
        <f>SUM(H658,I658,J658,K658,L658,M658,N658,O658,P658,Q658,R658,S658,T658,U658,V658)</f>
        <v>650</v>
      </c>
      <c r="D658" s="36"/>
      <c r="E658" s="25"/>
      <c r="F658" s="25"/>
      <c r="G658" s="25"/>
      <c r="H658" s="37">
        <v>200</v>
      </c>
      <c r="I658" s="38">
        <v>100</v>
      </c>
      <c r="J658" s="38">
        <v>200</v>
      </c>
      <c r="K658" s="38">
        <v>150</v>
      </c>
      <c r="L658" s="38">
        <v>0</v>
      </c>
      <c r="M658" s="40">
        <v>0</v>
      </c>
      <c r="N658" s="40">
        <v>0</v>
      </c>
      <c r="O658" s="40">
        <v>0</v>
      </c>
      <c r="P658" s="41">
        <v>0</v>
      </c>
      <c r="Q658" s="38">
        <v>0</v>
      </c>
      <c r="R658" s="38">
        <v>0</v>
      </c>
      <c r="S658" s="33"/>
      <c r="T658" s="38">
        <v>0</v>
      </c>
      <c r="U658" s="38">
        <v>0</v>
      </c>
      <c r="V658" s="38">
        <v>0</v>
      </c>
    </row>
    <row r="659" ht="110.25" customHeight="1">
      <c r="A659" t="s" s="10">
        <v>674</v>
      </c>
      <c r="B659" s="34">
        <f>SUM(C659,G659)</f>
        <v>650</v>
      </c>
      <c r="C659" s="35">
        <f>SUM(H659,I659,J659,K659,L659,M659,N659,O659,P659,Q659,R659,S659,T659,U659,V659)</f>
        <v>650</v>
      </c>
      <c r="D659" s="36"/>
      <c r="E659" s="25"/>
      <c r="F659" s="25"/>
      <c r="G659" s="25"/>
      <c r="H659" s="37">
        <v>200</v>
      </c>
      <c r="I659" s="38">
        <v>100</v>
      </c>
      <c r="J659" s="38">
        <v>200</v>
      </c>
      <c r="K659" s="38">
        <v>150</v>
      </c>
      <c r="L659" s="38">
        <v>0</v>
      </c>
      <c r="M659" s="40">
        <v>0</v>
      </c>
      <c r="N659" s="40">
        <v>0</v>
      </c>
      <c r="O659" s="40">
        <v>0</v>
      </c>
      <c r="P659" s="41">
        <v>0</v>
      </c>
      <c r="Q659" s="38">
        <v>0</v>
      </c>
      <c r="R659" s="38">
        <v>0</v>
      </c>
      <c r="S659" s="33"/>
      <c r="T659" s="38">
        <v>0</v>
      </c>
      <c r="U659" s="38">
        <v>0</v>
      </c>
      <c r="V659" s="38">
        <v>0</v>
      </c>
    </row>
    <row r="660" ht="136.5" customHeight="1">
      <c r="A660" t="s" s="103">
        <v>675</v>
      </c>
      <c r="B660" s="34">
        <f>SUM(C660,G660)</f>
        <v>18730</v>
      </c>
      <c r="C660" s="35">
        <f>SUM(H660,I660,J660,K660,L660,M660,N660,O660,P660,Q660,R660,S660,T660,U660,V660)</f>
        <v>18730</v>
      </c>
      <c r="D660" s="36"/>
      <c r="E660" s="25"/>
      <c r="F660" s="25"/>
      <c r="G660" s="25"/>
      <c r="H660" s="37">
        <v>15000</v>
      </c>
      <c r="I660" s="38">
        <v>0</v>
      </c>
      <c r="J660" s="38">
        <v>130</v>
      </c>
      <c r="K660" s="38">
        <v>3600</v>
      </c>
      <c r="L660" s="38">
        <v>0</v>
      </c>
      <c r="M660" s="40">
        <v>0</v>
      </c>
      <c r="N660" s="40">
        <v>0</v>
      </c>
      <c r="O660" s="40">
        <v>0</v>
      </c>
      <c r="P660" s="41">
        <v>0</v>
      </c>
      <c r="Q660" s="38">
        <v>0</v>
      </c>
      <c r="R660" s="38">
        <v>0</v>
      </c>
      <c r="S660" s="33"/>
      <c r="T660" s="38">
        <v>0</v>
      </c>
      <c r="U660" s="38">
        <v>0</v>
      </c>
      <c r="V660" s="38">
        <v>0</v>
      </c>
    </row>
    <row r="661" ht="19.5" customHeight="1">
      <c r="A661" t="s" s="145">
        <v>676</v>
      </c>
      <c r="B661" s="42">
        <f>SUM(C661,G661)</f>
        <v>0</v>
      </c>
      <c r="C661" s="43">
        <f>SUM(H661,I661,J661,K661,L661,M661,N661,O661,P661,Q661,R661,S661,T661,U661,V661)</f>
        <v>0</v>
      </c>
      <c r="D661" s="44"/>
      <c r="E661" s="45"/>
      <c r="F661" s="45"/>
      <c r="G661" s="119"/>
      <c r="H661" s="120"/>
      <c r="I661" s="47"/>
      <c r="J661" s="47"/>
      <c r="K661" s="47"/>
      <c r="L661" s="47"/>
      <c r="M661" s="48">
        <v>0</v>
      </c>
      <c r="N661" s="49"/>
      <c r="O661" s="55">
        <v>0</v>
      </c>
      <c r="P661" s="45"/>
      <c r="Q661" s="51">
        <v>0</v>
      </c>
      <c r="R661" s="47"/>
      <c r="S661" s="45"/>
      <c r="T661" s="47"/>
      <c r="U661" s="47"/>
      <c r="V661" s="51">
        <v>0</v>
      </c>
    </row>
    <row r="662" ht="141.75" customHeight="1">
      <c r="A662" t="s" s="146">
        <v>677</v>
      </c>
      <c r="B662" s="42">
        <f>SUM(C662,G662)</f>
        <v>25</v>
      </c>
      <c r="C662" s="43">
        <f>SUM(H662,I662,J662,K662,L662,M662,N662,O662,P662,Q662,R662,S662,T662,U662,V662)</f>
        <v>25</v>
      </c>
      <c r="D662" s="44"/>
      <c r="E662" s="6"/>
      <c r="F662" s="6"/>
      <c r="G662" s="14"/>
      <c r="H662" s="121">
        <v>0</v>
      </c>
      <c r="I662" s="51">
        <v>0</v>
      </c>
      <c r="J662" s="51">
        <v>0</v>
      </c>
      <c r="K662" s="51">
        <v>0</v>
      </c>
      <c r="L662" s="51">
        <v>0</v>
      </c>
      <c r="M662" s="48">
        <v>0</v>
      </c>
      <c r="N662" s="48">
        <v>0</v>
      </c>
      <c r="O662" s="55">
        <v>0</v>
      </c>
      <c r="P662" s="53">
        <v>0</v>
      </c>
      <c r="Q662" s="51">
        <v>0</v>
      </c>
      <c r="R662" s="51">
        <v>0</v>
      </c>
      <c r="S662" s="6"/>
      <c r="T662" s="51">
        <v>0</v>
      </c>
      <c r="U662" s="51">
        <v>0</v>
      </c>
      <c r="V662" s="51">
        <v>25</v>
      </c>
    </row>
    <row r="663" ht="141.75" customHeight="1">
      <c r="A663" t="s" s="147">
        <v>678</v>
      </c>
      <c r="B663" s="42">
        <f>SUM(C663,G663)</f>
        <v>0</v>
      </c>
      <c r="C663" s="43">
        <f>SUM(H663,I663,J663,K663,L663,M663,N663,O663,P663,Q663,R663,S663,T663,U663,V663)</f>
        <v>0</v>
      </c>
      <c r="D663" s="44"/>
      <c r="E663" s="6"/>
      <c r="F663" s="6"/>
      <c r="G663" s="14"/>
      <c r="H663" s="121">
        <v>0</v>
      </c>
      <c r="I663" s="51">
        <v>0</v>
      </c>
      <c r="J663" s="51">
        <v>0</v>
      </c>
      <c r="K663" s="51">
        <v>0</v>
      </c>
      <c r="L663" s="51">
        <v>0</v>
      </c>
      <c r="M663" s="48">
        <v>0</v>
      </c>
      <c r="N663" s="48">
        <v>0</v>
      </c>
      <c r="O663" s="55">
        <v>0</v>
      </c>
      <c r="P663" s="53">
        <v>0</v>
      </c>
      <c r="Q663" s="51">
        <v>0</v>
      </c>
      <c r="R663" s="51">
        <v>0</v>
      </c>
      <c r="S663" s="6"/>
      <c r="T663" s="51">
        <v>0</v>
      </c>
      <c r="U663" s="51">
        <v>0</v>
      </c>
      <c r="V663" s="51">
        <v>0</v>
      </c>
    </row>
    <row r="664" ht="16.6" customHeight="1">
      <c r="A664" t="s" s="148">
        <v>679</v>
      </c>
      <c r="B664" s="42">
        <f>SUM(C664,G664)</f>
        <v>0</v>
      </c>
      <c r="C664" s="43">
        <f>SUM(H664,I664,J664,K664,L664,M664,N664,O664,P664,Q664,R664,S664,T664,U664,V664)</f>
        <v>0</v>
      </c>
      <c r="D664" s="149"/>
      <c r="E664" s="6"/>
      <c r="F664" s="6"/>
      <c r="G664" s="14"/>
      <c r="H664" s="121">
        <v>0</v>
      </c>
      <c r="I664" s="51">
        <v>0</v>
      </c>
      <c r="J664" s="51">
        <v>0</v>
      </c>
      <c r="K664" s="51">
        <v>0</v>
      </c>
      <c r="L664" s="51">
        <v>0</v>
      </c>
      <c r="M664" s="48">
        <v>0</v>
      </c>
      <c r="N664" s="48">
        <v>0</v>
      </c>
      <c r="O664" s="55">
        <v>0</v>
      </c>
      <c r="P664" s="53">
        <v>0</v>
      </c>
      <c r="Q664" s="51">
        <v>0</v>
      </c>
      <c r="R664" s="51">
        <v>0</v>
      </c>
      <c r="S664" s="6"/>
      <c r="T664" s="51">
        <v>0</v>
      </c>
      <c r="U664" s="51">
        <v>0</v>
      </c>
      <c r="V664" s="51">
        <v>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 defaultRowHeight="13" customHeight="1" outlineLevelRow="0" outlineLevelCol="0"/>
  <cols>
    <col min="1" max="5" width="10" style="150" customWidth="1"/>
    <col min="6" max="16384" width="10" style="150" customWidth="1"/>
  </cols>
  <sheetData>
    <row r="1" ht="16" customHeight="1">
      <c r="A1" s="151"/>
      <c r="B1" s="152"/>
      <c r="C1" s="152"/>
      <c r="D1" s="152"/>
      <c r="E1" s="153"/>
    </row>
    <row r="2" ht="16" customHeight="1">
      <c r="A2" s="154"/>
      <c r="B2" s="25"/>
      <c r="C2" s="25"/>
      <c r="D2" s="25"/>
      <c r="E2" s="155"/>
    </row>
    <row r="3" ht="16" customHeight="1">
      <c r="A3" s="154"/>
      <c r="B3" s="25"/>
      <c r="C3" s="25"/>
      <c r="D3" s="25"/>
      <c r="E3" s="155"/>
    </row>
    <row r="4" ht="16" customHeight="1">
      <c r="A4" s="154"/>
      <c r="B4" s="25"/>
      <c r="C4" s="25"/>
      <c r="D4" s="25"/>
      <c r="E4" s="155"/>
    </row>
    <row r="5" ht="16" customHeight="1">
      <c r="A5" s="154"/>
      <c r="B5" s="25"/>
      <c r="C5" s="25"/>
      <c r="D5" s="25"/>
      <c r="E5" s="155"/>
    </row>
    <row r="6" ht="16" customHeight="1">
      <c r="A6" s="154"/>
      <c r="B6" s="25"/>
      <c r="C6" s="25"/>
      <c r="D6" s="25"/>
      <c r="E6" s="155"/>
    </row>
    <row r="7" ht="16" customHeight="1">
      <c r="A7" s="154"/>
      <c r="B7" s="25"/>
      <c r="C7" s="25"/>
      <c r="D7" s="25"/>
      <c r="E7" s="155"/>
    </row>
    <row r="8" ht="16" customHeight="1">
      <c r="A8" s="154"/>
      <c r="B8" s="25"/>
      <c r="C8" s="25"/>
      <c r="D8" s="25"/>
      <c r="E8" s="155"/>
    </row>
    <row r="9" ht="16" customHeight="1">
      <c r="A9" s="154"/>
      <c r="B9" s="25"/>
      <c r="C9" s="25"/>
      <c r="D9" s="25"/>
      <c r="E9" s="155"/>
    </row>
    <row r="10" ht="16" customHeight="1">
      <c r="A10" s="156"/>
      <c r="B10" s="157"/>
      <c r="C10" s="157"/>
      <c r="D10" s="157"/>
      <c r="E10" s="15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 defaultRowHeight="13" customHeight="1" outlineLevelRow="0" outlineLevelCol="0"/>
  <cols>
    <col min="1" max="5" width="10" style="159" customWidth="1"/>
    <col min="6" max="16384" width="10" style="159" customWidth="1"/>
  </cols>
  <sheetData>
    <row r="1" ht="16" customHeight="1">
      <c r="A1" s="151"/>
      <c r="B1" s="152"/>
      <c r="C1" s="152"/>
      <c r="D1" s="152"/>
      <c r="E1" s="153"/>
    </row>
    <row r="2" ht="16" customHeight="1">
      <c r="A2" s="154"/>
      <c r="B2" s="25"/>
      <c r="C2" s="25"/>
      <c r="D2" s="25"/>
      <c r="E2" s="155"/>
    </row>
    <row r="3" ht="16" customHeight="1">
      <c r="A3" s="154"/>
      <c r="B3" s="25"/>
      <c r="C3" s="25"/>
      <c r="D3" s="25"/>
      <c r="E3" s="155"/>
    </row>
    <row r="4" ht="16" customHeight="1">
      <c r="A4" s="154"/>
      <c r="B4" s="25"/>
      <c r="C4" s="25"/>
      <c r="D4" s="25"/>
      <c r="E4" s="155"/>
    </row>
    <row r="5" ht="16" customHeight="1">
      <c r="A5" s="154"/>
      <c r="B5" s="25"/>
      <c r="C5" s="25"/>
      <c r="D5" s="25"/>
      <c r="E5" s="155"/>
    </row>
    <row r="6" ht="16" customHeight="1">
      <c r="A6" s="154"/>
      <c r="B6" s="25"/>
      <c r="C6" s="25"/>
      <c r="D6" s="25"/>
      <c r="E6" s="155"/>
    </row>
    <row r="7" ht="16" customHeight="1">
      <c r="A7" s="154"/>
      <c r="B7" s="25"/>
      <c r="C7" s="25"/>
      <c r="D7" s="25"/>
      <c r="E7" s="155"/>
    </row>
    <row r="8" ht="16" customHeight="1">
      <c r="A8" s="154"/>
      <c r="B8" s="25"/>
      <c r="C8" s="25"/>
      <c r="D8" s="25"/>
      <c r="E8" s="155"/>
    </row>
    <row r="9" ht="16" customHeight="1">
      <c r="A9" s="154"/>
      <c r="B9" s="25"/>
      <c r="C9" s="25"/>
      <c r="D9" s="25"/>
      <c r="E9" s="155"/>
    </row>
    <row r="10" ht="16" customHeight="1">
      <c r="A10" s="156"/>
      <c r="B10" s="157"/>
      <c r="C10" s="157"/>
      <c r="D10" s="157"/>
      <c r="E10" s="15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 defaultRowHeight="13" customHeight="1" outlineLevelRow="0" outlineLevelCol="0"/>
  <cols>
    <col min="1" max="5" width="10" style="160" customWidth="1"/>
    <col min="6" max="16384" width="10" style="160" customWidth="1"/>
  </cols>
  <sheetData>
    <row r="1" ht="16" customHeight="1">
      <c r="A1" s="151"/>
      <c r="B1" s="152"/>
      <c r="C1" s="152"/>
      <c r="D1" s="152"/>
      <c r="E1" s="153"/>
    </row>
    <row r="2" ht="16" customHeight="1">
      <c r="A2" s="154"/>
      <c r="B2" s="25"/>
      <c r="C2" s="25"/>
      <c r="D2" s="25"/>
      <c r="E2" s="155"/>
    </row>
    <row r="3" ht="16" customHeight="1">
      <c r="A3" s="154"/>
      <c r="B3" s="25"/>
      <c r="C3" s="25"/>
      <c r="D3" s="25"/>
      <c r="E3" s="155"/>
    </row>
    <row r="4" ht="16" customHeight="1">
      <c r="A4" s="154"/>
      <c r="B4" s="25"/>
      <c r="C4" s="25"/>
      <c r="D4" s="25"/>
      <c r="E4" s="155"/>
    </row>
    <row r="5" ht="16" customHeight="1">
      <c r="A5" s="154"/>
      <c r="B5" s="25"/>
      <c r="C5" s="25"/>
      <c r="D5" s="25"/>
      <c r="E5" s="155"/>
    </row>
    <row r="6" ht="16" customHeight="1">
      <c r="A6" s="154"/>
      <c r="B6" s="25"/>
      <c r="C6" s="25"/>
      <c r="D6" s="25"/>
      <c r="E6" s="155"/>
    </row>
    <row r="7" ht="16" customHeight="1">
      <c r="A7" s="154"/>
      <c r="B7" s="25"/>
      <c r="C7" s="25"/>
      <c r="D7" s="25"/>
      <c r="E7" s="155"/>
    </row>
    <row r="8" ht="16" customHeight="1">
      <c r="A8" s="154"/>
      <c r="B8" s="25"/>
      <c r="C8" s="25"/>
      <c r="D8" s="25"/>
      <c r="E8" s="155"/>
    </row>
    <row r="9" ht="16" customHeight="1">
      <c r="A9" s="154"/>
      <c r="B9" s="25"/>
      <c r="C9" s="25"/>
      <c r="D9" s="25"/>
      <c r="E9" s="155"/>
    </row>
    <row r="10" ht="16" customHeight="1">
      <c r="A10" s="156"/>
      <c r="B10" s="157"/>
      <c r="C10" s="157"/>
      <c r="D10" s="157"/>
      <c r="E10" s="15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 defaultRowHeight="13" customHeight="1" outlineLevelRow="0" outlineLevelCol="0"/>
  <cols>
    <col min="1" max="5" width="10" style="161" customWidth="1"/>
    <col min="6" max="16384" width="10" style="161" customWidth="1"/>
  </cols>
  <sheetData>
    <row r="1" ht="16" customHeight="1">
      <c r="A1" s="151"/>
      <c r="B1" s="152"/>
      <c r="C1" s="152"/>
      <c r="D1" s="152"/>
      <c r="E1" s="153"/>
    </row>
    <row r="2" ht="16" customHeight="1">
      <c r="A2" s="154"/>
      <c r="B2" s="25"/>
      <c r="C2" s="25"/>
      <c r="D2" s="25"/>
      <c r="E2" s="155"/>
    </row>
    <row r="3" ht="16" customHeight="1">
      <c r="A3" s="154"/>
      <c r="B3" s="25"/>
      <c r="C3" s="25"/>
      <c r="D3" s="25"/>
      <c r="E3" s="155"/>
    </row>
    <row r="4" ht="16" customHeight="1">
      <c r="A4" s="154"/>
      <c r="B4" s="25"/>
      <c r="C4" s="25"/>
      <c r="D4" s="25"/>
      <c r="E4" s="155"/>
    </row>
    <row r="5" ht="16" customHeight="1">
      <c r="A5" s="154"/>
      <c r="B5" s="25"/>
      <c r="C5" s="25"/>
      <c r="D5" s="25"/>
      <c r="E5" s="155"/>
    </row>
    <row r="6" ht="16" customHeight="1">
      <c r="A6" s="154"/>
      <c r="B6" s="25"/>
      <c r="C6" s="25"/>
      <c r="D6" s="25"/>
      <c r="E6" s="155"/>
    </row>
    <row r="7" ht="16" customHeight="1">
      <c r="A7" s="154"/>
      <c r="B7" s="25"/>
      <c r="C7" s="25"/>
      <c r="D7" s="25"/>
      <c r="E7" s="155"/>
    </row>
    <row r="8" ht="16" customHeight="1">
      <c r="A8" s="154"/>
      <c r="B8" s="25"/>
      <c r="C8" s="25"/>
      <c r="D8" s="25"/>
      <c r="E8" s="155"/>
    </row>
    <row r="9" ht="16" customHeight="1">
      <c r="A9" s="154"/>
      <c r="B9" s="25"/>
      <c r="C9" s="25"/>
      <c r="D9" s="25"/>
      <c r="E9" s="155"/>
    </row>
    <row r="10" ht="16" customHeight="1">
      <c r="A10" s="156"/>
      <c r="B10" s="157"/>
      <c r="C10" s="157"/>
      <c r="D10" s="157"/>
      <c r="E10" s="15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 defaultRowHeight="13" customHeight="1" outlineLevelRow="0" outlineLevelCol="0"/>
  <cols>
    <col min="1" max="5" width="10" style="162" customWidth="1"/>
    <col min="6" max="16384" width="10" style="162" customWidth="1"/>
  </cols>
  <sheetData>
    <row r="1" ht="16" customHeight="1">
      <c r="A1" s="151"/>
      <c r="B1" s="152"/>
      <c r="C1" s="152"/>
      <c r="D1" s="152"/>
      <c r="E1" s="153"/>
    </row>
    <row r="2" ht="16" customHeight="1">
      <c r="A2" s="154"/>
      <c r="B2" s="25"/>
      <c r="C2" s="25"/>
      <c r="D2" s="25"/>
      <c r="E2" s="155"/>
    </row>
    <row r="3" ht="16" customHeight="1">
      <c r="A3" s="154"/>
      <c r="B3" s="25"/>
      <c r="C3" s="25"/>
      <c r="D3" s="25"/>
      <c r="E3" s="155"/>
    </row>
    <row r="4" ht="16" customHeight="1">
      <c r="A4" s="154"/>
      <c r="B4" s="25"/>
      <c r="C4" s="25"/>
      <c r="D4" s="25"/>
      <c r="E4" s="155"/>
    </row>
    <row r="5" ht="16" customHeight="1">
      <c r="A5" s="154"/>
      <c r="B5" s="25"/>
      <c r="C5" s="25"/>
      <c r="D5" s="25"/>
      <c r="E5" s="155"/>
    </row>
    <row r="6" ht="16" customHeight="1">
      <c r="A6" s="154"/>
      <c r="B6" s="25"/>
      <c r="C6" s="25"/>
      <c r="D6" s="25"/>
      <c r="E6" s="155"/>
    </row>
    <row r="7" ht="16" customHeight="1">
      <c r="A7" s="154"/>
      <c r="B7" s="25"/>
      <c r="C7" s="25"/>
      <c r="D7" s="25"/>
      <c r="E7" s="155"/>
    </row>
    <row r="8" ht="16" customHeight="1">
      <c r="A8" s="154"/>
      <c r="B8" s="25"/>
      <c r="C8" s="25"/>
      <c r="D8" s="25"/>
      <c r="E8" s="155"/>
    </row>
    <row r="9" ht="16" customHeight="1">
      <c r="A9" s="154"/>
      <c r="B9" s="25"/>
      <c r="C9" s="25"/>
      <c r="D9" s="25"/>
      <c r="E9" s="155"/>
    </row>
    <row r="10" ht="16" customHeight="1">
      <c r="A10" s="156"/>
      <c r="B10" s="157"/>
      <c r="C10" s="157"/>
      <c r="D10" s="157"/>
      <c r="E10" s="15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AS666"/>
  <sheetViews>
    <sheetView workbookViewId="0" showGridLines="0" defaultGridColor="1"/>
  </sheetViews>
  <sheetFormatPr defaultColWidth="8.83333" defaultRowHeight="15.75" customHeight="1" outlineLevelRow="0" outlineLevelCol="0"/>
  <cols>
    <col min="1" max="1" width="15.6719" style="163" customWidth="1"/>
    <col min="2" max="2" width="39.1719" style="163" customWidth="1"/>
    <col min="3" max="4" width="15" style="163" customWidth="1"/>
    <col min="5" max="5" width="22" style="163" customWidth="1"/>
    <col min="6" max="6" width="13.5" style="163" customWidth="1"/>
    <col min="7" max="7" width="12.3516" style="163" customWidth="1"/>
    <col min="8" max="8" width="16.3516" style="163" customWidth="1"/>
    <col min="9" max="9" width="20" style="163" customWidth="1"/>
    <col min="10" max="13" hidden="1" width="8.83333" style="163" customWidth="1"/>
    <col min="14" max="14" width="8.85156" style="163" customWidth="1"/>
    <col min="15" max="15" width="1.35156" style="163" customWidth="1"/>
    <col min="16" max="16" width="13.8516" style="163" customWidth="1"/>
    <col min="17" max="17" width="17.8516" style="163" customWidth="1"/>
    <col min="18" max="18" width="9" style="163" customWidth="1"/>
    <col min="19" max="19" width="10.6719" style="163" customWidth="1"/>
    <col min="20" max="21" width="9.17188" style="163" customWidth="1"/>
    <col min="22" max="29" width="18.5" style="163" customWidth="1"/>
    <col min="30" max="30" width="21.1719" style="163" customWidth="1"/>
    <col min="31" max="35" width="18.5" style="163" customWidth="1"/>
    <col min="36" max="39" width="15.6719" style="163" customWidth="1"/>
    <col min="40" max="41" width="12.8516" style="163" customWidth="1"/>
    <col min="42" max="43" width="15.6719" style="163" customWidth="1"/>
    <col min="44" max="45" width="18.5" style="163" customWidth="1"/>
    <col min="46" max="16384" width="8.85156" style="163" customWidth="1"/>
  </cols>
  <sheetData>
    <row r="1" ht="53.25" customHeight="1">
      <c r="A1" t="s" s="2">
        <v>680</v>
      </c>
      <c r="B1" s="164"/>
      <c r="C1" s="164"/>
      <c r="D1" s="164"/>
      <c r="E1" s="164"/>
      <c r="F1" s="164"/>
      <c r="G1" t="s" s="165">
        <v>681</v>
      </c>
      <c r="H1" t="s" s="166">
        <v>682</v>
      </c>
      <c r="I1" t="s" s="167">
        <v>683</v>
      </c>
      <c r="J1" s="168"/>
      <c r="K1" s="169"/>
      <c r="L1" s="6"/>
      <c r="M1" s="6"/>
      <c r="N1" t="s" s="7">
        <v>684</v>
      </c>
      <c r="O1" s="170"/>
      <c r="P1" t="s" s="8">
        <v>685</v>
      </c>
      <c r="Q1" s="170"/>
      <c r="R1" t="s" s="9">
        <v>686</v>
      </c>
      <c r="S1" s="15"/>
      <c r="T1" t="s" s="8">
        <v>687</v>
      </c>
      <c r="U1" s="170"/>
      <c r="V1" t="s" s="8">
        <v>688</v>
      </c>
      <c r="W1" s="170"/>
      <c r="X1" t="s" s="8">
        <v>689</v>
      </c>
      <c r="Y1" s="170"/>
      <c r="Z1" t="s" s="8">
        <v>690</v>
      </c>
      <c r="AA1" s="170"/>
      <c r="AB1" t="s" s="8">
        <v>691</v>
      </c>
      <c r="AC1" s="170"/>
      <c r="AD1" t="s" s="8">
        <v>692</v>
      </c>
      <c r="AE1" s="170"/>
      <c r="AF1" t="s" s="8">
        <v>693</v>
      </c>
      <c r="AG1" s="170"/>
      <c r="AH1" t="s" s="8">
        <v>694</v>
      </c>
      <c r="AI1" s="170"/>
      <c r="AJ1" t="s" s="8">
        <v>695</v>
      </c>
      <c r="AK1" s="170"/>
      <c r="AL1" t="s" s="8">
        <v>696</v>
      </c>
      <c r="AM1" s="170"/>
      <c r="AN1" t="s" s="8">
        <v>697</v>
      </c>
      <c r="AO1" s="170"/>
      <c r="AP1" t="s" s="8">
        <v>698</v>
      </c>
      <c r="AQ1" s="170"/>
      <c r="AR1" t="s" s="8">
        <v>699</v>
      </c>
      <c r="AS1" s="170"/>
    </row>
    <row r="2" ht="22.5" customHeight="1">
      <c r="A2" t="s" s="171">
        <v>700</v>
      </c>
      <c r="B2" t="s" s="171">
        <v>701</v>
      </c>
      <c r="C2" t="s" s="171">
        <v>702</v>
      </c>
      <c r="D2" t="s" s="172">
        <v>703</v>
      </c>
      <c r="E2" t="s" s="171">
        <v>704</v>
      </c>
      <c r="F2" t="s" s="171">
        <v>705</v>
      </c>
      <c r="G2" s="173"/>
      <c r="H2" s="174"/>
      <c r="I2" s="175"/>
      <c r="J2" s="176"/>
      <c r="K2" s="44"/>
      <c r="L2" s="6"/>
      <c r="M2" s="6"/>
      <c r="N2" t="s" s="177">
        <v>706</v>
      </c>
      <c r="O2" t="s" s="9">
        <v>707</v>
      </c>
      <c r="P2" t="s" s="178">
        <v>706</v>
      </c>
      <c r="Q2" t="s" s="178">
        <v>707</v>
      </c>
      <c r="R2" t="s" s="178">
        <v>706</v>
      </c>
      <c r="S2" t="s" s="178">
        <v>707</v>
      </c>
      <c r="T2" t="s" s="178">
        <v>706</v>
      </c>
      <c r="U2" t="s" s="178">
        <v>707</v>
      </c>
      <c r="V2" t="s" s="178">
        <v>706</v>
      </c>
      <c r="W2" t="s" s="178">
        <v>707</v>
      </c>
      <c r="X2" t="s" s="178">
        <v>706</v>
      </c>
      <c r="Y2" t="s" s="178">
        <v>707</v>
      </c>
      <c r="Z2" t="s" s="178">
        <v>706</v>
      </c>
      <c r="AA2" t="s" s="178">
        <v>707</v>
      </c>
      <c r="AB2" t="s" s="178">
        <v>706</v>
      </c>
      <c r="AC2" t="s" s="178">
        <v>707</v>
      </c>
      <c r="AD2" t="s" s="178">
        <v>706</v>
      </c>
      <c r="AE2" t="s" s="178">
        <v>707</v>
      </c>
      <c r="AF2" t="s" s="9">
        <v>706</v>
      </c>
      <c r="AG2" t="s" s="9">
        <v>707</v>
      </c>
      <c r="AH2" t="s" s="178">
        <v>706</v>
      </c>
      <c r="AI2" t="s" s="178">
        <v>707</v>
      </c>
      <c r="AJ2" t="s" s="178">
        <v>706</v>
      </c>
      <c r="AK2" t="s" s="178">
        <v>707</v>
      </c>
      <c r="AL2" t="s" s="9">
        <v>706</v>
      </c>
      <c r="AM2" t="s" s="9">
        <v>707</v>
      </c>
      <c r="AN2" t="s" s="178">
        <v>706</v>
      </c>
      <c r="AO2" t="s" s="178">
        <v>707</v>
      </c>
      <c r="AP2" t="s" s="178">
        <v>706</v>
      </c>
      <c r="AQ2" t="s" s="178">
        <v>707</v>
      </c>
      <c r="AR2" t="s" s="178">
        <v>706</v>
      </c>
      <c r="AS2" t="s" s="178">
        <v>707</v>
      </c>
    </row>
    <row r="3" ht="19.5" customHeight="1" hidden="1">
      <c r="A3" s="179">
        <v>1</v>
      </c>
      <c r="B3" t="s" s="10">
        <v>18</v>
      </c>
      <c r="C3" t="s" s="103">
        <v>708</v>
      </c>
      <c r="D3" s="180"/>
      <c r="E3" s="181"/>
      <c r="F3" s="182">
        <v>0</v>
      </c>
      <c r="G3" s="183"/>
      <c r="H3" s="11"/>
      <c r="I3" s="184"/>
      <c r="J3" s="12"/>
      <c r="K3" s="185"/>
      <c r="L3" s="6"/>
      <c r="M3" s="6"/>
      <c r="N3" s="14"/>
      <c r="O3" s="15"/>
      <c r="P3" s="186"/>
      <c r="Q3" s="186"/>
      <c r="R3" s="186"/>
      <c r="S3" s="186"/>
      <c r="T3" s="186"/>
      <c r="U3" s="186"/>
      <c r="V3" s="186"/>
      <c r="W3" s="186"/>
      <c r="X3" s="186"/>
      <c r="Y3" s="186"/>
      <c r="Z3" s="186"/>
      <c r="AA3" s="186"/>
      <c r="AB3" s="186"/>
      <c r="AC3" s="186"/>
      <c r="AD3" s="186"/>
      <c r="AE3" s="186"/>
      <c r="AF3" s="15"/>
      <c r="AG3" s="15"/>
      <c r="AH3" s="186"/>
      <c r="AI3" s="186"/>
      <c r="AJ3" s="186"/>
      <c r="AK3" s="186"/>
      <c r="AL3" s="15"/>
      <c r="AM3" s="15"/>
      <c r="AN3" s="186"/>
      <c r="AO3" s="186"/>
      <c r="AP3" s="186"/>
      <c r="AQ3" s="186"/>
      <c r="AR3" s="186"/>
      <c r="AS3" s="186"/>
    </row>
    <row r="4" ht="19.5" customHeight="1" hidden="1">
      <c r="A4" t="s" s="187">
        <v>709</v>
      </c>
      <c r="B4" t="s" s="16">
        <v>19</v>
      </c>
      <c r="C4" s="188"/>
      <c r="D4" s="188"/>
      <c r="E4" s="189"/>
      <c r="F4" s="182">
        <v>0</v>
      </c>
      <c r="G4" s="183"/>
      <c r="H4" s="11"/>
      <c r="I4" s="184"/>
      <c r="J4" s="12"/>
      <c r="K4" s="185"/>
      <c r="L4" s="6"/>
      <c r="M4" s="6"/>
      <c r="N4" s="14"/>
      <c r="O4" s="15"/>
      <c r="P4" s="186"/>
      <c r="Q4" s="186"/>
      <c r="R4" s="186"/>
      <c r="S4" s="186"/>
      <c r="T4" s="186"/>
      <c r="U4" s="186"/>
      <c r="V4" s="186"/>
      <c r="W4" s="186"/>
      <c r="X4" s="186"/>
      <c r="Y4" s="186"/>
      <c r="Z4" s="186"/>
      <c r="AA4" s="186"/>
      <c r="AB4" s="186"/>
      <c r="AC4" s="186"/>
      <c r="AD4" s="186"/>
      <c r="AE4" s="186"/>
      <c r="AF4" s="15"/>
      <c r="AG4" s="15"/>
      <c r="AH4" s="186"/>
      <c r="AI4" s="186"/>
      <c r="AJ4" s="186"/>
      <c r="AK4" s="186"/>
      <c r="AL4" s="15"/>
      <c r="AM4" s="15"/>
      <c r="AN4" s="186"/>
      <c r="AO4" s="186"/>
      <c r="AP4" s="186"/>
      <c r="AQ4" s="186"/>
      <c r="AR4" s="186"/>
      <c r="AS4" s="186"/>
    </row>
    <row r="5" ht="19.5" customHeight="1" hidden="1">
      <c r="A5" t="s" s="187">
        <v>710</v>
      </c>
      <c r="B5" t="s" s="16">
        <v>20</v>
      </c>
      <c r="C5" s="188"/>
      <c r="D5" s="188"/>
      <c r="E5" s="189"/>
      <c r="F5" s="182">
        <v>0</v>
      </c>
      <c r="G5" s="183"/>
      <c r="H5" s="11"/>
      <c r="I5" s="184"/>
      <c r="J5" s="12"/>
      <c r="K5" s="185"/>
      <c r="L5" s="6"/>
      <c r="M5" s="6"/>
      <c r="N5" s="14"/>
      <c r="O5" s="15"/>
      <c r="P5" s="186"/>
      <c r="Q5" s="186"/>
      <c r="R5" s="186"/>
      <c r="S5" s="186"/>
      <c r="T5" s="186"/>
      <c r="U5" s="186"/>
      <c r="V5" s="186"/>
      <c r="W5" s="186"/>
      <c r="X5" s="186"/>
      <c r="Y5" s="186"/>
      <c r="Z5" s="186"/>
      <c r="AA5" s="186"/>
      <c r="AB5" s="186"/>
      <c r="AC5" s="186"/>
      <c r="AD5" s="186"/>
      <c r="AE5" s="186"/>
      <c r="AF5" s="15"/>
      <c r="AG5" s="15"/>
      <c r="AH5" s="186"/>
      <c r="AI5" s="186"/>
      <c r="AJ5" s="186"/>
      <c r="AK5" s="186"/>
      <c r="AL5" s="15"/>
      <c r="AM5" s="15"/>
      <c r="AN5" s="186"/>
      <c r="AO5" s="186"/>
      <c r="AP5" s="186"/>
      <c r="AQ5" s="186"/>
      <c r="AR5" s="186"/>
      <c r="AS5" s="186"/>
    </row>
    <row r="6" ht="19.5" customHeight="1" hidden="1">
      <c r="A6" t="s" s="59">
        <v>711</v>
      </c>
      <c r="B6" t="s" s="21">
        <v>21</v>
      </c>
      <c r="C6" t="s" s="59">
        <v>712</v>
      </c>
      <c r="D6" t="s" s="190">
        <v>713</v>
      </c>
      <c r="E6" s="191"/>
      <c r="F6" t="s" s="192">
        <v>714</v>
      </c>
      <c r="G6" s="193"/>
      <c r="H6" s="194">
        <f>SUM(J6,N6)</f>
        <v>1500</v>
      </c>
      <c r="I6" s="195">
        <f>SUM(Q6,S6,U6,W6,Y6,AA6,AC6,AE6,AG6,AI6,AK6,AM6,AO6,AQ6,AS6)</f>
        <v>400</v>
      </c>
      <c r="J6" s="23">
        <f>SUM(P6,R6,T6,V6,X6,Z6,AB6,AD6,AF6,AH6,AJ6,AL6,AN6,AP6,AR6)</f>
        <v>1500</v>
      </c>
      <c r="K6" s="36"/>
      <c r="L6" s="196"/>
      <c r="M6" s="196"/>
      <c r="N6" s="196"/>
      <c r="O6" s="197"/>
      <c r="P6" s="27">
        <v>1000</v>
      </c>
      <c r="Q6" s="27">
        <v>400</v>
      </c>
      <c r="R6" s="28">
        <v>0</v>
      </c>
      <c r="S6" s="28">
        <v>0</v>
      </c>
      <c r="T6" s="28">
        <v>300</v>
      </c>
      <c r="U6" s="28">
        <v>0</v>
      </c>
      <c r="V6" s="29">
        <v>200</v>
      </c>
      <c r="W6" s="28">
        <v>0</v>
      </c>
      <c r="X6" s="28">
        <v>0</v>
      </c>
      <c r="Y6" s="28">
        <v>0</v>
      </c>
      <c r="Z6" s="30">
        <v>0</v>
      </c>
      <c r="AA6" s="30">
        <v>0</v>
      </c>
      <c r="AB6" s="30">
        <v>0</v>
      </c>
      <c r="AC6" s="30">
        <v>0</v>
      </c>
      <c r="AD6" s="30">
        <v>0</v>
      </c>
      <c r="AE6" s="30">
        <v>0</v>
      </c>
      <c r="AF6" s="198">
        <v>0</v>
      </c>
      <c r="AG6" s="199">
        <v>0</v>
      </c>
      <c r="AH6" s="200">
        <v>0</v>
      </c>
      <c r="AI6" s="201">
        <v>0</v>
      </c>
      <c r="AJ6" s="28">
        <v>0</v>
      </c>
      <c r="AK6" s="28">
        <v>0</v>
      </c>
      <c r="AL6" s="202"/>
      <c r="AM6" s="197"/>
      <c r="AN6" s="28">
        <v>0</v>
      </c>
      <c r="AO6" s="28">
        <v>0</v>
      </c>
      <c r="AP6" s="28">
        <v>0</v>
      </c>
      <c r="AQ6" s="87"/>
      <c r="AR6" s="28">
        <v>0</v>
      </c>
      <c r="AS6" s="28">
        <v>0</v>
      </c>
    </row>
    <row r="7" ht="34.5" customHeight="1" hidden="1">
      <c r="A7" t="s" s="103">
        <v>715</v>
      </c>
      <c r="B7" t="s" s="10">
        <v>22</v>
      </c>
      <c r="C7" t="s" s="103">
        <v>716</v>
      </c>
      <c r="D7" t="s" s="66">
        <v>717</v>
      </c>
      <c r="E7" s="181"/>
      <c r="F7" t="s" s="101">
        <v>714</v>
      </c>
      <c r="G7" s="203"/>
      <c r="H7" s="204">
        <f>SUM(J7,N7)</f>
        <v>1170</v>
      </c>
      <c r="I7" s="205">
        <f>SUM(Q7,S7,U7,W7,Y7,AA7,AC7,AE7,AG7,AI7,AK7,AM7,AO7,AQ7,AS7)</f>
        <v>381</v>
      </c>
      <c r="J7" s="35">
        <f>SUM(P7,R7,T7,V7,X7,Z7,AB7,AD7,AF7,AH7,AJ7,AL7,AN7,AP7,AR7)</f>
        <v>1150</v>
      </c>
      <c r="K7" s="36"/>
      <c r="L7" s="196"/>
      <c r="M7" s="196"/>
      <c r="N7" s="199">
        <v>20</v>
      </c>
      <c r="O7" s="206">
        <v>0</v>
      </c>
      <c r="P7" s="27">
        <v>1000</v>
      </c>
      <c r="Q7" s="27">
        <v>266</v>
      </c>
      <c r="R7" s="38">
        <v>10</v>
      </c>
      <c r="S7" s="38">
        <v>0</v>
      </c>
      <c r="T7" s="38">
        <v>40</v>
      </c>
      <c r="U7" s="38">
        <v>25</v>
      </c>
      <c r="V7" s="39">
        <v>100</v>
      </c>
      <c r="W7" s="38">
        <v>90</v>
      </c>
      <c r="X7" s="38">
        <v>0</v>
      </c>
      <c r="Y7" s="38">
        <v>0</v>
      </c>
      <c r="Z7" s="40">
        <v>0</v>
      </c>
      <c r="AA7" s="40">
        <v>0</v>
      </c>
      <c r="AB7" s="40">
        <v>0</v>
      </c>
      <c r="AC7" s="40">
        <v>0</v>
      </c>
      <c r="AD7" s="40">
        <v>0</v>
      </c>
      <c r="AE7" s="40">
        <v>0</v>
      </c>
      <c r="AF7" s="198">
        <v>0</v>
      </c>
      <c r="AG7" s="206">
        <v>0</v>
      </c>
      <c r="AH7" s="38">
        <v>0</v>
      </c>
      <c r="AI7" s="38">
        <v>0</v>
      </c>
      <c r="AJ7" s="38">
        <v>0</v>
      </c>
      <c r="AK7" s="38">
        <v>0</v>
      </c>
      <c r="AL7" s="202"/>
      <c r="AM7" s="197"/>
      <c r="AN7" s="38">
        <v>0</v>
      </c>
      <c r="AO7" s="38">
        <v>0</v>
      </c>
      <c r="AP7" s="38">
        <v>0</v>
      </c>
      <c r="AQ7" s="80"/>
      <c r="AR7" s="38">
        <v>0</v>
      </c>
      <c r="AS7" s="38">
        <v>0</v>
      </c>
    </row>
    <row r="8" ht="19.5" customHeight="1" hidden="1">
      <c r="A8" t="s" s="187">
        <v>718</v>
      </c>
      <c r="B8" t="s" s="16">
        <v>23</v>
      </c>
      <c r="C8" s="188"/>
      <c r="D8" s="188"/>
      <c r="E8" s="189"/>
      <c r="F8" s="182">
        <v>0</v>
      </c>
      <c r="G8" s="183"/>
      <c r="H8" s="42">
        <f>SUM(J8,N8)</f>
        <v>0</v>
      </c>
      <c r="I8" s="207">
        <f>SUM(Q8,S8,U8,W8,Y8,AA8,AC8,AE8,AG8,AI8,AK8,AM8,AO8,AQ8,AS8)</f>
        <v>0</v>
      </c>
      <c r="J8" s="43">
        <f>SUM(P8,R8,T8,V8,X8,Z8,AB8,AD8,AF8,AH8,AJ8,AL8,AN8,AP8,AR8)</f>
        <v>0</v>
      </c>
      <c r="K8" s="44"/>
      <c r="L8" s="6"/>
      <c r="M8" s="6"/>
      <c r="N8" s="14"/>
      <c r="O8" s="122"/>
      <c r="P8" s="46"/>
      <c r="Q8" s="46"/>
      <c r="R8" s="47"/>
      <c r="S8" s="47"/>
      <c r="T8" s="47"/>
      <c r="U8" s="47"/>
      <c r="V8" s="47"/>
      <c r="W8" s="47"/>
      <c r="X8" s="47"/>
      <c r="Y8" s="47"/>
      <c r="Z8" s="48">
        <v>0</v>
      </c>
      <c r="AA8" s="48">
        <v>0</v>
      </c>
      <c r="AB8" s="49"/>
      <c r="AC8" s="49"/>
      <c r="AD8" s="50"/>
      <c r="AE8" s="50"/>
      <c r="AF8" s="14"/>
      <c r="AG8" s="122"/>
      <c r="AH8" s="51">
        <v>0</v>
      </c>
      <c r="AI8" s="51">
        <v>0</v>
      </c>
      <c r="AJ8" s="47"/>
      <c r="AK8" s="47"/>
      <c r="AL8" s="14"/>
      <c r="AM8" s="122"/>
      <c r="AN8" s="47"/>
      <c r="AO8" s="47"/>
      <c r="AP8" s="47"/>
      <c r="AQ8" s="47"/>
      <c r="AR8" s="51">
        <v>0</v>
      </c>
      <c r="AS8" s="51">
        <v>0</v>
      </c>
    </row>
    <row r="9" ht="47.25" customHeight="1" hidden="1">
      <c r="A9" s="208"/>
      <c r="B9" t="s" s="52">
        <v>24</v>
      </c>
      <c r="C9" t="s" s="130">
        <v>716</v>
      </c>
      <c r="D9" t="s" s="209">
        <v>717</v>
      </c>
      <c r="E9" s="189"/>
      <c r="F9" t="s" s="210">
        <v>714</v>
      </c>
      <c r="G9" s="211"/>
      <c r="H9" s="42">
        <f>SUM(J9,N9)</f>
        <v>57806</v>
      </c>
      <c r="I9" s="207">
        <f>SUM(Q9,S9,U9,W9,Y9,AA9,AC9,AE9,AG9,AI9,AK9,AM9,AO9,AQ9,AS9)</f>
        <v>47801</v>
      </c>
      <c r="J9" s="43">
        <f>SUM(P9,R9,T9,V9,X9,Z9,AB9,AD9,AF9,AH9,AJ9,AL9,AN9,AP9,AR9)</f>
        <v>56806</v>
      </c>
      <c r="K9" s="44"/>
      <c r="L9" s="6"/>
      <c r="M9" s="6"/>
      <c r="N9" s="212">
        <v>1000</v>
      </c>
      <c r="O9" s="122"/>
      <c r="P9" s="27">
        <v>28000</v>
      </c>
      <c r="Q9" s="27">
        <v>23315</v>
      </c>
      <c r="R9" s="51">
        <v>1600</v>
      </c>
      <c r="S9" s="51">
        <v>1424</v>
      </c>
      <c r="T9" s="51">
        <v>15000</v>
      </c>
      <c r="U9" s="51">
        <v>12979</v>
      </c>
      <c r="V9" s="54">
        <v>4000</v>
      </c>
      <c r="W9" s="51">
        <v>4636</v>
      </c>
      <c r="X9" s="51">
        <v>1650</v>
      </c>
      <c r="Y9" s="51">
        <v>1500</v>
      </c>
      <c r="Z9" s="48">
        <v>1300</v>
      </c>
      <c r="AA9" s="48">
        <v>750</v>
      </c>
      <c r="AB9" s="48">
        <v>1461</v>
      </c>
      <c r="AC9" s="48">
        <v>934</v>
      </c>
      <c r="AD9" s="55">
        <v>1050</v>
      </c>
      <c r="AE9" s="213">
        <v>623</v>
      </c>
      <c r="AF9" s="212">
        <v>1500</v>
      </c>
      <c r="AG9" s="121">
        <v>1120</v>
      </c>
      <c r="AH9" s="51">
        <v>1245</v>
      </c>
      <c r="AI9" s="51">
        <v>520</v>
      </c>
      <c r="AJ9" s="51">
        <v>0</v>
      </c>
      <c r="AK9" s="51">
        <v>0</v>
      </c>
      <c r="AL9" s="14"/>
      <c r="AM9" s="122"/>
      <c r="AN9" s="51">
        <v>0</v>
      </c>
      <c r="AO9" s="51">
        <v>0</v>
      </c>
      <c r="AP9" s="51">
        <v>0</v>
      </c>
      <c r="AQ9" s="47"/>
      <c r="AR9" s="51">
        <v>0</v>
      </c>
      <c r="AS9" s="51">
        <v>0</v>
      </c>
    </row>
    <row r="10" ht="31.5" customHeight="1" hidden="1">
      <c r="A10" t="s" s="130">
        <v>719</v>
      </c>
      <c r="B10" t="s" s="52">
        <v>25</v>
      </c>
      <c r="C10" t="s" s="130">
        <v>712</v>
      </c>
      <c r="D10" t="s" s="209">
        <v>713</v>
      </c>
      <c r="E10" s="189"/>
      <c r="F10" t="s" s="210">
        <v>720</v>
      </c>
      <c r="G10" s="211"/>
      <c r="H10" s="42">
        <f>SUM(J10,N10)</f>
        <v>73630</v>
      </c>
      <c r="I10" s="207">
        <f>SUM(Q10,S10,U10,W10,Y10,AA10,AC10,AE10,AG10,AI10,AK10,AM10,AO10,AQ10,AS10)</f>
        <v>61780</v>
      </c>
      <c r="J10" s="43">
        <f>SUM(P10,R10,T10,V10,X10,Z10,AB10,AD10,AF10,AH10,AJ10,AL10,AN10,AP10,AR10)</f>
        <v>73630</v>
      </c>
      <c r="K10" s="44"/>
      <c r="L10" s="6"/>
      <c r="M10" s="6"/>
      <c r="N10" s="14"/>
      <c r="O10" s="122"/>
      <c r="P10" s="27">
        <v>4000</v>
      </c>
      <c r="Q10" s="27">
        <v>8300</v>
      </c>
      <c r="R10" s="51">
        <v>0</v>
      </c>
      <c r="S10" s="51">
        <v>0</v>
      </c>
      <c r="T10" s="51">
        <v>3000</v>
      </c>
      <c r="U10" s="51">
        <v>2000</v>
      </c>
      <c r="V10" s="51">
        <v>300</v>
      </c>
      <c r="W10" s="51">
        <v>900</v>
      </c>
      <c r="X10" s="51">
        <v>4000</v>
      </c>
      <c r="Y10" s="51">
        <v>5370</v>
      </c>
      <c r="Z10" s="48">
        <v>10600</v>
      </c>
      <c r="AA10" s="48">
        <v>8200</v>
      </c>
      <c r="AB10" s="48">
        <v>18450</v>
      </c>
      <c r="AC10" s="48">
        <v>13640</v>
      </c>
      <c r="AD10" s="55">
        <v>12750</v>
      </c>
      <c r="AE10" s="213">
        <v>8290</v>
      </c>
      <c r="AF10" s="212">
        <v>7500</v>
      </c>
      <c r="AG10" s="121">
        <v>6400</v>
      </c>
      <c r="AH10" s="51">
        <v>13030</v>
      </c>
      <c r="AI10" s="51">
        <v>8680</v>
      </c>
      <c r="AJ10" s="51">
        <v>0</v>
      </c>
      <c r="AK10" s="51">
        <v>0</v>
      </c>
      <c r="AL10" s="14"/>
      <c r="AM10" s="122"/>
      <c r="AN10" s="51">
        <v>0</v>
      </c>
      <c r="AO10" s="51">
        <v>0</v>
      </c>
      <c r="AP10" s="51">
        <v>0</v>
      </c>
      <c r="AQ10" s="47"/>
      <c r="AR10" s="51">
        <v>0</v>
      </c>
      <c r="AS10" s="51">
        <v>0</v>
      </c>
    </row>
    <row r="11" ht="31.5" customHeight="1" hidden="1">
      <c r="A11" t="s" s="130">
        <v>721</v>
      </c>
      <c r="B11" t="s" s="52">
        <v>26</v>
      </c>
      <c r="C11" t="s" s="130">
        <v>712</v>
      </c>
      <c r="D11" t="s" s="209">
        <v>713</v>
      </c>
      <c r="E11" s="189"/>
      <c r="F11" t="s" s="210">
        <v>714</v>
      </c>
      <c r="G11" s="211"/>
      <c r="H11" s="42">
        <f>SUM(J11,N11)</f>
        <v>6250</v>
      </c>
      <c r="I11" s="207">
        <f>SUM(Q11,S11,U11,W11,Y11,AA11,AC11,AE11,AG11,AI11,AK11,AM11,AO11,AQ11,AS11)</f>
        <v>1660</v>
      </c>
      <c r="J11" s="43">
        <f>SUM(P11,R11,T11,V11,X11,Z11,AB11,AD11,AF11,AH11,AJ11,AL11,AN11,AP11,AR11)</f>
        <v>6250</v>
      </c>
      <c r="K11" s="44"/>
      <c r="L11" s="6"/>
      <c r="M11" s="6"/>
      <c r="N11" s="14"/>
      <c r="O11" s="122"/>
      <c r="P11" s="27">
        <v>200</v>
      </c>
      <c r="Q11" s="27">
        <v>600</v>
      </c>
      <c r="R11" s="51">
        <v>0</v>
      </c>
      <c r="S11" s="51">
        <v>0</v>
      </c>
      <c r="T11" s="51">
        <v>1600</v>
      </c>
      <c r="U11" s="51">
        <v>660</v>
      </c>
      <c r="V11" s="54">
        <v>400</v>
      </c>
      <c r="W11" s="51">
        <v>400</v>
      </c>
      <c r="X11" s="51">
        <v>0</v>
      </c>
      <c r="Y11" s="51">
        <v>0</v>
      </c>
      <c r="Z11" s="48">
        <v>0</v>
      </c>
      <c r="AA11" s="48">
        <v>0</v>
      </c>
      <c r="AB11" s="48">
        <v>1850</v>
      </c>
      <c r="AC11" s="48">
        <v>0</v>
      </c>
      <c r="AD11" s="55">
        <v>0</v>
      </c>
      <c r="AE11" s="213">
        <v>0</v>
      </c>
      <c r="AF11" s="212">
        <v>1000</v>
      </c>
      <c r="AG11" s="121">
        <v>0</v>
      </c>
      <c r="AH11" s="51">
        <v>0</v>
      </c>
      <c r="AI11" s="51">
        <v>0</v>
      </c>
      <c r="AJ11" s="51">
        <v>1200</v>
      </c>
      <c r="AK11" s="51">
        <v>0</v>
      </c>
      <c r="AL11" s="14"/>
      <c r="AM11" s="122"/>
      <c r="AN11" s="51">
        <v>0</v>
      </c>
      <c r="AO11" s="51">
        <v>0</v>
      </c>
      <c r="AP11" s="51">
        <v>0</v>
      </c>
      <c r="AQ11" s="47"/>
      <c r="AR11" s="51">
        <v>0</v>
      </c>
      <c r="AS11" s="51">
        <v>0</v>
      </c>
    </row>
    <row r="12" ht="19.5" customHeight="1" hidden="1">
      <c r="A12" t="s" s="214">
        <v>722</v>
      </c>
      <c r="B12" t="s" s="21">
        <v>27</v>
      </c>
      <c r="C12" t="s" s="59">
        <v>712</v>
      </c>
      <c r="D12" t="s" s="190">
        <v>713</v>
      </c>
      <c r="E12" s="191"/>
      <c r="F12" t="s" s="192">
        <v>714</v>
      </c>
      <c r="G12" s="193"/>
      <c r="H12" s="194">
        <f>SUM(J12,N12)</f>
        <v>9500</v>
      </c>
      <c r="I12" s="195">
        <f>SUM(Q12,S12,U12,W12,Y12,AA12,AC12,AE12,AG12,AI12,AK12,AM12,AO12,AQ12,AS12)</f>
        <v>3700</v>
      </c>
      <c r="J12" s="23">
        <f>SUM(P12,R12,T12,V12,X12,Z12,AB12,AD12,AF12,AH12,AJ12,AL12,AN12,AP12,AR12)</f>
        <v>9500</v>
      </c>
      <c r="K12" s="36"/>
      <c r="L12" s="196"/>
      <c r="M12" s="196"/>
      <c r="N12" s="196"/>
      <c r="O12" s="197"/>
      <c r="P12" s="27">
        <v>6000</v>
      </c>
      <c r="Q12" s="27">
        <v>3000</v>
      </c>
      <c r="R12" s="28">
        <v>0</v>
      </c>
      <c r="S12" s="28">
        <v>0</v>
      </c>
      <c r="T12" s="28">
        <v>2000</v>
      </c>
      <c r="U12" s="28">
        <v>700</v>
      </c>
      <c r="V12" s="29">
        <v>500</v>
      </c>
      <c r="W12" s="28">
        <v>0</v>
      </c>
      <c r="X12" s="28">
        <v>0</v>
      </c>
      <c r="Y12" s="28">
        <v>0</v>
      </c>
      <c r="Z12" s="30">
        <v>0</v>
      </c>
      <c r="AA12" s="30">
        <v>0</v>
      </c>
      <c r="AB12" s="30">
        <v>0</v>
      </c>
      <c r="AC12" s="30">
        <v>0</v>
      </c>
      <c r="AD12" s="30">
        <v>0</v>
      </c>
      <c r="AE12" s="30">
        <v>0</v>
      </c>
      <c r="AF12" s="198">
        <v>0</v>
      </c>
      <c r="AG12" s="206">
        <v>0</v>
      </c>
      <c r="AH12" s="28">
        <v>0</v>
      </c>
      <c r="AI12" s="28">
        <v>0</v>
      </c>
      <c r="AJ12" s="28">
        <v>1000</v>
      </c>
      <c r="AK12" s="28">
        <v>0</v>
      </c>
      <c r="AL12" s="202"/>
      <c r="AM12" s="197"/>
      <c r="AN12" s="28">
        <v>0</v>
      </c>
      <c r="AO12" s="28">
        <v>0</v>
      </c>
      <c r="AP12" s="28">
        <v>0</v>
      </c>
      <c r="AQ12" s="87"/>
      <c r="AR12" s="28">
        <v>0</v>
      </c>
      <c r="AS12" s="28">
        <v>0</v>
      </c>
    </row>
    <row r="13" ht="31.5" customHeight="1" hidden="1">
      <c r="A13" t="s" s="187">
        <v>723</v>
      </c>
      <c r="B13" t="s" s="16">
        <v>28</v>
      </c>
      <c r="C13" s="188"/>
      <c r="D13" s="188"/>
      <c r="E13" s="189"/>
      <c r="F13" s="182">
        <v>0</v>
      </c>
      <c r="G13" s="183"/>
      <c r="H13" s="42">
        <f>SUM(J13,N13)</f>
        <v>0</v>
      </c>
      <c r="I13" s="207">
        <f>SUM(Q13,S13,U13,W13,Y13,AA13,AC13,AE13,AG13,AI13,AK13,AM13,AO13,AQ13,AS13)</f>
        <v>0</v>
      </c>
      <c r="J13" s="43">
        <f>SUM(P13,R13,T13,V13,X13,Z13,AB13,AD13,AF13,AH13,AJ13,AL13,AN13,AP13,AR13)</f>
        <v>0</v>
      </c>
      <c r="K13" s="44"/>
      <c r="L13" s="6"/>
      <c r="M13" s="6"/>
      <c r="N13" s="14"/>
      <c r="O13" s="122"/>
      <c r="P13" s="46"/>
      <c r="Q13" s="46"/>
      <c r="R13" s="47"/>
      <c r="S13" s="47"/>
      <c r="T13" s="47"/>
      <c r="U13" s="47"/>
      <c r="V13" s="47"/>
      <c r="W13" s="47"/>
      <c r="X13" s="47"/>
      <c r="Y13" s="47"/>
      <c r="Z13" s="48">
        <v>0</v>
      </c>
      <c r="AA13" s="48">
        <v>0</v>
      </c>
      <c r="AB13" s="49"/>
      <c r="AC13" s="49"/>
      <c r="AD13" s="50"/>
      <c r="AE13" s="50"/>
      <c r="AF13" s="14"/>
      <c r="AG13" s="122"/>
      <c r="AH13" s="51">
        <v>0</v>
      </c>
      <c r="AI13" s="51">
        <v>0</v>
      </c>
      <c r="AJ13" s="47"/>
      <c r="AK13" s="47"/>
      <c r="AL13" s="14"/>
      <c r="AM13" s="122"/>
      <c r="AN13" s="47"/>
      <c r="AO13" s="47"/>
      <c r="AP13" s="47"/>
      <c r="AQ13" s="47"/>
      <c r="AR13" s="51">
        <v>0</v>
      </c>
      <c r="AS13" s="51">
        <v>0</v>
      </c>
    </row>
    <row r="14" ht="19.5" customHeight="1" hidden="1">
      <c r="A14" t="s" s="59">
        <v>724</v>
      </c>
      <c r="B14" t="s" s="21">
        <v>29</v>
      </c>
      <c r="C14" t="s" s="59">
        <v>712</v>
      </c>
      <c r="D14" t="s" s="190">
        <v>713</v>
      </c>
      <c r="E14" s="215">
        <v>976</v>
      </c>
      <c r="F14" t="s" s="192">
        <v>714</v>
      </c>
      <c r="G14" s="193"/>
      <c r="H14" s="194">
        <f>SUM(J14,N14)</f>
        <v>7100</v>
      </c>
      <c r="I14" s="195">
        <f>SUM(Q14,S14,U14,W14,Y14,AA14,AC14,AE14,AG14,AI14,AK14,AM14,AO14,AQ14,AS14)</f>
        <v>5320</v>
      </c>
      <c r="J14" s="23">
        <f>SUM(P14,R14,T14,V14,X14,Z14,AB14,AD14,AF14,AH14,AJ14,AL14,AN14,AP14,AR14)</f>
        <v>7100</v>
      </c>
      <c r="K14" s="36"/>
      <c r="L14" s="196"/>
      <c r="M14" s="196"/>
      <c r="N14" s="196"/>
      <c r="O14" s="197"/>
      <c r="P14" s="27">
        <v>2000</v>
      </c>
      <c r="Q14" s="27">
        <v>2720</v>
      </c>
      <c r="R14" s="28">
        <v>0</v>
      </c>
      <c r="S14" s="28">
        <v>0</v>
      </c>
      <c r="T14" s="28">
        <v>3000</v>
      </c>
      <c r="U14" s="28">
        <v>0</v>
      </c>
      <c r="V14" s="28">
        <v>2000</v>
      </c>
      <c r="W14" s="28">
        <v>2600</v>
      </c>
      <c r="X14" s="28">
        <v>100</v>
      </c>
      <c r="Y14" s="28">
        <v>0</v>
      </c>
      <c r="Z14" s="30">
        <v>0</v>
      </c>
      <c r="AA14" s="30">
        <v>0</v>
      </c>
      <c r="AB14" s="30">
        <v>0</v>
      </c>
      <c r="AC14" s="30">
        <v>0</v>
      </c>
      <c r="AD14" s="30">
        <v>0</v>
      </c>
      <c r="AE14" s="30">
        <v>0</v>
      </c>
      <c r="AF14" s="198">
        <v>0</v>
      </c>
      <c r="AG14" s="206">
        <v>0</v>
      </c>
      <c r="AH14" s="28">
        <v>0</v>
      </c>
      <c r="AI14" s="28">
        <v>0</v>
      </c>
      <c r="AJ14" s="28">
        <v>0</v>
      </c>
      <c r="AK14" s="28">
        <v>0</v>
      </c>
      <c r="AL14" s="202"/>
      <c r="AM14" s="197"/>
      <c r="AN14" s="28">
        <v>0</v>
      </c>
      <c r="AO14" s="28">
        <v>0</v>
      </c>
      <c r="AP14" s="28">
        <v>0</v>
      </c>
      <c r="AQ14" s="87"/>
      <c r="AR14" s="28">
        <v>0</v>
      </c>
      <c r="AS14" s="28">
        <v>0</v>
      </c>
    </row>
    <row r="15" ht="58.5" customHeight="1" hidden="1">
      <c r="A15" t="s" s="59">
        <v>725</v>
      </c>
      <c r="B15" t="s" s="21">
        <v>30</v>
      </c>
      <c r="C15" t="s" s="59">
        <v>716</v>
      </c>
      <c r="D15" t="s" s="190">
        <v>717</v>
      </c>
      <c r="E15" t="s" s="216">
        <v>726</v>
      </c>
      <c r="F15" t="s" s="192">
        <v>714</v>
      </c>
      <c r="G15" s="193"/>
      <c r="H15" s="194">
        <f>SUM(J15,N15)</f>
        <v>310</v>
      </c>
      <c r="I15" s="195">
        <f>SUM(Q15,S15,U15,W15,Y15,AA15,AC15,AE15,AG15,AI15,AK15,AM15,AO15,AQ15,AS15)</f>
        <v>0</v>
      </c>
      <c r="J15" s="23">
        <f>SUM(P15,R15,T15,V15,X15,Z15,AB15,AD15,AF15,AH15,AJ15,AL15,AN15,AP15,AR15)</f>
        <v>310</v>
      </c>
      <c r="K15" s="36"/>
      <c r="L15" s="196"/>
      <c r="M15" s="196"/>
      <c r="N15" s="196"/>
      <c r="O15" s="197"/>
      <c r="P15" s="27">
        <v>50</v>
      </c>
      <c r="Q15" s="27">
        <v>0</v>
      </c>
      <c r="R15" s="28">
        <v>10</v>
      </c>
      <c r="S15" s="28">
        <v>0</v>
      </c>
      <c r="T15" s="28">
        <v>50</v>
      </c>
      <c r="U15" s="28">
        <v>0</v>
      </c>
      <c r="V15" s="28">
        <v>200</v>
      </c>
      <c r="W15" s="28">
        <v>0</v>
      </c>
      <c r="X15" s="28">
        <v>0</v>
      </c>
      <c r="Y15" s="28">
        <v>0</v>
      </c>
      <c r="Z15" s="30">
        <v>0</v>
      </c>
      <c r="AA15" s="30">
        <v>0</v>
      </c>
      <c r="AB15" s="30">
        <v>0</v>
      </c>
      <c r="AC15" s="30">
        <v>0</v>
      </c>
      <c r="AD15" s="30">
        <v>0</v>
      </c>
      <c r="AE15" s="30">
        <v>0</v>
      </c>
      <c r="AF15" s="198">
        <v>0</v>
      </c>
      <c r="AG15" s="206">
        <v>0</v>
      </c>
      <c r="AH15" s="28">
        <v>0</v>
      </c>
      <c r="AI15" s="28">
        <v>0</v>
      </c>
      <c r="AJ15" s="28">
        <v>0</v>
      </c>
      <c r="AK15" s="28">
        <v>0</v>
      </c>
      <c r="AL15" s="202"/>
      <c r="AM15" s="197"/>
      <c r="AN15" s="28">
        <v>0</v>
      </c>
      <c r="AO15" s="28">
        <v>0</v>
      </c>
      <c r="AP15" s="28">
        <v>0</v>
      </c>
      <c r="AQ15" s="87"/>
      <c r="AR15" s="28">
        <v>0</v>
      </c>
      <c r="AS15" s="28">
        <v>0</v>
      </c>
    </row>
    <row r="16" ht="39" customHeight="1" hidden="1">
      <c r="A16" t="s" s="130">
        <v>727</v>
      </c>
      <c r="B16" t="s" s="52">
        <v>31</v>
      </c>
      <c r="C16" t="s" s="130">
        <v>712</v>
      </c>
      <c r="D16" t="s" s="209">
        <v>713</v>
      </c>
      <c r="E16" t="s" s="217">
        <v>728</v>
      </c>
      <c r="F16" t="s" s="210">
        <v>720</v>
      </c>
      <c r="G16" s="211"/>
      <c r="H16" s="42">
        <f>SUM(J16,N16)</f>
        <v>5700</v>
      </c>
      <c r="I16" s="207">
        <f>SUM(Q16,S16,U16,W16,Y16,AA16,AC16,AE16,AG16,AI16,AK16,AM16,AO16,AQ16,AS16)</f>
        <v>2800</v>
      </c>
      <c r="J16" s="43">
        <f>SUM(P16,R16,T16,V16,X16,Z16,AB16,AD16,AF16,AH16,AJ16,AL16,AN16,AP16,AR16)</f>
        <v>5700</v>
      </c>
      <c r="K16" s="44"/>
      <c r="L16" s="6"/>
      <c r="M16" s="6"/>
      <c r="N16" s="14"/>
      <c r="O16" s="122"/>
      <c r="P16" s="27">
        <v>500</v>
      </c>
      <c r="Q16" s="27">
        <v>600</v>
      </c>
      <c r="R16" s="51">
        <v>0</v>
      </c>
      <c r="S16" s="51">
        <v>0</v>
      </c>
      <c r="T16" s="51">
        <v>3000</v>
      </c>
      <c r="U16" s="51">
        <v>2200</v>
      </c>
      <c r="V16" s="51">
        <v>1000</v>
      </c>
      <c r="W16" s="51">
        <v>0</v>
      </c>
      <c r="X16" s="51">
        <v>0</v>
      </c>
      <c r="Y16" s="51">
        <v>0</v>
      </c>
      <c r="Z16" s="48">
        <v>0</v>
      </c>
      <c r="AA16" s="48">
        <v>0</v>
      </c>
      <c r="AB16" s="48">
        <v>0</v>
      </c>
      <c r="AC16" s="48">
        <v>0</v>
      </c>
      <c r="AD16" s="55">
        <v>0</v>
      </c>
      <c r="AE16" s="213">
        <v>0</v>
      </c>
      <c r="AF16" s="212">
        <v>0</v>
      </c>
      <c r="AG16" s="121">
        <v>0</v>
      </c>
      <c r="AH16" s="51">
        <v>0</v>
      </c>
      <c r="AI16" s="51">
        <v>0</v>
      </c>
      <c r="AJ16" s="51">
        <v>1200</v>
      </c>
      <c r="AK16" s="51">
        <v>0</v>
      </c>
      <c r="AL16" s="14"/>
      <c r="AM16" s="122"/>
      <c r="AN16" s="51">
        <v>0</v>
      </c>
      <c r="AO16" s="51">
        <v>0</v>
      </c>
      <c r="AP16" s="51">
        <v>0</v>
      </c>
      <c r="AQ16" s="47"/>
      <c r="AR16" s="51">
        <v>0</v>
      </c>
      <c r="AS16" s="51">
        <v>0</v>
      </c>
    </row>
    <row r="17" ht="409.5" customHeight="1" hidden="1">
      <c r="A17" t="s" s="218">
        <v>729</v>
      </c>
      <c r="B17" t="s" s="10">
        <v>32</v>
      </c>
      <c r="C17" t="s" s="103">
        <v>730</v>
      </c>
      <c r="D17" t="s" s="66">
        <v>717</v>
      </c>
      <c r="E17" t="s" s="219">
        <v>731</v>
      </c>
      <c r="F17" t="s" s="101">
        <v>714</v>
      </c>
      <c r="G17" s="203"/>
      <c r="H17" s="204">
        <f>SUM(J17,N17)</f>
        <v>1330</v>
      </c>
      <c r="I17" s="205">
        <f>SUM(Q17,S17,U17,W17,Y17,AA17,AC17,AE17,AG17,AI17,AK17,AM17,AO17,AQ17,AS17)</f>
        <v>0</v>
      </c>
      <c r="J17" s="35">
        <f>SUM(P17,R17,T17,V17,X17,Z17,AB17,AD17,AF17,AH17,AJ17,AL17,AN17,AP17,AR17)</f>
        <v>1330</v>
      </c>
      <c r="K17" s="36"/>
      <c r="L17" s="196"/>
      <c r="M17" s="196"/>
      <c r="N17" s="196"/>
      <c r="O17" s="197"/>
      <c r="P17" s="27">
        <v>1000</v>
      </c>
      <c r="Q17" s="27">
        <v>0</v>
      </c>
      <c r="R17" s="38">
        <v>100</v>
      </c>
      <c r="S17" s="38">
        <v>0</v>
      </c>
      <c r="T17" s="38">
        <v>120</v>
      </c>
      <c r="U17" s="38">
        <v>0</v>
      </c>
      <c r="V17" s="38">
        <v>100</v>
      </c>
      <c r="W17" s="38">
        <v>0</v>
      </c>
      <c r="X17" s="38">
        <v>10</v>
      </c>
      <c r="Y17" s="38">
        <v>0</v>
      </c>
      <c r="Z17" s="40">
        <v>0</v>
      </c>
      <c r="AA17" s="40">
        <v>0</v>
      </c>
      <c r="AB17" s="40">
        <v>0</v>
      </c>
      <c r="AC17" s="40">
        <v>0</v>
      </c>
      <c r="AD17" s="40">
        <v>0</v>
      </c>
      <c r="AE17" s="40">
        <v>0</v>
      </c>
      <c r="AF17" s="198">
        <v>0</v>
      </c>
      <c r="AG17" s="206">
        <v>0</v>
      </c>
      <c r="AH17" s="38">
        <v>0</v>
      </c>
      <c r="AI17" s="38">
        <v>0</v>
      </c>
      <c r="AJ17" s="38">
        <v>0</v>
      </c>
      <c r="AK17" s="38">
        <v>0</v>
      </c>
      <c r="AL17" s="202"/>
      <c r="AM17" s="197"/>
      <c r="AN17" s="38">
        <v>0</v>
      </c>
      <c r="AO17" s="38">
        <v>0</v>
      </c>
      <c r="AP17" s="38">
        <v>0</v>
      </c>
      <c r="AQ17" s="80"/>
      <c r="AR17" s="38">
        <v>0</v>
      </c>
      <c r="AS17" s="38">
        <v>0</v>
      </c>
    </row>
    <row r="18" ht="39" customHeight="1" hidden="1">
      <c r="A18" t="s" s="130">
        <v>732</v>
      </c>
      <c r="B18" t="s" s="52">
        <v>33</v>
      </c>
      <c r="C18" t="s" s="130">
        <v>716</v>
      </c>
      <c r="D18" t="s" s="209">
        <v>717</v>
      </c>
      <c r="E18" t="s" s="217">
        <v>733</v>
      </c>
      <c r="F18" t="s" s="210">
        <v>714</v>
      </c>
      <c r="G18" s="211"/>
      <c r="H18" s="42">
        <f>SUM(J18,N18)</f>
        <v>1760</v>
      </c>
      <c r="I18" s="207">
        <f>SUM(Q18,S18,U18,W18,Y18,AA18,AC18,AE18,AG18,AI18,AK18,AM18,AO18,AQ18,AS18)</f>
        <v>645</v>
      </c>
      <c r="J18" s="43">
        <f>SUM(P18,R18,T18,V18,X18,Z18,AB18,AD18,AF18,AH18,AJ18,AL18,AN18,AP18,AR18)</f>
        <v>1760</v>
      </c>
      <c r="K18" s="44"/>
      <c r="L18" s="6"/>
      <c r="M18" s="6"/>
      <c r="N18" s="14"/>
      <c r="O18" s="122"/>
      <c r="P18" s="27">
        <v>600</v>
      </c>
      <c r="Q18" s="27">
        <v>515</v>
      </c>
      <c r="R18" s="51">
        <v>100</v>
      </c>
      <c r="S18" s="51">
        <v>10</v>
      </c>
      <c r="T18" s="51">
        <v>50</v>
      </c>
      <c r="U18" s="51">
        <v>10</v>
      </c>
      <c r="V18" s="51">
        <v>1000</v>
      </c>
      <c r="W18" s="51">
        <v>110</v>
      </c>
      <c r="X18" s="51">
        <v>10</v>
      </c>
      <c r="Y18" s="51">
        <v>0</v>
      </c>
      <c r="Z18" s="48">
        <v>0</v>
      </c>
      <c r="AA18" s="48">
        <v>0</v>
      </c>
      <c r="AB18" s="48">
        <v>0</v>
      </c>
      <c r="AC18" s="48">
        <v>0</v>
      </c>
      <c r="AD18" s="55">
        <v>0</v>
      </c>
      <c r="AE18" s="213">
        <v>0</v>
      </c>
      <c r="AF18" s="212">
        <v>0</v>
      </c>
      <c r="AG18" s="121">
        <v>0</v>
      </c>
      <c r="AH18" s="51">
        <v>0</v>
      </c>
      <c r="AI18" s="51">
        <v>0</v>
      </c>
      <c r="AJ18" s="51">
        <v>0</v>
      </c>
      <c r="AK18" s="51">
        <v>0</v>
      </c>
      <c r="AL18" s="14"/>
      <c r="AM18" s="122"/>
      <c r="AN18" s="51">
        <v>0</v>
      </c>
      <c r="AO18" s="51">
        <v>0</v>
      </c>
      <c r="AP18" s="51">
        <v>0</v>
      </c>
      <c r="AQ18" s="47"/>
      <c r="AR18" s="51">
        <v>0</v>
      </c>
      <c r="AS18" s="51">
        <v>0</v>
      </c>
    </row>
    <row r="19" ht="78" customHeight="1" hidden="1">
      <c r="A19" t="s" s="220">
        <v>734</v>
      </c>
      <c r="B19" t="s" s="52">
        <v>34</v>
      </c>
      <c r="C19" t="s" s="130">
        <v>712</v>
      </c>
      <c r="D19" s="208"/>
      <c r="E19" t="s" s="217">
        <v>735</v>
      </c>
      <c r="F19" t="s" s="210">
        <v>714</v>
      </c>
      <c r="G19" s="211"/>
      <c r="H19" s="42">
        <f>SUM(J19,N19)</f>
        <v>22520</v>
      </c>
      <c r="I19" s="207">
        <f>SUM(Q19,S19,U19,W19,Y19,AA19,AC19,AE19,AG19,AI19,AK19,AM19,AO19,AQ19,AS19)</f>
        <v>18398</v>
      </c>
      <c r="J19" s="43">
        <f>SUM(P19,R19,T19,V19,X19,Z19,AB19,AD19,AF19,AH19,AJ19,AL19,AN19,AP19,AR19)</f>
        <v>22520</v>
      </c>
      <c r="K19" s="44"/>
      <c r="L19" s="6"/>
      <c r="M19" s="6"/>
      <c r="N19" s="14"/>
      <c r="O19" s="122"/>
      <c r="P19" s="27">
        <v>3000</v>
      </c>
      <c r="Q19" s="27">
        <v>8616</v>
      </c>
      <c r="R19" s="51">
        <v>0</v>
      </c>
      <c r="S19" s="51">
        <v>0</v>
      </c>
      <c r="T19" s="51">
        <v>3200</v>
      </c>
      <c r="U19" s="51">
        <v>2790</v>
      </c>
      <c r="V19" s="51">
        <v>2000</v>
      </c>
      <c r="W19" s="51">
        <v>2670</v>
      </c>
      <c r="X19" s="51">
        <v>100</v>
      </c>
      <c r="Y19" s="51">
        <v>106</v>
      </c>
      <c r="Z19" s="48">
        <v>1500</v>
      </c>
      <c r="AA19" s="48">
        <v>0</v>
      </c>
      <c r="AB19" s="48">
        <v>10450</v>
      </c>
      <c r="AC19" s="48">
        <v>3616</v>
      </c>
      <c r="AD19" s="55">
        <v>550</v>
      </c>
      <c r="AE19" s="213">
        <v>0</v>
      </c>
      <c r="AF19" s="212">
        <v>1000</v>
      </c>
      <c r="AG19" s="121">
        <v>0</v>
      </c>
      <c r="AH19" s="51">
        <v>0</v>
      </c>
      <c r="AI19" s="51">
        <v>0</v>
      </c>
      <c r="AJ19" s="51">
        <v>720</v>
      </c>
      <c r="AK19" s="51">
        <v>600</v>
      </c>
      <c r="AL19" s="14"/>
      <c r="AM19" s="122"/>
      <c r="AN19" s="51">
        <v>0</v>
      </c>
      <c r="AO19" s="51">
        <v>0</v>
      </c>
      <c r="AP19" s="51">
        <v>0</v>
      </c>
      <c r="AQ19" s="47"/>
      <c r="AR19" s="51">
        <v>0</v>
      </c>
      <c r="AS19" s="51">
        <v>0</v>
      </c>
    </row>
    <row r="20" ht="97.5" customHeight="1" hidden="1">
      <c r="A20" t="s" s="130">
        <v>736</v>
      </c>
      <c r="B20" t="s" s="52">
        <v>35</v>
      </c>
      <c r="C20" t="s" s="130">
        <v>712</v>
      </c>
      <c r="D20" s="208"/>
      <c r="E20" t="s" s="217">
        <v>737</v>
      </c>
      <c r="F20" t="s" s="210">
        <v>714</v>
      </c>
      <c r="G20" s="211"/>
      <c r="H20" s="42">
        <f>SUM(J20,N20)</f>
        <v>1100</v>
      </c>
      <c r="I20" s="207">
        <f>SUM(Q20,S20,U20,W20,Y20,AA20,AC20,AE20,AG20,AI20,AK20,AM20,AO20,AQ20,AS20)</f>
        <v>0</v>
      </c>
      <c r="J20" s="43">
        <f>SUM(P20,R20,T20,V20,X20,Z20,AB20,AD20,AF20,AH20,AJ20,AL20,AN20,AP20,AR20)</f>
        <v>1100</v>
      </c>
      <c r="K20" s="44"/>
      <c r="L20" s="6"/>
      <c r="M20" s="6"/>
      <c r="N20" s="14"/>
      <c r="O20" s="122"/>
      <c r="P20" s="27">
        <v>0</v>
      </c>
      <c r="Q20" s="27">
        <v>0</v>
      </c>
      <c r="R20" s="51">
        <v>0</v>
      </c>
      <c r="S20" s="51">
        <v>0</v>
      </c>
      <c r="T20" s="51">
        <v>800</v>
      </c>
      <c r="U20" s="51">
        <v>0</v>
      </c>
      <c r="V20" s="51">
        <v>200</v>
      </c>
      <c r="W20" s="51">
        <v>0</v>
      </c>
      <c r="X20" s="51">
        <v>100</v>
      </c>
      <c r="Y20" s="51">
        <v>0</v>
      </c>
      <c r="Z20" s="48">
        <v>0</v>
      </c>
      <c r="AA20" s="48">
        <v>0</v>
      </c>
      <c r="AB20" s="48">
        <v>0</v>
      </c>
      <c r="AC20" s="48">
        <v>0</v>
      </c>
      <c r="AD20" s="55">
        <v>0</v>
      </c>
      <c r="AE20" s="213">
        <v>0</v>
      </c>
      <c r="AF20" s="212">
        <v>0</v>
      </c>
      <c r="AG20" s="121">
        <v>0</v>
      </c>
      <c r="AH20" s="51">
        <v>0</v>
      </c>
      <c r="AI20" s="51">
        <v>0</v>
      </c>
      <c r="AJ20" s="51">
        <v>0</v>
      </c>
      <c r="AK20" s="51">
        <v>0</v>
      </c>
      <c r="AL20" s="14"/>
      <c r="AM20" s="122"/>
      <c r="AN20" s="51">
        <v>0</v>
      </c>
      <c r="AO20" s="51">
        <v>0</v>
      </c>
      <c r="AP20" s="51">
        <v>0</v>
      </c>
      <c r="AQ20" s="47"/>
      <c r="AR20" s="51">
        <v>0</v>
      </c>
      <c r="AS20" s="51">
        <v>0</v>
      </c>
    </row>
    <row r="21" ht="292.5" customHeight="1" hidden="1">
      <c r="A21" t="s" s="218">
        <v>738</v>
      </c>
      <c r="B21" t="s" s="57">
        <v>36</v>
      </c>
      <c r="C21" t="s" s="103">
        <v>712</v>
      </c>
      <c r="D21" t="s" s="66">
        <v>713</v>
      </c>
      <c r="E21" t="s" s="219">
        <v>739</v>
      </c>
      <c r="F21" t="s" s="101">
        <v>714</v>
      </c>
      <c r="G21" s="203"/>
      <c r="H21" s="204">
        <f>SUM(J21,N21)</f>
        <v>1200</v>
      </c>
      <c r="I21" s="205">
        <f>SUM(Q21,S21,U21,W21,Y21,AA21,AC21,AE21,AG21,AI21,AK21,AM21,AO21,AQ21,AS21)</f>
        <v>0</v>
      </c>
      <c r="J21" s="35">
        <f>SUM(P21,R21,T21,V21,X21,Z21,AB21,AD21,AF21,AH21,AJ21,AL21,AN21,AP21,AR21)</f>
        <v>1200</v>
      </c>
      <c r="K21" s="36"/>
      <c r="L21" s="196"/>
      <c r="M21" s="196"/>
      <c r="N21" s="196"/>
      <c r="O21" s="197"/>
      <c r="P21" s="27">
        <v>100</v>
      </c>
      <c r="Q21" s="27">
        <v>0</v>
      </c>
      <c r="R21" s="38">
        <v>0</v>
      </c>
      <c r="S21" s="38">
        <v>0</v>
      </c>
      <c r="T21" s="38">
        <v>1000</v>
      </c>
      <c r="U21" s="38">
        <v>0</v>
      </c>
      <c r="V21" s="38">
        <v>100</v>
      </c>
      <c r="W21" s="38">
        <v>0</v>
      </c>
      <c r="X21" s="38">
        <v>0</v>
      </c>
      <c r="Y21" s="38">
        <v>0</v>
      </c>
      <c r="Z21" s="40">
        <v>0</v>
      </c>
      <c r="AA21" s="40">
        <v>0</v>
      </c>
      <c r="AB21" s="40">
        <v>0</v>
      </c>
      <c r="AC21" s="40">
        <v>0</v>
      </c>
      <c r="AD21" s="40">
        <v>0</v>
      </c>
      <c r="AE21" s="40">
        <v>0</v>
      </c>
      <c r="AF21" s="198">
        <v>0</v>
      </c>
      <c r="AG21" s="206">
        <v>0</v>
      </c>
      <c r="AH21" s="38">
        <v>0</v>
      </c>
      <c r="AI21" s="38">
        <v>0</v>
      </c>
      <c r="AJ21" s="38">
        <v>0</v>
      </c>
      <c r="AK21" s="38">
        <v>0</v>
      </c>
      <c r="AL21" s="202"/>
      <c r="AM21" s="197"/>
      <c r="AN21" s="38">
        <v>0</v>
      </c>
      <c r="AO21" s="38">
        <v>0</v>
      </c>
      <c r="AP21" s="38">
        <v>0</v>
      </c>
      <c r="AQ21" s="80"/>
      <c r="AR21" s="38">
        <v>0</v>
      </c>
      <c r="AS21" s="38">
        <v>0</v>
      </c>
    </row>
    <row r="22" ht="19.5" customHeight="1" hidden="1">
      <c r="A22" t="s" s="187">
        <v>740</v>
      </c>
      <c r="B22" t="s" s="16">
        <v>37</v>
      </c>
      <c r="C22" s="188"/>
      <c r="D22" s="188"/>
      <c r="E22" s="189"/>
      <c r="F22" s="182">
        <v>0</v>
      </c>
      <c r="G22" s="183"/>
      <c r="H22" s="42">
        <f>SUM(J22,N22)</f>
        <v>0</v>
      </c>
      <c r="I22" s="207">
        <f>SUM(Q22,S22,U22,W22,Y22,AA22,AC22,AE22,AG22,AI22,AK22,AM22,AO22,AQ22,AS22)</f>
        <v>0</v>
      </c>
      <c r="J22" s="43">
        <f>SUM(P22,R22,T22,V22,X22,Z22,AB22,AD22,AF22,AH22,AJ22,AL22,AN22,AP22,AR22)</f>
        <v>0</v>
      </c>
      <c r="K22" s="44"/>
      <c r="L22" s="6"/>
      <c r="M22" s="6"/>
      <c r="N22" s="14"/>
      <c r="O22" s="122"/>
      <c r="P22" s="46"/>
      <c r="Q22" s="46"/>
      <c r="R22" s="47"/>
      <c r="S22" s="47"/>
      <c r="T22" s="47"/>
      <c r="U22" s="47"/>
      <c r="V22" s="47"/>
      <c r="W22" s="47"/>
      <c r="X22" s="47"/>
      <c r="Y22" s="47"/>
      <c r="Z22" s="48">
        <v>0</v>
      </c>
      <c r="AA22" s="48">
        <v>0</v>
      </c>
      <c r="AB22" s="49"/>
      <c r="AC22" s="49"/>
      <c r="AD22" s="50"/>
      <c r="AE22" s="50"/>
      <c r="AF22" s="14"/>
      <c r="AG22" s="122"/>
      <c r="AH22" s="51">
        <v>0</v>
      </c>
      <c r="AI22" s="51">
        <v>0</v>
      </c>
      <c r="AJ22" s="47"/>
      <c r="AK22" s="47"/>
      <c r="AL22" s="14"/>
      <c r="AM22" s="122"/>
      <c r="AN22" s="47"/>
      <c r="AO22" s="47"/>
      <c r="AP22" s="47"/>
      <c r="AQ22" s="47"/>
      <c r="AR22" s="51">
        <v>0</v>
      </c>
      <c r="AS22" s="51">
        <v>0</v>
      </c>
    </row>
    <row r="23" ht="31.5" customHeight="1" hidden="1">
      <c r="A23" t="s" s="130">
        <v>741</v>
      </c>
      <c r="B23" t="s" s="52">
        <v>38</v>
      </c>
      <c r="C23" t="s" s="130">
        <v>730</v>
      </c>
      <c r="D23" t="s" s="209">
        <v>717</v>
      </c>
      <c r="E23" s="189"/>
      <c r="F23" t="s" s="210">
        <v>714</v>
      </c>
      <c r="G23" s="211"/>
      <c r="H23" s="42">
        <f>SUM(J23,N23)</f>
        <v>600</v>
      </c>
      <c r="I23" s="207">
        <f>SUM(Q23,S23,U23,W23,Y23,AA23,AC23,AE23,AG23,AI23,AK23,AM23,AO23,AQ23,AS23)</f>
        <v>398</v>
      </c>
      <c r="J23" s="43">
        <f>SUM(P23,R23,T23,V23,X23,Z23,AB23,AD23,AF23,AH23,AJ23,AL23,AN23,AP23,AR23)</f>
        <v>580</v>
      </c>
      <c r="K23" s="44"/>
      <c r="L23" s="6"/>
      <c r="M23" s="6"/>
      <c r="N23" s="212">
        <v>20</v>
      </c>
      <c r="O23" s="122"/>
      <c r="P23" s="27">
        <v>400</v>
      </c>
      <c r="Q23" s="27">
        <v>280</v>
      </c>
      <c r="R23" s="51">
        <v>10</v>
      </c>
      <c r="S23" s="51">
        <v>0</v>
      </c>
      <c r="T23" s="51">
        <v>70</v>
      </c>
      <c r="U23" s="51">
        <v>58</v>
      </c>
      <c r="V23" s="51">
        <v>100</v>
      </c>
      <c r="W23" s="51">
        <v>60</v>
      </c>
      <c r="X23" s="51">
        <v>0</v>
      </c>
      <c r="Y23" s="51">
        <v>0</v>
      </c>
      <c r="Z23" s="48">
        <v>0</v>
      </c>
      <c r="AA23" s="48">
        <v>0</v>
      </c>
      <c r="AB23" s="48">
        <v>0</v>
      </c>
      <c r="AC23" s="48">
        <v>0</v>
      </c>
      <c r="AD23" s="55">
        <v>0</v>
      </c>
      <c r="AE23" s="213">
        <v>0</v>
      </c>
      <c r="AF23" s="212">
        <v>0</v>
      </c>
      <c r="AG23" s="121">
        <v>0</v>
      </c>
      <c r="AH23" s="51">
        <v>0</v>
      </c>
      <c r="AI23" s="51">
        <v>0</v>
      </c>
      <c r="AJ23" s="51">
        <v>0</v>
      </c>
      <c r="AK23" s="51">
        <v>0</v>
      </c>
      <c r="AL23" s="14"/>
      <c r="AM23" s="122"/>
      <c r="AN23" s="51">
        <v>0</v>
      </c>
      <c r="AO23" s="51">
        <v>0</v>
      </c>
      <c r="AP23" s="51">
        <v>0</v>
      </c>
      <c r="AQ23" s="47"/>
      <c r="AR23" s="51">
        <v>0</v>
      </c>
      <c r="AS23" s="51">
        <v>0</v>
      </c>
    </row>
    <row r="24" ht="39" customHeight="1" hidden="1">
      <c r="A24" t="s" s="130">
        <v>742</v>
      </c>
      <c r="B24" t="s" s="52">
        <v>39</v>
      </c>
      <c r="C24" t="s" s="130">
        <v>716</v>
      </c>
      <c r="D24" t="s" s="209">
        <v>717</v>
      </c>
      <c r="E24" t="s" s="217">
        <v>743</v>
      </c>
      <c r="F24" t="s" s="210">
        <v>714</v>
      </c>
      <c r="G24" s="211"/>
      <c r="H24" s="42">
        <f>SUM(J24,N24)</f>
        <v>4230</v>
      </c>
      <c r="I24" s="207">
        <f>SUM(Q24,S24,U24,W24,Y24,AA24,AC24,AE24,AG24,AI24,AK24,AM24,AO24,AQ24,AS24)</f>
        <v>2670</v>
      </c>
      <c r="J24" s="43">
        <f>SUM(P24,R24,T24,V24,X24,Z24,AB24,AD24,AF24,AH24,AJ24,AL24,AN24,AP24,AR24)</f>
        <v>4210</v>
      </c>
      <c r="K24" s="44"/>
      <c r="L24" s="6"/>
      <c r="M24" s="6"/>
      <c r="N24" s="212">
        <v>20</v>
      </c>
      <c r="O24" s="122"/>
      <c r="P24" s="27">
        <v>3000</v>
      </c>
      <c r="Q24" s="27">
        <v>2550</v>
      </c>
      <c r="R24" s="51">
        <v>10</v>
      </c>
      <c r="S24" s="51">
        <v>0</v>
      </c>
      <c r="T24" s="51">
        <v>1000</v>
      </c>
      <c r="U24" s="51">
        <v>0</v>
      </c>
      <c r="V24" s="51">
        <v>200</v>
      </c>
      <c r="W24" s="51">
        <v>120</v>
      </c>
      <c r="X24" s="51">
        <v>0</v>
      </c>
      <c r="Y24" s="51">
        <v>0</v>
      </c>
      <c r="Z24" s="48">
        <v>0</v>
      </c>
      <c r="AA24" s="48">
        <v>0</v>
      </c>
      <c r="AB24" s="48">
        <v>0</v>
      </c>
      <c r="AC24" s="48">
        <v>0</v>
      </c>
      <c r="AD24" s="55">
        <v>0</v>
      </c>
      <c r="AE24" s="213">
        <v>0</v>
      </c>
      <c r="AF24" s="212">
        <v>0</v>
      </c>
      <c r="AG24" s="121">
        <v>0</v>
      </c>
      <c r="AH24" s="51">
        <v>0</v>
      </c>
      <c r="AI24" s="51">
        <v>0</v>
      </c>
      <c r="AJ24" s="51">
        <v>0</v>
      </c>
      <c r="AK24" s="51">
        <v>0</v>
      </c>
      <c r="AL24" s="14"/>
      <c r="AM24" s="122"/>
      <c r="AN24" s="51">
        <v>0</v>
      </c>
      <c r="AO24" s="51">
        <v>0</v>
      </c>
      <c r="AP24" s="51">
        <v>0</v>
      </c>
      <c r="AQ24" s="47"/>
      <c r="AR24" s="51">
        <v>0</v>
      </c>
      <c r="AS24" s="51">
        <v>0</v>
      </c>
    </row>
    <row r="25" ht="31.5" customHeight="1" hidden="1">
      <c r="A25" t="s" s="130">
        <v>744</v>
      </c>
      <c r="B25" t="s" s="52">
        <v>40</v>
      </c>
      <c r="C25" t="s" s="130">
        <v>712</v>
      </c>
      <c r="D25" t="s" s="209">
        <v>713</v>
      </c>
      <c r="E25" s="189"/>
      <c r="F25" t="s" s="210">
        <v>714</v>
      </c>
      <c r="G25" s="211"/>
      <c r="H25" s="42">
        <f>SUM(J25,N25)</f>
        <v>1100</v>
      </c>
      <c r="I25" s="207">
        <f>SUM(Q25,S25,U25,W25,Y25,AA25,AC25,AE25,AG25,AI25,AK25,AM25,AO25,AQ25,AS25)</f>
        <v>100</v>
      </c>
      <c r="J25" s="43">
        <f>SUM(P25,R25,T25,V25,X25,Z25,AB25,AD25,AF25,AH25,AJ25,AL25,AN25,AP25,AR25)</f>
        <v>1100</v>
      </c>
      <c r="K25" s="44"/>
      <c r="L25" s="6"/>
      <c r="M25" s="6"/>
      <c r="N25" s="14"/>
      <c r="O25" s="122"/>
      <c r="P25" s="27">
        <v>500</v>
      </c>
      <c r="Q25" s="27">
        <v>100</v>
      </c>
      <c r="R25" s="51">
        <v>0</v>
      </c>
      <c r="S25" s="51">
        <v>0</v>
      </c>
      <c r="T25" s="51">
        <v>500</v>
      </c>
      <c r="U25" s="51">
        <v>0</v>
      </c>
      <c r="V25" s="51">
        <v>100</v>
      </c>
      <c r="W25" s="51">
        <v>0</v>
      </c>
      <c r="X25" s="51">
        <v>0</v>
      </c>
      <c r="Y25" s="51">
        <v>0</v>
      </c>
      <c r="Z25" s="48">
        <v>0</v>
      </c>
      <c r="AA25" s="48">
        <v>0</v>
      </c>
      <c r="AB25" s="48">
        <v>0</v>
      </c>
      <c r="AC25" s="48">
        <v>0</v>
      </c>
      <c r="AD25" s="55">
        <v>0</v>
      </c>
      <c r="AE25" s="213">
        <v>0</v>
      </c>
      <c r="AF25" s="212">
        <v>0</v>
      </c>
      <c r="AG25" s="121">
        <v>0</v>
      </c>
      <c r="AH25" s="51">
        <v>0</v>
      </c>
      <c r="AI25" s="51">
        <v>0</v>
      </c>
      <c r="AJ25" s="51">
        <v>0</v>
      </c>
      <c r="AK25" s="51">
        <v>0</v>
      </c>
      <c r="AL25" s="14"/>
      <c r="AM25" s="122"/>
      <c r="AN25" s="51">
        <v>0</v>
      </c>
      <c r="AO25" s="51">
        <v>0</v>
      </c>
      <c r="AP25" s="51">
        <v>0</v>
      </c>
      <c r="AQ25" s="47"/>
      <c r="AR25" s="51">
        <v>0</v>
      </c>
      <c r="AS25" s="51">
        <v>0</v>
      </c>
    </row>
    <row r="26" ht="31.5" customHeight="1" hidden="1">
      <c r="A26" t="s" s="103">
        <v>745</v>
      </c>
      <c r="B26" t="s" s="10">
        <v>41</v>
      </c>
      <c r="C26" t="s" s="103">
        <v>716</v>
      </c>
      <c r="D26" t="s" s="66">
        <v>717</v>
      </c>
      <c r="E26" s="181"/>
      <c r="F26" t="s" s="101">
        <v>714</v>
      </c>
      <c r="G26" s="203"/>
      <c r="H26" s="204">
        <f>SUM(J26,N26)</f>
        <v>1120</v>
      </c>
      <c r="I26" s="205">
        <f>SUM(Q26,S26,U26,W26,Y26,AA26,AC26,AE26,AG26,AI26,AK26,AM26,AO26,AQ26,AS26)</f>
        <v>0</v>
      </c>
      <c r="J26" s="35">
        <f>SUM(P26,R26,T26,V26,X26,Z26,AB26,AD26,AF26,AH26,AJ26,AL26,AN26,AP26,AR26)</f>
        <v>1120</v>
      </c>
      <c r="K26" s="36"/>
      <c r="L26" s="196"/>
      <c r="M26" s="196"/>
      <c r="N26" s="196"/>
      <c r="O26" s="197"/>
      <c r="P26" s="27">
        <v>800</v>
      </c>
      <c r="Q26" s="27">
        <v>0</v>
      </c>
      <c r="R26" s="38">
        <v>0</v>
      </c>
      <c r="S26" s="38">
        <v>0</v>
      </c>
      <c r="T26" s="38">
        <v>120</v>
      </c>
      <c r="U26" s="38">
        <v>0</v>
      </c>
      <c r="V26" s="38">
        <v>200</v>
      </c>
      <c r="W26" s="38">
        <v>0</v>
      </c>
      <c r="X26" s="38">
        <v>0</v>
      </c>
      <c r="Y26" s="38">
        <v>0</v>
      </c>
      <c r="Z26" s="40">
        <v>0</v>
      </c>
      <c r="AA26" s="40">
        <v>0</v>
      </c>
      <c r="AB26" s="40">
        <v>0</v>
      </c>
      <c r="AC26" s="40">
        <v>0</v>
      </c>
      <c r="AD26" s="40">
        <v>0</v>
      </c>
      <c r="AE26" s="40">
        <v>0</v>
      </c>
      <c r="AF26" s="198">
        <v>0</v>
      </c>
      <c r="AG26" s="206">
        <v>0</v>
      </c>
      <c r="AH26" s="38">
        <v>0</v>
      </c>
      <c r="AI26" s="38">
        <v>0</v>
      </c>
      <c r="AJ26" s="38">
        <v>0</v>
      </c>
      <c r="AK26" s="38">
        <v>0</v>
      </c>
      <c r="AL26" s="202"/>
      <c r="AM26" s="197"/>
      <c r="AN26" s="38">
        <v>0</v>
      </c>
      <c r="AO26" s="38">
        <v>0</v>
      </c>
      <c r="AP26" s="38">
        <v>0</v>
      </c>
      <c r="AQ26" s="80"/>
      <c r="AR26" s="38">
        <v>0</v>
      </c>
      <c r="AS26" s="38">
        <v>0</v>
      </c>
    </row>
    <row r="27" ht="78" customHeight="1" hidden="1">
      <c r="A27" t="s" s="220">
        <v>746</v>
      </c>
      <c r="B27" t="s" s="52">
        <v>42</v>
      </c>
      <c r="C27" t="s" s="130">
        <v>716</v>
      </c>
      <c r="D27" t="s" s="209">
        <v>717</v>
      </c>
      <c r="E27" t="s" s="217">
        <v>747</v>
      </c>
      <c r="F27" t="s" s="210">
        <v>720</v>
      </c>
      <c r="G27" s="211"/>
      <c r="H27" s="42">
        <f>SUM(J27,N27)</f>
        <v>4920</v>
      </c>
      <c r="I27" s="207">
        <f>SUM(Q27,S27,U27,W27,Y27,AA27,AC27,AE27,AG27,AI27,AK27,AM27,AO27,AQ27,AS27)</f>
        <v>3786</v>
      </c>
      <c r="J27" s="43">
        <f>SUM(P27,R27,T27,V27,X27,Z27,AB27,AD27,AF27,AH27,AJ27,AL27,AN27,AP27,AR27)</f>
        <v>4900</v>
      </c>
      <c r="K27" s="44"/>
      <c r="L27" s="6"/>
      <c r="M27" s="6"/>
      <c r="N27" s="212">
        <v>20</v>
      </c>
      <c r="O27" s="122"/>
      <c r="P27" s="27">
        <v>0</v>
      </c>
      <c r="Q27" s="27">
        <v>0</v>
      </c>
      <c r="R27" s="51">
        <v>1200</v>
      </c>
      <c r="S27" s="51">
        <v>1010</v>
      </c>
      <c r="T27" s="51">
        <v>3500</v>
      </c>
      <c r="U27" s="51">
        <v>2776</v>
      </c>
      <c r="V27" s="51">
        <v>200</v>
      </c>
      <c r="W27" s="47"/>
      <c r="X27" s="51">
        <v>0</v>
      </c>
      <c r="Y27" s="51">
        <v>0</v>
      </c>
      <c r="Z27" s="48">
        <v>0</v>
      </c>
      <c r="AA27" s="48">
        <v>0</v>
      </c>
      <c r="AB27" s="48">
        <v>0</v>
      </c>
      <c r="AC27" s="48">
        <v>0</v>
      </c>
      <c r="AD27" s="55">
        <v>0</v>
      </c>
      <c r="AE27" s="213">
        <v>0</v>
      </c>
      <c r="AF27" s="212">
        <v>0</v>
      </c>
      <c r="AG27" s="121">
        <v>0</v>
      </c>
      <c r="AH27" s="51">
        <v>0</v>
      </c>
      <c r="AI27" s="51">
        <v>0</v>
      </c>
      <c r="AJ27" s="51">
        <v>0</v>
      </c>
      <c r="AK27" s="51">
        <v>0</v>
      </c>
      <c r="AL27" s="14"/>
      <c r="AM27" s="122"/>
      <c r="AN27" s="51">
        <v>0</v>
      </c>
      <c r="AO27" s="51">
        <v>0</v>
      </c>
      <c r="AP27" s="51">
        <v>0</v>
      </c>
      <c r="AQ27" s="47"/>
      <c r="AR27" s="51">
        <v>0</v>
      </c>
      <c r="AS27" s="51">
        <v>0</v>
      </c>
    </row>
    <row r="28" ht="19.5" customHeight="1" hidden="1">
      <c r="A28" t="s" s="187">
        <v>748</v>
      </c>
      <c r="B28" t="s" s="16">
        <v>43</v>
      </c>
      <c r="C28" s="188"/>
      <c r="D28" s="188"/>
      <c r="E28" s="189"/>
      <c r="F28" s="182">
        <v>0</v>
      </c>
      <c r="G28" s="183"/>
      <c r="H28" s="42">
        <f>SUM(J28,N28)</f>
        <v>0</v>
      </c>
      <c r="I28" s="207">
        <f>SUM(Q28,S28,U28,W28,Y28,AA28,AC28,AE28,AG28,AI28,AK28,AM28,AO28,AQ28,AS28)</f>
        <v>0</v>
      </c>
      <c r="J28" s="43">
        <f>SUM(P28,R28,T28,V28,X28,Z28,AB28,AD28,AF28,AH28,AJ28,AL28,AN28,AP28,AR28)</f>
        <v>0</v>
      </c>
      <c r="K28" s="44"/>
      <c r="L28" s="6"/>
      <c r="M28" s="6"/>
      <c r="N28" s="14"/>
      <c r="O28" s="122"/>
      <c r="P28" s="46"/>
      <c r="Q28" s="46"/>
      <c r="R28" s="47"/>
      <c r="S28" s="47"/>
      <c r="T28" s="47"/>
      <c r="U28" s="47"/>
      <c r="V28" s="47"/>
      <c r="W28" s="47"/>
      <c r="X28" s="47"/>
      <c r="Y28" s="47"/>
      <c r="Z28" s="48">
        <v>0</v>
      </c>
      <c r="AA28" s="48">
        <v>0</v>
      </c>
      <c r="AB28" s="49"/>
      <c r="AC28" s="49"/>
      <c r="AD28" s="50"/>
      <c r="AE28" s="50"/>
      <c r="AF28" s="14"/>
      <c r="AG28" s="122"/>
      <c r="AH28" s="51">
        <v>0</v>
      </c>
      <c r="AI28" s="51">
        <v>0</v>
      </c>
      <c r="AJ28" s="47"/>
      <c r="AK28" s="47"/>
      <c r="AL28" s="14"/>
      <c r="AM28" s="122"/>
      <c r="AN28" s="47"/>
      <c r="AO28" s="47"/>
      <c r="AP28" s="47"/>
      <c r="AQ28" s="47"/>
      <c r="AR28" s="51">
        <v>0</v>
      </c>
      <c r="AS28" s="51">
        <v>0</v>
      </c>
    </row>
    <row r="29" ht="39" customHeight="1" hidden="1">
      <c r="A29" t="s" s="59">
        <v>749</v>
      </c>
      <c r="B29" t="s" s="59">
        <v>44</v>
      </c>
      <c r="C29" t="s" s="59">
        <v>712</v>
      </c>
      <c r="D29" t="s" s="190">
        <v>713</v>
      </c>
      <c r="E29" t="s" s="216">
        <v>750</v>
      </c>
      <c r="F29" t="s" s="192">
        <v>720</v>
      </c>
      <c r="G29" s="193"/>
      <c r="H29" s="194">
        <f>SUM(J29,N29)</f>
        <v>152090</v>
      </c>
      <c r="I29" s="195">
        <f>SUM(Q29,S29,U29,W29,Y29,AA29,AC29,AE29,AG29,AI29,AK29,AM29,AO29,AQ29,AS29)</f>
        <v>72780</v>
      </c>
      <c r="J29" s="23">
        <f>SUM(P29,R29,T29,V29,X29,Z29,AB29,AD29,AF29,AH29,AJ29,AL29,AN29,AP29,AR29)</f>
        <v>152090</v>
      </c>
      <c r="K29" s="36"/>
      <c r="L29" s="196"/>
      <c r="M29" s="196"/>
      <c r="N29" s="196"/>
      <c r="O29" s="197"/>
      <c r="P29" s="27">
        <v>80000</v>
      </c>
      <c r="Q29" s="27">
        <v>35780</v>
      </c>
      <c r="R29" s="28">
        <v>600</v>
      </c>
      <c r="S29" s="28">
        <v>300</v>
      </c>
      <c r="T29" s="28">
        <v>18000</v>
      </c>
      <c r="U29" s="28">
        <v>13150</v>
      </c>
      <c r="V29" s="29">
        <v>18000</v>
      </c>
      <c r="W29" s="28">
        <v>14190</v>
      </c>
      <c r="X29" s="28">
        <v>11000</v>
      </c>
      <c r="Y29" s="28">
        <v>9160</v>
      </c>
      <c r="Z29" s="30">
        <v>8500</v>
      </c>
      <c r="AA29" s="30">
        <v>0</v>
      </c>
      <c r="AB29" s="30">
        <v>14000</v>
      </c>
      <c r="AC29" s="30">
        <v>0</v>
      </c>
      <c r="AD29" s="30">
        <v>750</v>
      </c>
      <c r="AE29" s="30">
        <v>0</v>
      </c>
      <c r="AF29" s="198">
        <v>1000</v>
      </c>
      <c r="AG29" s="206">
        <v>0</v>
      </c>
      <c r="AH29" s="28">
        <v>0</v>
      </c>
      <c r="AI29" s="28">
        <v>0</v>
      </c>
      <c r="AJ29" s="28">
        <v>240</v>
      </c>
      <c r="AK29" s="28">
        <v>200</v>
      </c>
      <c r="AL29" s="202"/>
      <c r="AM29" s="197"/>
      <c r="AN29" s="28">
        <v>0</v>
      </c>
      <c r="AO29" s="28">
        <v>0</v>
      </c>
      <c r="AP29" s="28">
        <v>0</v>
      </c>
      <c r="AQ29" s="87"/>
      <c r="AR29" s="28">
        <v>0</v>
      </c>
      <c r="AS29" s="28">
        <v>0</v>
      </c>
    </row>
    <row r="30" ht="31.5" customHeight="1" hidden="1">
      <c r="A30" t="s" s="103">
        <v>751</v>
      </c>
      <c r="B30" t="s" s="10">
        <v>45</v>
      </c>
      <c r="C30" t="s" s="103">
        <v>716</v>
      </c>
      <c r="D30" t="s" s="66">
        <v>717</v>
      </c>
      <c r="E30" s="221">
        <v>-965</v>
      </c>
      <c r="F30" t="s" s="101">
        <v>714</v>
      </c>
      <c r="G30" s="203"/>
      <c r="H30" s="204">
        <f>SUM(J30,N30)</f>
        <v>2200</v>
      </c>
      <c r="I30" s="205">
        <f>SUM(Q30,S30,U30,W30,Y30,AA30,AC30,AE30,AG30,AI30,AK30,AM30,AO30,AQ30,AS30)</f>
        <v>46</v>
      </c>
      <c r="J30" s="35">
        <f>SUM(P30,R30,T30,V30,X30,Z30,AB30,AD30,AF30,AH30,AJ30,AL30,AN30,AP30,AR30)</f>
        <v>2180</v>
      </c>
      <c r="K30" s="36"/>
      <c r="L30" s="196"/>
      <c r="M30" s="196"/>
      <c r="N30" s="199">
        <v>20</v>
      </c>
      <c r="O30" s="197"/>
      <c r="P30" s="27">
        <v>1200</v>
      </c>
      <c r="Q30" s="27">
        <v>0</v>
      </c>
      <c r="R30" s="38">
        <v>800</v>
      </c>
      <c r="S30" s="38">
        <v>5</v>
      </c>
      <c r="T30" s="38">
        <v>60</v>
      </c>
      <c r="U30" s="38">
        <v>36</v>
      </c>
      <c r="V30" s="38">
        <v>100</v>
      </c>
      <c r="W30" s="38">
        <v>5</v>
      </c>
      <c r="X30" s="38">
        <v>20</v>
      </c>
      <c r="Y30" s="38">
        <v>0</v>
      </c>
      <c r="Z30" s="40">
        <v>0</v>
      </c>
      <c r="AA30" s="40">
        <v>0</v>
      </c>
      <c r="AB30" s="40">
        <v>0</v>
      </c>
      <c r="AC30" s="40">
        <v>0</v>
      </c>
      <c r="AD30" s="40">
        <v>0</v>
      </c>
      <c r="AE30" s="40">
        <v>0</v>
      </c>
      <c r="AF30" s="198">
        <v>0</v>
      </c>
      <c r="AG30" s="206">
        <v>0</v>
      </c>
      <c r="AH30" s="38">
        <v>0</v>
      </c>
      <c r="AI30" s="38">
        <v>0</v>
      </c>
      <c r="AJ30" s="38">
        <v>0</v>
      </c>
      <c r="AK30" s="38">
        <v>0</v>
      </c>
      <c r="AL30" s="202"/>
      <c r="AM30" s="197"/>
      <c r="AN30" s="38">
        <v>0</v>
      </c>
      <c r="AO30" s="38">
        <v>0</v>
      </c>
      <c r="AP30" s="38">
        <v>0</v>
      </c>
      <c r="AQ30" s="80"/>
      <c r="AR30" s="38">
        <v>0</v>
      </c>
      <c r="AS30" s="38">
        <v>0</v>
      </c>
    </row>
    <row r="31" ht="39" customHeight="1" hidden="1">
      <c r="A31" t="s" s="130">
        <v>752</v>
      </c>
      <c r="B31" t="s" s="52">
        <v>46</v>
      </c>
      <c r="C31" t="s" s="130">
        <v>712</v>
      </c>
      <c r="D31" t="s" s="209">
        <v>713</v>
      </c>
      <c r="E31" t="s" s="217">
        <v>750</v>
      </c>
      <c r="F31" t="s" s="210">
        <v>720</v>
      </c>
      <c r="G31" s="211"/>
      <c r="H31" s="42">
        <f>SUM(J31,N31)</f>
        <v>60000</v>
      </c>
      <c r="I31" s="207">
        <f>SUM(Q31,S31,U31,W31,Y31,AA31,AC31,AE31,AG31,AI31,AK31,AM31,AO31,AQ31,AS31)</f>
        <v>6760</v>
      </c>
      <c r="J31" s="43">
        <f>SUM(P31,R31,T31,V31,X31,Z31,AB31,AD31,AF31,AH31,AJ31,AL31,AN31,AP31,AR31)</f>
        <v>60000</v>
      </c>
      <c r="K31" s="44"/>
      <c r="L31" s="6"/>
      <c r="M31" s="6"/>
      <c r="N31" s="14"/>
      <c r="O31" s="122"/>
      <c r="P31" s="27">
        <v>0</v>
      </c>
      <c r="Q31" s="27">
        <v>0</v>
      </c>
      <c r="R31" s="51">
        <v>1000</v>
      </c>
      <c r="S31" s="51">
        <v>600</v>
      </c>
      <c r="T31" s="51">
        <v>20000</v>
      </c>
      <c r="U31" s="51">
        <v>0</v>
      </c>
      <c r="V31" s="51">
        <v>2000</v>
      </c>
      <c r="W31" s="51">
        <v>1000</v>
      </c>
      <c r="X31" s="51">
        <v>1000</v>
      </c>
      <c r="Y31" s="51">
        <v>0</v>
      </c>
      <c r="Z31" s="48">
        <v>18500</v>
      </c>
      <c r="AA31" s="48">
        <v>0</v>
      </c>
      <c r="AB31" s="48">
        <v>11300</v>
      </c>
      <c r="AC31" s="48">
        <v>3460</v>
      </c>
      <c r="AD31" s="55">
        <v>4200</v>
      </c>
      <c r="AE31" s="213">
        <v>100</v>
      </c>
      <c r="AF31" s="212">
        <v>2000</v>
      </c>
      <c r="AG31" s="121">
        <v>1600</v>
      </c>
      <c r="AH31" s="51">
        <v>0</v>
      </c>
      <c r="AI31" s="51">
        <v>0</v>
      </c>
      <c r="AJ31" s="51">
        <v>0</v>
      </c>
      <c r="AK31" s="51">
        <v>0</v>
      </c>
      <c r="AL31" s="14"/>
      <c r="AM31" s="122"/>
      <c r="AN31" s="51">
        <v>0</v>
      </c>
      <c r="AO31" s="51">
        <v>0</v>
      </c>
      <c r="AP31" s="51">
        <v>0</v>
      </c>
      <c r="AQ31" s="47"/>
      <c r="AR31" s="51">
        <v>0</v>
      </c>
      <c r="AS31" s="51">
        <v>0</v>
      </c>
    </row>
    <row r="32" ht="19.5" customHeight="1" hidden="1">
      <c r="A32" t="s" s="214">
        <v>753</v>
      </c>
      <c r="B32" t="s" s="21">
        <v>47</v>
      </c>
      <c r="C32" t="s" s="59">
        <v>712</v>
      </c>
      <c r="D32" t="s" s="190">
        <v>713</v>
      </c>
      <c r="E32" s="191"/>
      <c r="F32" t="s" s="192">
        <v>714</v>
      </c>
      <c r="G32" s="193"/>
      <c r="H32" s="194">
        <f>SUM(J32,N32)</f>
        <v>35300</v>
      </c>
      <c r="I32" s="195">
        <f>SUM(Q32,S32,U32,W32,Y32,AA32,AC32,AE32,AG32,AI32,AK32,AM32,AO32,AQ32,AS32)</f>
        <v>9130</v>
      </c>
      <c r="J32" s="23">
        <f>SUM(P32,R32,T32,V32,X32,Z32,AB32,AD32,AF32,AH32,AJ32,AL32,AN32,AP32,AR32)</f>
        <v>35300</v>
      </c>
      <c r="K32" s="36"/>
      <c r="L32" s="196"/>
      <c r="M32" s="196"/>
      <c r="N32" s="196"/>
      <c r="O32" s="197"/>
      <c r="P32" s="27">
        <v>20000</v>
      </c>
      <c r="Q32" s="27">
        <v>3690</v>
      </c>
      <c r="R32" s="28">
        <v>0</v>
      </c>
      <c r="S32" s="28">
        <v>0</v>
      </c>
      <c r="T32" s="28">
        <v>4000</v>
      </c>
      <c r="U32" s="28">
        <v>3000</v>
      </c>
      <c r="V32" s="28">
        <v>4000</v>
      </c>
      <c r="W32" s="28">
        <v>2440</v>
      </c>
      <c r="X32" s="28">
        <v>7000</v>
      </c>
      <c r="Y32" s="28">
        <v>0</v>
      </c>
      <c r="Z32" s="30">
        <v>0</v>
      </c>
      <c r="AA32" s="30">
        <v>0</v>
      </c>
      <c r="AB32" s="30">
        <v>0</v>
      </c>
      <c r="AC32" s="30">
        <v>0</v>
      </c>
      <c r="AD32" s="30">
        <v>0</v>
      </c>
      <c r="AE32" s="30">
        <v>0</v>
      </c>
      <c r="AF32" s="198">
        <v>0</v>
      </c>
      <c r="AG32" s="206">
        <v>0</v>
      </c>
      <c r="AH32" s="28">
        <v>0</v>
      </c>
      <c r="AI32" s="28">
        <v>0</v>
      </c>
      <c r="AJ32" s="28">
        <v>300</v>
      </c>
      <c r="AK32" s="87"/>
      <c r="AL32" s="202"/>
      <c r="AM32" s="197"/>
      <c r="AN32" s="28">
        <v>0</v>
      </c>
      <c r="AO32" s="28">
        <v>0</v>
      </c>
      <c r="AP32" s="28">
        <v>0</v>
      </c>
      <c r="AQ32" s="87"/>
      <c r="AR32" s="28">
        <v>0</v>
      </c>
      <c r="AS32" s="28">
        <v>0</v>
      </c>
    </row>
    <row r="33" ht="214.5" customHeight="1" hidden="1">
      <c r="A33" t="s" s="130">
        <v>754</v>
      </c>
      <c r="B33" t="s" s="52">
        <v>48</v>
      </c>
      <c r="C33" t="s" s="130">
        <v>712</v>
      </c>
      <c r="D33" t="s" s="209">
        <v>713</v>
      </c>
      <c r="E33" t="s" s="217">
        <v>755</v>
      </c>
      <c r="F33" t="s" s="210">
        <v>720</v>
      </c>
      <c r="G33" s="211"/>
      <c r="H33" s="42">
        <f>SUM(J33,N33)</f>
        <v>200</v>
      </c>
      <c r="I33" s="207">
        <f>SUM(Q33,S33,U33,W33,Y33,AA33,AC33,AE33,AG33,AI33,AK33,AM33,AO33,AQ33,AS33)</f>
        <v>30</v>
      </c>
      <c r="J33" s="43">
        <f>SUM(P33,R33,T33,V33,X33,Z33,AB33,AD33,AF33,AH33,AJ33,AL33,AN33,AP33,AR33)</f>
        <v>200</v>
      </c>
      <c r="K33" s="44"/>
      <c r="L33" s="6"/>
      <c r="M33" s="6"/>
      <c r="N33" s="14"/>
      <c r="O33" s="122"/>
      <c r="P33" s="27">
        <v>200</v>
      </c>
      <c r="Q33" s="27">
        <v>30</v>
      </c>
      <c r="R33" s="51">
        <v>0</v>
      </c>
      <c r="S33" s="51">
        <v>0</v>
      </c>
      <c r="T33" s="51">
        <v>0</v>
      </c>
      <c r="U33" s="51">
        <v>0</v>
      </c>
      <c r="V33" s="51">
        <v>0</v>
      </c>
      <c r="W33" s="51">
        <v>0</v>
      </c>
      <c r="X33" s="51">
        <v>0</v>
      </c>
      <c r="Y33" s="51">
        <v>0</v>
      </c>
      <c r="Z33" s="48">
        <v>0</v>
      </c>
      <c r="AA33" s="48">
        <v>0</v>
      </c>
      <c r="AB33" s="48">
        <v>0</v>
      </c>
      <c r="AC33" s="48">
        <v>0</v>
      </c>
      <c r="AD33" s="55">
        <v>0</v>
      </c>
      <c r="AE33" s="213">
        <v>0</v>
      </c>
      <c r="AF33" s="212">
        <v>0</v>
      </c>
      <c r="AG33" s="121">
        <v>0</v>
      </c>
      <c r="AH33" s="51">
        <v>0</v>
      </c>
      <c r="AI33" s="51">
        <v>0</v>
      </c>
      <c r="AJ33" s="51">
        <v>0</v>
      </c>
      <c r="AK33" s="51">
        <v>0</v>
      </c>
      <c r="AL33" s="14"/>
      <c r="AM33" s="122"/>
      <c r="AN33" s="51">
        <v>0</v>
      </c>
      <c r="AO33" s="51">
        <v>0</v>
      </c>
      <c r="AP33" s="51">
        <v>0</v>
      </c>
      <c r="AQ33" s="47"/>
      <c r="AR33" s="51">
        <v>0</v>
      </c>
      <c r="AS33" s="51">
        <v>0</v>
      </c>
    </row>
    <row r="34" ht="63" customHeight="1" hidden="1">
      <c r="A34" t="s" s="214">
        <v>756</v>
      </c>
      <c r="B34" t="s" s="21">
        <v>49</v>
      </c>
      <c r="C34" t="s" s="59">
        <v>712</v>
      </c>
      <c r="D34" t="s" s="190">
        <v>713</v>
      </c>
      <c r="E34" t="s" s="222">
        <v>757</v>
      </c>
      <c r="F34" t="s" s="192">
        <v>714</v>
      </c>
      <c r="G34" s="193"/>
      <c r="H34" s="194">
        <f>SUM(J34,N34)</f>
        <v>29620</v>
      </c>
      <c r="I34" s="195">
        <f>SUM(Q34,S34,U34,W34,Y34,AA34,AC34,AE34,AG34,AI34,AK34,AM34,AO34,AQ34,AS34)</f>
        <v>1500</v>
      </c>
      <c r="J34" s="23">
        <f>SUM(P34,R34,T34,V34,X34,Z34,AB34,AD34,AF34,AH34,AJ34,AL34,AN34,AP34,AR34)</f>
        <v>29620</v>
      </c>
      <c r="K34" s="36"/>
      <c r="L34" s="196"/>
      <c r="M34" s="196"/>
      <c r="N34" s="196"/>
      <c r="O34" s="197"/>
      <c r="P34" s="27">
        <v>5000</v>
      </c>
      <c r="Q34" s="27">
        <v>1500</v>
      </c>
      <c r="R34" s="28">
        <v>0</v>
      </c>
      <c r="S34" s="28">
        <v>0</v>
      </c>
      <c r="T34" s="28">
        <v>5000</v>
      </c>
      <c r="U34" s="28">
        <v>0</v>
      </c>
      <c r="V34" s="28">
        <v>10000</v>
      </c>
      <c r="W34" s="28">
        <v>0</v>
      </c>
      <c r="X34" s="28">
        <v>5000</v>
      </c>
      <c r="Y34" s="28">
        <v>0</v>
      </c>
      <c r="Z34" s="30">
        <v>0</v>
      </c>
      <c r="AA34" s="30">
        <v>0</v>
      </c>
      <c r="AB34" s="30">
        <v>2820</v>
      </c>
      <c r="AC34" s="30">
        <v>0</v>
      </c>
      <c r="AD34" s="30">
        <v>800</v>
      </c>
      <c r="AE34" s="30">
        <v>0</v>
      </c>
      <c r="AF34" s="198">
        <v>1000</v>
      </c>
      <c r="AG34" s="206">
        <v>0</v>
      </c>
      <c r="AH34" s="28">
        <v>0</v>
      </c>
      <c r="AI34" s="28">
        <v>0</v>
      </c>
      <c r="AJ34" s="28">
        <v>0</v>
      </c>
      <c r="AK34" s="28">
        <v>0</v>
      </c>
      <c r="AL34" s="202"/>
      <c r="AM34" s="197"/>
      <c r="AN34" s="28">
        <v>0</v>
      </c>
      <c r="AO34" s="28">
        <v>0</v>
      </c>
      <c r="AP34" s="28">
        <v>0</v>
      </c>
      <c r="AQ34" s="87"/>
      <c r="AR34" s="28">
        <v>0</v>
      </c>
      <c r="AS34" s="28">
        <v>0</v>
      </c>
    </row>
    <row r="35" ht="97.5" customHeight="1" hidden="1">
      <c r="A35" t="s" s="130">
        <v>758</v>
      </c>
      <c r="B35" t="s" s="52">
        <v>50</v>
      </c>
      <c r="C35" t="s" s="130">
        <v>712</v>
      </c>
      <c r="D35" s="208"/>
      <c r="E35" t="s" s="217">
        <v>737</v>
      </c>
      <c r="F35" t="s" s="210">
        <v>714</v>
      </c>
      <c r="G35" s="211"/>
      <c r="H35" s="42">
        <f>SUM(J35,N35)</f>
        <v>29200</v>
      </c>
      <c r="I35" s="207">
        <f>SUM(Q35,S35,U35,W35,Y35,AA35,AC35,AE35,AG35,AI35,AK35,AM35,AO35,AQ35,AS35)</f>
        <v>11989</v>
      </c>
      <c r="J35" s="43">
        <f>SUM(P35,R35,T35,V35,X35,Z35,AB35,AD35,AF35,AH35,AJ35,AL35,AN35,AP35,AR35)</f>
        <v>29200</v>
      </c>
      <c r="K35" s="44"/>
      <c r="L35" s="6"/>
      <c r="M35" s="6"/>
      <c r="N35" s="14"/>
      <c r="O35" s="122"/>
      <c r="P35" s="27">
        <v>8000</v>
      </c>
      <c r="Q35" s="27">
        <v>5700</v>
      </c>
      <c r="R35" s="51">
        <v>0</v>
      </c>
      <c r="S35" s="51">
        <v>0</v>
      </c>
      <c r="T35" s="51">
        <v>6000</v>
      </c>
      <c r="U35" s="51">
        <v>4999</v>
      </c>
      <c r="V35" s="51">
        <v>6000</v>
      </c>
      <c r="W35" s="51">
        <v>900</v>
      </c>
      <c r="X35" s="51">
        <v>8000</v>
      </c>
      <c r="Y35" s="51">
        <v>0</v>
      </c>
      <c r="Z35" s="48">
        <v>0</v>
      </c>
      <c r="AA35" s="48">
        <v>0</v>
      </c>
      <c r="AB35" s="48">
        <v>0</v>
      </c>
      <c r="AC35" s="48">
        <v>0</v>
      </c>
      <c r="AD35" s="55">
        <v>0</v>
      </c>
      <c r="AE35" s="213">
        <v>0</v>
      </c>
      <c r="AF35" s="212">
        <v>0</v>
      </c>
      <c r="AG35" s="121">
        <v>0</v>
      </c>
      <c r="AH35" s="51">
        <v>0</v>
      </c>
      <c r="AI35" s="51">
        <v>0</v>
      </c>
      <c r="AJ35" s="51">
        <v>1200</v>
      </c>
      <c r="AK35" s="51">
        <v>390</v>
      </c>
      <c r="AL35" s="14"/>
      <c r="AM35" s="122"/>
      <c r="AN35" s="51">
        <v>0</v>
      </c>
      <c r="AO35" s="51">
        <v>0</v>
      </c>
      <c r="AP35" s="51">
        <v>0</v>
      </c>
      <c r="AQ35" s="47"/>
      <c r="AR35" s="51">
        <v>0</v>
      </c>
      <c r="AS35" s="51">
        <v>0</v>
      </c>
    </row>
    <row r="36" ht="19.5" customHeight="1" hidden="1">
      <c r="A36" t="s" s="187">
        <v>759</v>
      </c>
      <c r="B36" t="s" s="16">
        <v>51</v>
      </c>
      <c r="C36" s="188"/>
      <c r="D36" s="188"/>
      <c r="E36" s="189"/>
      <c r="F36" s="182">
        <v>0</v>
      </c>
      <c r="G36" s="183"/>
      <c r="H36" s="42">
        <f>SUM(J36,N36)</f>
        <v>0</v>
      </c>
      <c r="I36" s="207">
        <f>SUM(Q36,S36,U36,W36,Y36,AA36,AC36,AE36,AG36,AI36,AK36,AM36,AO36,AQ36,AS36)</f>
        <v>0</v>
      </c>
      <c r="J36" s="43">
        <f>SUM(P36,R36,T36,V36,X36,Z36,AB36,AD36,AF36,AH36,AJ36,AL36,AN36,AP36,AR36)</f>
        <v>0</v>
      </c>
      <c r="K36" s="44"/>
      <c r="L36" s="6"/>
      <c r="M36" s="6"/>
      <c r="N36" s="14"/>
      <c r="O36" s="122"/>
      <c r="P36" s="46"/>
      <c r="Q36" s="46"/>
      <c r="R36" s="47"/>
      <c r="S36" s="47"/>
      <c r="T36" s="47"/>
      <c r="U36" s="47"/>
      <c r="V36" s="47"/>
      <c r="W36" s="47"/>
      <c r="X36" s="47"/>
      <c r="Y36" s="47"/>
      <c r="Z36" s="48">
        <v>0</v>
      </c>
      <c r="AA36" s="48">
        <v>0</v>
      </c>
      <c r="AB36" s="49"/>
      <c r="AC36" s="49"/>
      <c r="AD36" s="50"/>
      <c r="AE36" s="50"/>
      <c r="AF36" s="14"/>
      <c r="AG36" s="122"/>
      <c r="AH36" s="51">
        <v>0</v>
      </c>
      <c r="AI36" s="51">
        <v>0</v>
      </c>
      <c r="AJ36" s="47"/>
      <c r="AK36" s="47"/>
      <c r="AL36" s="14"/>
      <c r="AM36" s="122"/>
      <c r="AN36" s="47"/>
      <c r="AO36" s="47"/>
      <c r="AP36" s="47"/>
      <c r="AQ36" s="47"/>
      <c r="AR36" s="51">
        <v>0</v>
      </c>
      <c r="AS36" s="51">
        <v>0</v>
      </c>
    </row>
    <row r="37" ht="39" customHeight="1" hidden="1">
      <c r="A37" t="s" s="59">
        <v>760</v>
      </c>
      <c r="B37" t="s" s="60">
        <v>52</v>
      </c>
      <c r="C37" t="s" s="59">
        <v>761</v>
      </c>
      <c r="D37" t="s" s="190">
        <v>713</v>
      </c>
      <c r="E37" t="s" s="223">
        <v>762</v>
      </c>
      <c r="F37" t="s" s="192">
        <v>714</v>
      </c>
      <c r="G37" s="193"/>
      <c r="H37" s="194">
        <f>SUM(J37,N37)</f>
        <v>63800</v>
      </c>
      <c r="I37" s="195">
        <f>SUM(Q37,S37,U37,W37,Y37,AA37,AC37,AE37,AG37,AI37,AK37,AM37,AO37,AQ37,AS37)</f>
        <v>31596</v>
      </c>
      <c r="J37" s="23">
        <f>SUM(P37,R37,T37,V37,X37,Z37,AB37,AD37,AF37,AH37,AJ37,AL37,AN37,AP37,AR37)</f>
        <v>63800</v>
      </c>
      <c r="K37" s="36"/>
      <c r="L37" s="196"/>
      <c r="M37" s="196"/>
      <c r="N37" s="196"/>
      <c r="O37" s="197"/>
      <c r="P37" s="27">
        <v>20000</v>
      </c>
      <c r="Q37" s="27">
        <v>11726</v>
      </c>
      <c r="R37" s="28">
        <v>0</v>
      </c>
      <c r="S37" s="28">
        <v>0</v>
      </c>
      <c r="T37" s="28">
        <v>10000</v>
      </c>
      <c r="U37" s="28">
        <v>8700</v>
      </c>
      <c r="V37" s="28">
        <v>12000</v>
      </c>
      <c r="W37" s="28">
        <v>8620</v>
      </c>
      <c r="X37" s="28">
        <v>10000</v>
      </c>
      <c r="Y37" s="28">
        <v>0</v>
      </c>
      <c r="Z37" s="30">
        <v>2000</v>
      </c>
      <c r="AA37" s="30">
        <v>0</v>
      </c>
      <c r="AB37" s="30">
        <v>6700</v>
      </c>
      <c r="AC37" s="30">
        <v>1350</v>
      </c>
      <c r="AD37" s="30">
        <v>900</v>
      </c>
      <c r="AE37" s="30">
        <v>0</v>
      </c>
      <c r="AF37" s="198">
        <v>1000</v>
      </c>
      <c r="AG37" s="206">
        <v>0</v>
      </c>
      <c r="AH37" s="28">
        <v>0</v>
      </c>
      <c r="AI37" s="28">
        <v>0</v>
      </c>
      <c r="AJ37" s="28">
        <v>1200</v>
      </c>
      <c r="AK37" s="28">
        <v>1200</v>
      </c>
      <c r="AL37" s="202"/>
      <c r="AM37" s="197"/>
      <c r="AN37" s="28">
        <v>0</v>
      </c>
      <c r="AO37" s="28">
        <v>0</v>
      </c>
      <c r="AP37" s="28">
        <v>0</v>
      </c>
      <c r="AQ37" s="87"/>
      <c r="AR37" s="28">
        <v>0</v>
      </c>
      <c r="AS37" s="28">
        <v>0</v>
      </c>
    </row>
    <row r="38" ht="39" customHeight="1" hidden="1">
      <c r="A38" t="s" s="59">
        <v>763</v>
      </c>
      <c r="B38" t="s" s="60">
        <v>53</v>
      </c>
      <c r="C38" t="s" s="59">
        <v>761</v>
      </c>
      <c r="D38" t="s" s="190">
        <v>713</v>
      </c>
      <c r="E38" t="s" s="223">
        <v>762</v>
      </c>
      <c r="F38" t="s" s="192">
        <v>720</v>
      </c>
      <c r="G38" s="193"/>
      <c r="H38" s="194">
        <f>SUM(J38,N38)</f>
        <v>5800</v>
      </c>
      <c r="I38" s="195">
        <f>SUM(Q38,S38,U38,W38,Y38,AA38,AC38,AE38,AG38,AI38,AK38,AM38,AO38,AQ38,AS38)</f>
        <v>0</v>
      </c>
      <c r="J38" s="23">
        <f>SUM(P38,R38,T38,V38,X38,Z38,AB38,AD38,AF38,AH38,AJ38,AL38,AN38,AP38,AR38)</f>
        <v>5800</v>
      </c>
      <c r="K38" s="36"/>
      <c r="L38" s="196"/>
      <c r="M38" s="196"/>
      <c r="N38" s="196"/>
      <c r="O38" s="197"/>
      <c r="P38" s="27">
        <v>200</v>
      </c>
      <c r="Q38" s="27">
        <v>0</v>
      </c>
      <c r="R38" s="28">
        <v>0</v>
      </c>
      <c r="S38" s="28">
        <v>0</v>
      </c>
      <c r="T38" s="28">
        <v>2000</v>
      </c>
      <c r="U38" s="28">
        <v>0</v>
      </c>
      <c r="V38" s="28">
        <v>1000</v>
      </c>
      <c r="W38" s="28">
        <v>0</v>
      </c>
      <c r="X38" s="28">
        <v>2000</v>
      </c>
      <c r="Y38" s="28">
        <v>0</v>
      </c>
      <c r="Z38" s="30">
        <v>0</v>
      </c>
      <c r="AA38" s="30">
        <v>0</v>
      </c>
      <c r="AB38" s="30">
        <v>0</v>
      </c>
      <c r="AC38" s="30">
        <v>0</v>
      </c>
      <c r="AD38" s="30">
        <v>0</v>
      </c>
      <c r="AE38" s="30">
        <v>0</v>
      </c>
      <c r="AF38" s="198">
        <v>0</v>
      </c>
      <c r="AG38" s="206">
        <v>0</v>
      </c>
      <c r="AH38" s="28">
        <v>0</v>
      </c>
      <c r="AI38" s="28">
        <v>0</v>
      </c>
      <c r="AJ38" s="28">
        <v>600</v>
      </c>
      <c r="AK38" s="28">
        <v>0</v>
      </c>
      <c r="AL38" s="202"/>
      <c r="AM38" s="197"/>
      <c r="AN38" s="28">
        <v>0</v>
      </c>
      <c r="AO38" s="28">
        <v>0</v>
      </c>
      <c r="AP38" s="28">
        <v>0</v>
      </c>
      <c r="AQ38" s="87"/>
      <c r="AR38" s="28">
        <v>0</v>
      </c>
      <c r="AS38" s="28">
        <v>0</v>
      </c>
    </row>
    <row r="39" ht="31.5" customHeight="1" hidden="1">
      <c r="A39" t="s" s="59">
        <v>764</v>
      </c>
      <c r="B39" t="s" s="21">
        <v>54</v>
      </c>
      <c r="C39" t="s" s="59">
        <v>765</v>
      </c>
      <c r="D39" t="s" s="190">
        <v>713</v>
      </c>
      <c r="E39" s="191"/>
      <c r="F39" t="s" s="192">
        <v>714</v>
      </c>
      <c r="G39" s="193"/>
      <c r="H39" s="194">
        <f>SUM(J39,N39)</f>
        <v>21700</v>
      </c>
      <c r="I39" s="195">
        <f>SUM(Q39,S39,U39,W39,Y39,AA39,AC39,AE39,AG39,AI39,AK39,AM39,AO39,AQ39,AS39)</f>
        <v>2600</v>
      </c>
      <c r="J39" s="23">
        <f>SUM(P39,R39,T39,V39,X39,Z39,AB39,AD39,AF39,AH39,AJ39,AL39,AN39,AP39,AR39)</f>
        <v>21200</v>
      </c>
      <c r="K39" s="36"/>
      <c r="L39" s="196"/>
      <c r="M39" s="196"/>
      <c r="N39" s="199">
        <v>500</v>
      </c>
      <c r="O39" s="197"/>
      <c r="P39" s="27">
        <v>10000</v>
      </c>
      <c r="Q39" s="27">
        <v>2600</v>
      </c>
      <c r="R39" s="28">
        <v>0</v>
      </c>
      <c r="S39" s="28">
        <v>0</v>
      </c>
      <c r="T39" s="28">
        <v>2500</v>
      </c>
      <c r="U39" s="28">
        <v>0</v>
      </c>
      <c r="V39" s="28">
        <v>6000</v>
      </c>
      <c r="W39" s="28">
        <v>0</v>
      </c>
      <c r="X39" s="28">
        <v>700</v>
      </c>
      <c r="Y39" s="28">
        <v>0</v>
      </c>
      <c r="Z39" s="30">
        <v>0</v>
      </c>
      <c r="AA39" s="30">
        <v>0</v>
      </c>
      <c r="AB39" s="30">
        <v>1000</v>
      </c>
      <c r="AC39" s="30">
        <v>0</v>
      </c>
      <c r="AD39" s="30">
        <v>0</v>
      </c>
      <c r="AE39" s="30">
        <v>0</v>
      </c>
      <c r="AF39" s="198">
        <v>1000</v>
      </c>
      <c r="AG39" s="206">
        <v>0</v>
      </c>
      <c r="AH39" s="28">
        <v>0</v>
      </c>
      <c r="AI39" s="28">
        <v>0</v>
      </c>
      <c r="AJ39" s="28">
        <v>0</v>
      </c>
      <c r="AK39" s="28">
        <v>0</v>
      </c>
      <c r="AL39" s="202"/>
      <c r="AM39" s="197"/>
      <c r="AN39" s="28">
        <v>0</v>
      </c>
      <c r="AO39" s="28">
        <v>0</v>
      </c>
      <c r="AP39" s="28">
        <v>0</v>
      </c>
      <c r="AQ39" s="87"/>
      <c r="AR39" s="28">
        <v>0</v>
      </c>
      <c r="AS39" s="28">
        <v>0</v>
      </c>
    </row>
    <row r="40" ht="31.5" customHeight="1" hidden="1">
      <c r="A40" t="s" s="130">
        <v>766</v>
      </c>
      <c r="B40" t="s" s="52">
        <v>55</v>
      </c>
      <c r="C40" t="s" s="130">
        <v>765</v>
      </c>
      <c r="D40" t="s" s="209">
        <v>713</v>
      </c>
      <c r="E40" s="182">
        <v>1012</v>
      </c>
      <c r="F40" t="s" s="210">
        <v>714</v>
      </c>
      <c r="G40" s="211"/>
      <c r="H40" s="42">
        <f>SUM(J40,N40)</f>
        <v>2500</v>
      </c>
      <c r="I40" s="207">
        <f>SUM(Q40,S40,U40,W40,Y40,AA40,AC40,AE40,AG40,AI40,AK40,AM40,AO40,AQ40,AS40)</f>
        <v>1766</v>
      </c>
      <c r="J40" s="43">
        <f>SUM(P40,R40,T40,V40,X40,Z40,AB40,AD40,AF40,AH40,AJ40,AL40,AN40,AP40,AR40)</f>
        <v>2500</v>
      </c>
      <c r="K40" s="44"/>
      <c r="L40" s="6"/>
      <c r="M40" s="6"/>
      <c r="N40" s="14"/>
      <c r="O40" s="122"/>
      <c r="P40" s="27">
        <v>0</v>
      </c>
      <c r="Q40" s="27">
        <v>0</v>
      </c>
      <c r="R40" s="51">
        <v>0</v>
      </c>
      <c r="S40" s="51">
        <v>0</v>
      </c>
      <c r="T40" s="51">
        <v>2000</v>
      </c>
      <c r="U40" s="51">
        <v>1320</v>
      </c>
      <c r="V40" s="51">
        <v>500</v>
      </c>
      <c r="W40" s="51">
        <v>446</v>
      </c>
      <c r="X40" s="51">
        <v>0</v>
      </c>
      <c r="Y40" s="51">
        <v>0</v>
      </c>
      <c r="Z40" s="48">
        <v>0</v>
      </c>
      <c r="AA40" s="48">
        <v>0</v>
      </c>
      <c r="AB40" s="48">
        <v>0</v>
      </c>
      <c r="AC40" s="48">
        <v>0</v>
      </c>
      <c r="AD40" s="55">
        <v>0</v>
      </c>
      <c r="AE40" s="213">
        <v>0</v>
      </c>
      <c r="AF40" s="212">
        <v>0</v>
      </c>
      <c r="AG40" s="121">
        <v>0</v>
      </c>
      <c r="AH40" s="51">
        <v>0</v>
      </c>
      <c r="AI40" s="51">
        <v>0</v>
      </c>
      <c r="AJ40" s="51">
        <v>0</v>
      </c>
      <c r="AK40" s="51">
        <v>0</v>
      </c>
      <c r="AL40" s="14"/>
      <c r="AM40" s="122"/>
      <c r="AN40" s="51">
        <v>0</v>
      </c>
      <c r="AO40" s="51">
        <v>0</v>
      </c>
      <c r="AP40" s="51">
        <v>0</v>
      </c>
      <c r="AQ40" s="47"/>
      <c r="AR40" s="51">
        <v>0</v>
      </c>
      <c r="AS40" s="51">
        <v>0</v>
      </c>
    </row>
    <row r="41" ht="78" customHeight="1" hidden="1">
      <c r="A41" t="s" s="130">
        <v>767</v>
      </c>
      <c r="B41" t="s" s="52">
        <v>56</v>
      </c>
      <c r="C41" t="s" s="130">
        <v>765</v>
      </c>
      <c r="D41" t="s" s="209">
        <v>713</v>
      </c>
      <c r="E41" t="s" s="217">
        <v>768</v>
      </c>
      <c r="F41" t="s" s="210">
        <v>714</v>
      </c>
      <c r="G41" s="211"/>
      <c r="H41" s="42">
        <f>SUM(J41,N41)</f>
        <v>400</v>
      </c>
      <c r="I41" s="207">
        <f>SUM(Q41,S41,U41,W41,Y41,AA41,AC41,AE41,AG41,AI41,AK41,AM41,AO41,AQ41,AS41)</f>
        <v>0</v>
      </c>
      <c r="J41" s="43">
        <f>SUM(P41,R41,T41,V41,X41,Z41,AB41,AD41,AF41,AH41,AJ41,AL41,AN41,AP41,AR41)</f>
        <v>400</v>
      </c>
      <c r="K41" s="44"/>
      <c r="L41" s="6"/>
      <c r="M41" s="6"/>
      <c r="N41" s="14"/>
      <c r="O41" s="122"/>
      <c r="P41" s="27">
        <v>300</v>
      </c>
      <c r="Q41" s="27">
        <v>0</v>
      </c>
      <c r="R41" s="51">
        <v>0</v>
      </c>
      <c r="S41" s="51">
        <v>0</v>
      </c>
      <c r="T41" s="51">
        <v>0</v>
      </c>
      <c r="U41" s="51">
        <v>0</v>
      </c>
      <c r="V41" s="51">
        <v>100</v>
      </c>
      <c r="W41" s="51">
        <v>0</v>
      </c>
      <c r="X41" s="51">
        <v>0</v>
      </c>
      <c r="Y41" s="51">
        <v>0</v>
      </c>
      <c r="Z41" s="48">
        <v>0</v>
      </c>
      <c r="AA41" s="48">
        <v>0</v>
      </c>
      <c r="AB41" s="48">
        <v>0</v>
      </c>
      <c r="AC41" s="48">
        <v>0</v>
      </c>
      <c r="AD41" s="55">
        <v>0</v>
      </c>
      <c r="AE41" s="213">
        <v>0</v>
      </c>
      <c r="AF41" s="212">
        <v>0</v>
      </c>
      <c r="AG41" s="121">
        <v>0</v>
      </c>
      <c r="AH41" s="51">
        <v>0</v>
      </c>
      <c r="AI41" s="51">
        <v>0</v>
      </c>
      <c r="AJ41" s="51">
        <v>0</v>
      </c>
      <c r="AK41" s="51">
        <v>0</v>
      </c>
      <c r="AL41" s="14"/>
      <c r="AM41" s="122"/>
      <c r="AN41" s="51">
        <v>0</v>
      </c>
      <c r="AO41" s="51">
        <v>0</v>
      </c>
      <c r="AP41" s="51">
        <v>0</v>
      </c>
      <c r="AQ41" s="47"/>
      <c r="AR41" s="51">
        <v>0</v>
      </c>
      <c r="AS41" s="51">
        <v>0</v>
      </c>
    </row>
    <row r="42" ht="390" customHeight="1" hidden="1">
      <c r="A42" t="s" s="218">
        <v>769</v>
      </c>
      <c r="B42" t="s" s="10">
        <v>57</v>
      </c>
      <c r="C42" t="s" s="103">
        <v>770</v>
      </c>
      <c r="D42" t="s" s="66">
        <v>717</v>
      </c>
      <c r="E42" t="s" s="219">
        <v>771</v>
      </c>
      <c r="F42" t="s" s="101">
        <v>714</v>
      </c>
      <c r="G42" s="203"/>
      <c r="H42" s="204">
        <f>SUM(J42,N42)</f>
        <v>4270</v>
      </c>
      <c r="I42" s="205">
        <f>SUM(Q42,S42,U42,W42,Y42,AA42,AC42,AE42,AG42,AI42,AK42,AM42,AO42,AQ42,AS42)</f>
        <v>151</v>
      </c>
      <c r="J42" s="35">
        <f>SUM(P42,R42,T42,V42,X42,Z42,AB42,AD42,AF42,AH42,AJ42,AL42,AN42,AP42,AR42)</f>
        <v>4270</v>
      </c>
      <c r="K42" s="36"/>
      <c r="L42" s="196"/>
      <c r="M42" s="196"/>
      <c r="N42" s="196"/>
      <c r="O42" s="197"/>
      <c r="P42" s="27">
        <v>4000</v>
      </c>
      <c r="Q42" s="27">
        <v>0</v>
      </c>
      <c r="R42" s="38">
        <v>10</v>
      </c>
      <c r="S42" s="38">
        <v>0</v>
      </c>
      <c r="T42" s="38">
        <v>150</v>
      </c>
      <c r="U42" s="38">
        <v>151</v>
      </c>
      <c r="V42" s="38">
        <v>100</v>
      </c>
      <c r="W42" s="38">
        <v>0</v>
      </c>
      <c r="X42" s="38">
        <v>10</v>
      </c>
      <c r="Y42" s="38">
        <v>0</v>
      </c>
      <c r="Z42" s="40">
        <v>0</v>
      </c>
      <c r="AA42" s="40">
        <v>0</v>
      </c>
      <c r="AB42" s="40">
        <v>0</v>
      </c>
      <c r="AC42" s="40">
        <v>0</v>
      </c>
      <c r="AD42" s="40">
        <v>0</v>
      </c>
      <c r="AE42" s="40">
        <v>0</v>
      </c>
      <c r="AF42" s="198">
        <v>0</v>
      </c>
      <c r="AG42" s="206">
        <v>0</v>
      </c>
      <c r="AH42" s="38">
        <v>0</v>
      </c>
      <c r="AI42" s="38">
        <v>0</v>
      </c>
      <c r="AJ42" s="38">
        <v>0</v>
      </c>
      <c r="AK42" s="38">
        <v>0</v>
      </c>
      <c r="AL42" s="202"/>
      <c r="AM42" s="197"/>
      <c r="AN42" s="38">
        <v>0</v>
      </c>
      <c r="AO42" s="38">
        <v>0</v>
      </c>
      <c r="AP42" s="38">
        <v>0</v>
      </c>
      <c r="AQ42" s="80"/>
      <c r="AR42" s="38">
        <v>0</v>
      </c>
      <c r="AS42" s="38">
        <v>0</v>
      </c>
    </row>
    <row r="43" ht="283.5" customHeight="1" hidden="1">
      <c r="A43" t="s" s="103">
        <v>772</v>
      </c>
      <c r="B43" t="s" s="10">
        <v>58</v>
      </c>
      <c r="C43" t="s" s="103">
        <v>770</v>
      </c>
      <c r="D43" t="s" s="66">
        <v>717</v>
      </c>
      <c r="E43" t="s" s="224">
        <v>773</v>
      </c>
      <c r="F43" t="s" s="101">
        <v>714</v>
      </c>
      <c r="G43" s="203"/>
      <c r="H43" s="204">
        <f>SUM(J43,N43)</f>
        <v>4270</v>
      </c>
      <c r="I43" s="205">
        <f>SUM(Q43,S43,U43,W43,Y43,AA43,AC43,AE43,AG43,AI43,AK43,AM43,AO43,AQ43,AS43)</f>
        <v>2286</v>
      </c>
      <c r="J43" s="35">
        <f>SUM(P43,R43,T43,V43,X43,Z43,AB43,AD43,AF43,AH43,AJ43,AL43,AN43,AP43,AR43)</f>
        <v>4270</v>
      </c>
      <c r="K43" s="36"/>
      <c r="L43" s="196"/>
      <c r="M43" s="196"/>
      <c r="N43" s="196"/>
      <c r="O43" s="197"/>
      <c r="P43" s="27">
        <v>4000</v>
      </c>
      <c r="Q43" s="27">
        <v>2055</v>
      </c>
      <c r="R43" s="38">
        <v>10</v>
      </c>
      <c r="S43" s="38">
        <v>0</v>
      </c>
      <c r="T43" s="38">
        <v>100</v>
      </c>
      <c r="U43" s="38">
        <v>151</v>
      </c>
      <c r="V43" s="38">
        <v>140</v>
      </c>
      <c r="W43" s="38">
        <v>80</v>
      </c>
      <c r="X43" s="38">
        <v>20</v>
      </c>
      <c r="Y43" s="38">
        <v>0</v>
      </c>
      <c r="Z43" s="40">
        <v>0</v>
      </c>
      <c r="AA43" s="40">
        <v>0</v>
      </c>
      <c r="AB43" s="40">
        <v>0</v>
      </c>
      <c r="AC43" s="40">
        <v>0</v>
      </c>
      <c r="AD43" s="40">
        <v>0</v>
      </c>
      <c r="AE43" s="40">
        <v>0</v>
      </c>
      <c r="AF43" s="198">
        <v>0</v>
      </c>
      <c r="AG43" s="206">
        <v>0</v>
      </c>
      <c r="AH43" s="38">
        <v>0</v>
      </c>
      <c r="AI43" s="38">
        <v>0</v>
      </c>
      <c r="AJ43" s="38">
        <v>0</v>
      </c>
      <c r="AK43" s="38">
        <v>0</v>
      </c>
      <c r="AL43" s="202"/>
      <c r="AM43" s="197"/>
      <c r="AN43" s="38">
        <v>0</v>
      </c>
      <c r="AO43" s="38">
        <v>0</v>
      </c>
      <c r="AP43" s="38">
        <v>0</v>
      </c>
      <c r="AQ43" s="80"/>
      <c r="AR43" s="38">
        <v>0</v>
      </c>
      <c r="AS43" s="38">
        <v>0</v>
      </c>
    </row>
    <row r="44" ht="97.5" customHeight="1" hidden="1">
      <c r="A44" t="s" s="130">
        <v>774</v>
      </c>
      <c r="B44" t="s" s="52">
        <v>59</v>
      </c>
      <c r="C44" t="s" s="130">
        <v>765</v>
      </c>
      <c r="D44" t="s" s="209">
        <v>713</v>
      </c>
      <c r="E44" t="s" s="132">
        <v>775</v>
      </c>
      <c r="F44" t="s" s="210">
        <v>714</v>
      </c>
      <c r="G44" s="211"/>
      <c r="H44" s="42">
        <f>SUM(J44,N44)</f>
        <v>6500</v>
      </c>
      <c r="I44" s="207">
        <f>SUM(Q44,S44,U44,W44,Y44,AA44,AC44,AE44,AG44,AI44,AK44,AM44,AO44,AQ44,AS44)</f>
        <v>1490</v>
      </c>
      <c r="J44" s="43">
        <f>SUM(P44,R44,T44,V44,X44,Z44,AB44,AD44,AF44,AH44,AJ44,AL44,AN44,AP44,AR44)</f>
        <v>6500</v>
      </c>
      <c r="K44" s="44"/>
      <c r="L44" s="6"/>
      <c r="M44" s="6"/>
      <c r="N44" s="14"/>
      <c r="O44" s="122"/>
      <c r="P44" s="27">
        <v>2000</v>
      </c>
      <c r="Q44" s="27">
        <v>120</v>
      </c>
      <c r="R44" s="51">
        <v>0</v>
      </c>
      <c r="S44" s="51">
        <v>0</v>
      </c>
      <c r="T44" s="51">
        <v>2000</v>
      </c>
      <c r="U44" s="51">
        <v>1320</v>
      </c>
      <c r="V44" s="51">
        <v>500</v>
      </c>
      <c r="W44" s="51">
        <v>0</v>
      </c>
      <c r="X44" s="51">
        <v>0</v>
      </c>
      <c r="Y44" s="51">
        <v>0</v>
      </c>
      <c r="Z44" s="48">
        <v>1000</v>
      </c>
      <c r="AA44" s="48">
        <v>0</v>
      </c>
      <c r="AB44" s="48">
        <v>0</v>
      </c>
      <c r="AC44" s="48">
        <v>0</v>
      </c>
      <c r="AD44" s="55">
        <v>0</v>
      </c>
      <c r="AE44" s="213">
        <v>0</v>
      </c>
      <c r="AF44" s="212">
        <v>1000</v>
      </c>
      <c r="AG44" s="121">
        <v>0</v>
      </c>
      <c r="AH44" s="51">
        <v>0</v>
      </c>
      <c r="AI44" s="51">
        <v>0</v>
      </c>
      <c r="AJ44" s="51">
        <v>0</v>
      </c>
      <c r="AK44" s="51">
        <v>50</v>
      </c>
      <c r="AL44" s="14"/>
      <c r="AM44" s="122"/>
      <c r="AN44" s="51">
        <v>0</v>
      </c>
      <c r="AO44" s="51">
        <v>0</v>
      </c>
      <c r="AP44" s="51">
        <v>0</v>
      </c>
      <c r="AQ44" s="47"/>
      <c r="AR44" s="51">
        <v>0</v>
      </c>
      <c r="AS44" s="51">
        <v>0</v>
      </c>
    </row>
    <row r="45" ht="19.5" customHeight="1" hidden="1">
      <c r="A45" t="s" s="225">
        <v>776</v>
      </c>
      <c r="B45" t="s" s="16">
        <v>60</v>
      </c>
      <c r="C45" s="188"/>
      <c r="D45" s="188"/>
      <c r="E45" s="189"/>
      <c r="F45" s="182">
        <v>0</v>
      </c>
      <c r="G45" s="183"/>
      <c r="H45" s="42">
        <f>SUM(J45,N45)</f>
        <v>0</v>
      </c>
      <c r="I45" s="207">
        <f>SUM(Q45,S45,U45,W45,Y45,AA45,AC45,AE45,AG45,AI45,AK45,AM45,AO45,AQ45,AS45)</f>
        <v>0</v>
      </c>
      <c r="J45" s="43">
        <f>SUM(P45,R45,T45,V45,X45,Z45,AB45,AD45,AF45,AH45,AJ45,AL45,AN45,AP45,AR45)</f>
        <v>0</v>
      </c>
      <c r="K45" s="44"/>
      <c r="L45" s="6"/>
      <c r="M45" s="6"/>
      <c r="N45" s="14"/>
      <c r="O45" s="122"/>
      <c r="P45" s="46"/>
      <c r="Q45" s="46"/>
      <c r="R45" s="47"/>
      <c r="S45" s="47"/>
      <c r="T45" s="47"/>
      <c r="U45" s="47"/>
      <c r="V45" s="47"/>
      <c r="W45" s="47"/>
      <c r="X45" s="47"/>
      <c r="Y45" s="47"/>
      <c r="Z45" s="48">
        <v>0</v>
      </c>
      <c r="AA45" s="48">
        <v>0</v>
      </c>
      <c r="AB45" s="49"/>
      <c r="AC45" s="49"/>
      <c r="AD45" s="50"/>
      <c r="AE45" s="50"/>
      <c r="AF45" s="14"/>
      <c r="AG45" s="122"/>
      <c r="AH45" s="51">
        <v>0</v>
      </c>
      <c r="AI45" s="51">
        <v>0</v>
      </c>
      <c r="AJ45" s="47"/>
      <c r="AK45" s="47"/>
      <c r="AL45" s="14"/>
      <c r="AM45" s="122"/>
      <c r="AN45" s="47"/>
      <c r="AO45" s="47"/>
      <c r="AP45" s="47"/>
      <c r="AQ45" s="47"/>
      <c r="AR45" s="51">
        <v>0</v>
      </c>
      <c r="AS45" s="51">
        <v>0</v>
      </c>
    </row>
    <row r="46" ht="58.5" customHeight="1" hidden="1">
      <c r="A46" t="s" s="130">
        <v>777</v>
      </c>
      <c r="B46" t="s" s="52">
        <v>61</v>
      </c>
      <c r="C46" t="s" s="130">
        <v>770</v>
      </c>
      <c r="D46" t="s" s="209">
        <v>717</v>
      </c>
      <c r="E46" t="s" s="217">
        <v>778</v>
      </c>
      <c r="F46" t="s" s="210">
        <v>714</v>
      </c>
      <c r="G46" s="211"/>
      <c r="H46" s="42">
        <f>SUM(J46,N46)</f>
        <v>2170</v>
      </c>
      <c r="I46" s="207">
        <f>SUM(Q46,S46,U46,W46,Y46,AA46,AC46,AE46,AG46,AI46,AK46,AM46,AO46,AQ46,AS46)</f>
        <v>641</v>
      </c>
      <c r="J46" s="43">
        <f>SUM(P46,R46,T46,V46,X46,Z46,AB46,AD46,AF46,AH46,AJ46,AL46,AN46,AP46,AR46)</f>
        <v>2170</v>
      </c>
      <c r="K46" s="44"/>
      <c r="L46" s="6"/>
      <c r="M46" s="6"/>
      <c r="N46" s="14"/>
      <c r="O46" s="122"/>
      <c r="P46" s="27">
        <v>2000</v>
      </c>
      <c r="Q46" s="27">
        <v>595</v>
      </c>
      <c r="R46" s="51">
        <v>10</v>
      </c>
      <c r="S46" s="51">
        <v>0</v>
      </c>
      <c r="T46" s="51">
        <v>150</v>
      </c>
      <c r="U46" s="51">
        <v>46</v>
      </c>
      <c r="V46" s="51">
        <v>10</v>
      </c>
      <c r="W46" s="51">
        <v>0</v>
      </c>
      <c r="X46" s="51">
        <v>0</v>
      </c>
      <c r="Y46" s="51">
        <v>0</v>
      </c>
      <c r="Z46" s="48">
        <v>0</v>
      </c>
      <c r="AA46" s="48">
        <v>0</v>
      </c>
      <c r="AB46" s="48">
        <v>0</v>
      </c>
      <c r="AC46" s="48">
        <v>0</v>
      </c>
      <c r="AD46" s="55">
        <v>0</v>
      </c>
      <c r="AE46" s="213">
        <v>0</v>
      </c>
      <c r="AF46" s="212">
        <v>0</v>
      </c>
      <c r="AG46" s="121">
        <v>0</v>
      </c>
      <c r="AH46" s="51">
        <v>0</v>
      </c>
      <c r="AI46" s="51">
        <v>0</v>
      </c>
      <c r="AJ46" s="51">
        <v>0</v>
      </c>
      <c r="AK46" s="51">
        <v>0</v>
      </c>
      <c r="AL46" s="14"/>
      <c r="AM46" s="122"/>
      <c r="AN46" s="51">
        <v>0</v>
      </c>
      <c r="AO46" s="51">
        <v>0</v>
      </c>
      <c r="AP46" s="51">
        <v>0</v>
      </c>
      <c r="AQ46" s="47"/>
      <c r="AR46" s="51">
        <v>0</v>
      </c>
      <c r="AS46" s="51">
        <v>0</v>
      </c>
    </row>
    <row r="47" ht="78" customHeight="1" hidden="1">
      <c r="A47" t="s" s="130">
        <v>779</v>
      </c>
      <c r="B47" t="s" s="52">
        <v>62</v>
      </c>
      <c r="C47" t="s" s="130">
        <v>770</v>
      </c>
      <c r="D47" t="s" s="209">
        <v>717</v>
      </c>
      <c r="E47" t="s" s="217">
        <v>780</v>
      </c>
      <c r="F47" t="s" s="210">
        <v>714</v>
      </c>
      <c r="G47" s="211"/>
      <c r="H47" s="42">
        <f>SUM(J47,N47)</f>
        <v>3720</v>
      </c>
      <c r="I47" s="207">
        <f>SUM(Q47,S47,U47,W47,Y47,AA47,AC47,AE47,AG47,AI47,AK47,AM47,AO47,AQ47,AS47)</f>
        <v>2739</v>
      </c>
      <c r="J47" s="43">
        <f>SUM(P47,R47,T47,V47,X47,Z47,AB47,AD47,AF47,AH47,AJ47,AL47,AN47,AP47,AR47)</f>
        <v>3690</v>
      </c>
      <c r="K47" s="44"/>
      <c r="L47" s="6"/>
      <c r="M47" s="6"/>
      <c r="N47" s="212">
        <v>30</v>
      </c>
      <c r="O47" s="122"/>
      <c r="P47" s="27">
        <v>3000</v>
      </c>
      <c r="Q47" s="27">
        <v>2300</v>
      </c>
      <c r="R47" s="51">
        <v>10</v>
      </c>
      <c r="S47" s="51">
        <v>10</v>
      </c>
      <c r="T47" s="51">
        <v>360</v>
      </c>
      <c r="U47" s="51">
        <v>140</v>
      </c>
      <c r="V47" s="51">
        <v>300</v>
      </c>
      <c r="W47" s="51">
        <v>281</v>
      </c>
      <c r="X47" s="51">
        <v>20</v>
      </c>
      <c r="Y47" s="51">
        <v>8</v>
      </c>
      <c r="Z47" s="48">
        <v>0</v>
      </c>
      <c r="AA47" s="48">
        <v>0</v>
      </c>
      <c r="AB47" s="48">
        <v>0</v>
      </c>
      <c r="AC47" s="48">
        <v>0</v>
      </c>
      <c r="AD47" s="55">
        <v>0</v>
      </c>
      <c r="AE47" s="213">
        <v>0</v>
      </c>
      <c r="AF47" s="212">
        <v>0</v>
      </c>
      <c r="AG47" s="121">
        <v>0</v>
      </c>
      <c r="AH47" s="51">
        <v>0</v>
      </c>
      <c r="AI47" s="51">
        <v>0</v>
      </c>
      <c r="AJ47" s="51">
        <v>0</v>
      </c>
      <c r="AK47" s="51">
        <v>0</v>
      </c>
      <c r="AL47" s="14"/>
      <c r="AM47" s="122"/>
      <c r="AN47" s="51">
        <v>0</v>
      </c>
      <c r="AO47" s="51">
        <v>0</v>
      </c>
      <c r="AP47" s="51">
        <v>0</v>
      </c>
      <c r="AQ47" s="47"/>
      <c r="AR47" s="51">
        <v>0</v>
      </c>
      <c r="AS47" s="51">
        <v>0</v>
      </c>
    </row>
    <row r="48" ht="175.5" customHeight="1" hidden="1">
      <c r="A48" t="s" s="59">
        <v>781</v>
      </c>
      <c r="B48" t="s" s="21">
        <v>63</v>
      </c>
      <c r="C48" t="s" s="59">
        <v>782</v>
      </c>
      <c r="D48" t="s" s="190">
        <v>717</v>
      </c>
      <c r="E48" t="s" s="216">
        <v>783</v>
      </c>
      <c r="F48" t="s" s="192">
        <v>714</v>
      </c>
      <c r="G48" s="193"/>
      <c r="H48" s="194">
        <f>SUM(J48,N48)</f>
        <v>4030</v>
      </c>
      <c r="I48" s="195">
        <f>SUM(Q48,S48,U48,W48,Y48,AA48,AC48,AE48,AG48,AI48,AK48,AM48,AO48,AQ48,AS48)</f>
        <v>1960</v>
      </c>
      <c r="J48" s="23">
        <f>SUM(P48,R48,T48,V48,X48,Z48,AB48,AD48,AF48,AH48,AJ48,AL48,AN48,AP48,AR48)</f>
        <v>4030</v>
      </c>
      <c r="K48" s="36"/>
      <c r="L48" s="196"/>
      <c r="M48" s="196"/>
      <c r="N48" s="196"/>
      <c r="O48" s="197"/>
      <c r="P48" s="27">
        <v>1000</v>
      </c>
      <c r="Q48" s="27">
        <v>260</v>
      </c>
      <c r="R48" s="28">
        <v>1000</v>
      </c>
      <c r="S48" s="28">
        <v>870</v>
      </c>
      <c r="T48" s="28">
        <v>30</v>
      </c>
      <c r="U48" s="28">
        <v>30</v>
      </c>
      <c r="V48" s="28">
        <v>2000</v>
      </c>
      <c r="W48" s="28">
        <v>800</v>
      </c>
      <c r="X48" s="28">
        <v>0</v>
      </c>
      <c r="Y48" s="28">
        <v>0</v>
      </c>
      <c r="Z48" s="30">
        <v>0</v>
      </c>
      <c r="AA48" s="30">
        <v>0</v>
      </c>
      <c r="AB48" s="30">
        <v>0</v>
      </c>
      <c r="AC48" s="30">
        <v>0</v>
      </c>
      <c r="AD48" s="30">
        <v>0</v>
      </c>
      <c r="AE48" s="30">
        <v>0</v>
      </c>
      <c r="AF48" s="198">
        <v>0</v>
      </c>
      <c r="AG48" s="206">
        <v>0</v>
      </c>
      <c r="AH48" s="28">
        <v>0</v>
      </c>
      <c r="AI48" s="28">
        <v>0</v>
      </c>
      <c r="AJ48" s="28">
        <v>0</v>
      </c>
      <c r="AK48" s="28">
        <v>0</v>
      </c>
      <c r="AL48" s="202"/>
      <c r="AM48" s="197"/>
      <c r="AN48" s="28">
        <v>0</v>
      </c>
      <c r="AO48" s="28">
        <v>0</v>
      </c>
      <c r="AP48" s="28">
        <v>0</v>
      </c>
      <c r="AQ48" s="87"/>
      <c r="AR48" s="28">
        <v>0</v>
      </c>
      <c r="AS48" s="28">
        <v>0</v>
      </c>
    </row>
    <row r="49" ht="409.5" customHeight="1" hidden="1">
      <c r="A49" t="s" s="59">
        <v>784</v>
      </c>
      <c r="B49" t="s" s="21">
        <v>64</v>
      </c>
      <c r="C49" t="s" s="59">
        <v>782</v>
      </c>
      <c r="D49" t="s" s="190">
        <v>717</v>
      </c>
      <c r="E49" t="s" s="216">
        <v>785</v>
      </c>
      <c r="F49" t="s" s="192">
        <v>714</v>
      </c>
      <c r="G49" s="193"/>
      <c r="H49" s="194">
        <f>SUM(J49,N49)</f>
        <v>12115</v>
      </c>
      <c r="I49" s="195">
        <f>SUM(Q49,S49,U49,W49,Y49,AA49,AC49,AE49,AG49,AI49,AK49,AM49,AO49,AQ49,AS49)</f>
        <v>1591</v>
      </c>
      <c r="J49" s="23">
        <f>SUM(P49,R49,T49,V49,X49,Z49,AB49,AD49,AF49,AH49,AJ49,AL49,AN49,AP49,AR49)</f>
        <v>12085</v>
      </c>
      <c r="K49" s="36"/>
      <c r="L49" s="196"/>
      <c r="M49" s="196"/>
      <c r="N49" s="199">
        <v>30</v>
      </c>
      <c r="O49" s="197"/>
      <c r="P49" s="27">
        <v>12000</v>
      </c>
      <c r="Q49" s="27">
        <v>1571</v>
      </c>
      <c r="R49" s="28">
        <v>10</v>
      </c>
      <c r="S49" s="28">
        <v>20</v>
      </c>
      <c r="T49" s="28">
        <v>25</v>
      </c>
      <c r="U49" s="28">
        <v>0</v>
      </c>
      <c r="V49" s="28">
        <v>50</v>
      </c>
      <c r="W49" s="28">
        <v>0</v>
      </c>
      <c r="X49" s="28">
        <v>0</v>
      </c>
      <c r="Y49" s="28">
        <v>0</v>
      </c>
      <c r="Z49" s="30">
        <v>0</v>
      </c>
      <c r="AA49" s="30">
        <v>0</v>
      </c>
      <c r="AB49" s="30">
        <v>0</v>
      </c>
      <c r="AC49" s="30">
        <v>0</v>
      </c>
      <c r="AD49" s="30">
        <v>0</v>
      </c>
      <c r="AE49" s="30">
        <v>0</v>
      </c>
      <c r="AF49" s="198">
        <v>0</v>
      </c>
      <c r="AG49" s="197"/>
      <c r="AH49" s="28">
        <v>0</v>
      </c>
      <c r="AI49" s="28">
        <v>0</v>
      </c>
      <c r="AJ49" s="28">
        <v>0</v>
      </c>
      <c r="AK49" s="28">
        <v>0</v>
      </c>
      <c r="AL49" s="202"/>
      <c r="AM49" s="197"/>
      <c r="AN49" s="28">
        <v>0</v>
      </c>
      <c r="AO49" s="28">
        <v>0</v>
      </c>
      <c r="AP49" s="28">
        <v>0</v>
      </c>
      <c r="AQ49" s="87"/>
      <c r="AR49" s="28">
        <v>0</v>
      </c>
      <c r="AS49" s="28">
        <v>0</v>
      </c>
    </row>
    <row r="50" ht="58.5" customHeight="1" hidden="1">
      <c r="A50" t="s" s="226">
        <v>786</v>
      </c>
      <c r="B50" t="s" s="61">
        <v>65</v>
      </c>
      <c r="C50" t="s" s="59">
        <v>782</v>
      </c>
      <c r="D50" t="s" s="190">
        <v>717</v>
      </c>
      <c r="E50" t="s" s="216">
        <v>787</v>
      </c>
      <c r="F50" t="s" s="192">
        <v>714</v>
      </c>
      <c r="G50" s="193"/>
      <c r="H50" s="194">
        <f>SUM(J50,N50)</f>
        <v>500</v>
      </c>
      <c r="I50" s="195">
        <f>SUM(Q50,S50,U50,W50,Y50,AA50,AC50,AE50,AG50,AI50,AK50,AM50,AO50,AQ50,AS50)</f>
        <v>0</v>
      </c>
      <c r="J50" s="23">
        <f>SUM(P50,R50,T50,V50,X50,Z50,AB50,AD50,AF50,AH50,AJ50,AL50,AN50,AP50,AR50)</f>
        <v>500</v>
      </c>
      <c r="K50" s="36"/>
      <c r="L50" s="196"/>
      <c r="M50" s="196"/>
      <c r="N50" s="196"/>
      <c r="O50" s="197"/>
      <c r="P50" s="27">
        <v>200</v>
      </c>
      <c r="Q50" s="27">
        <v>0</v>
      </c>
      <c r="R50" s="28">
        <v>100</v>
      </c>
      <c r="S50" s="28">
        <v>0</v>
      </c>
      <c r="T50" s="28">
        <v>0</v>
      </c>
      <c r="U50" s="28">
        <v>0</v>
      </c>
      <c r="V50" s="28">
        <v>200</v>
      </c>
      <c r="W50" s="28">
        <v>0</v>
      </c>
      <c r="X50" s="28">
        <v>0</v>
      </c>
      <c r="Y50" s="28">
        <v>0</v>
      </c>
      <c r="Z50" s="30">
        <v>0</v>
      </c>
      <c r="AA50" s="30">
        <v>0</v>
      </c>
      <c r="AB50" s="30">
        <v>0</v>
      </c>
      <c r="AC50" s="30">
        <v>0</v>
      </c>
      <c r="AD50" s="30">
        <v>0</v>
      </c>
      <c r="AE50" s="30">
        <v>0</v>
      </c>
      <c r="AF50" s="198">
        <v>0</v>
      </c>
      <c r="AG50" s="206">
        <v>0</v>
      </c>
      <c r="AH50" s="28">
        <v>0</v>
      </c>
      <c r="AI50" s="28">
        <v>0</v>
      </c>
      <c r="AJ50" s="28">
        <v>0</v>
      </c>
      <c r="AK50" s="28">
        <v>0</v>
      </c>
      <c r="AL50" s="202"/>
      <c r="AM50" s="197"/>
      <c r="AN50" s="28">
        <v>0</v>
      </c>
      <c r="AO50" s="28">
        <v>0</v>
      </c>
      <c r="AP50" s="28">
        <v>0</v>
      </c>
      <c r="AQ50" s="87"/>
      <c r="AR50" s="28">
        <v>0</v>
      </c>
      <c r="AS50" s="28">
        <v>0</v>
      </c>
    </row>
    <row r="51" ht="19.5" customHeight="1" hidden="1">
      <c r="A51" s="227">
        <v>2</v>
      </c>
      <c r="B51" t="s" s="10">
        <v>66</v>
      </c>
      <c r="C51" s="180"/>
      <c r="D51" s="180"/>
      <c r="E51" s="189"/>
      <c r="F51" s="182">
        <v>0</v>
      </c>
      <c r="G51" s="183"/>
      <c r="H51" s="42">
        <f>SUM(J51,N51)</f>
        <v>0</v>
      </c>
      <c r="I51" s="207">
        <f>SUM(Q51,S51,U51,W51,Y51,AA51,AC51,AE51,AG51,AI51,AK51,AM51,AO51,AQ51,AS51)</f>
        <v>0</v>
      </c>
      <c r="J51" s="43">
        <f>SUM(P51,R51,T51,V51,X51,Z51,AB51,AD51,AF51,AH51,AJ51,AL51,AN51,AP51,AR51)</f>
        <v>0</v>
      </c>
      <c r="K51" s="44"/>
      <c r="L51" s="6"/>
      <c r="M51" s="6"/>
      <c r="N51" s="14"/>
      <c r="O51" s="122"/>
      <c r="P51" s="46"/>
      <c r="Q51" s="46"/>
      <c r="R51" s="47"/>
      <c r="S51" s="47"/>
      <c r="T51" s="47"/>
      <c r="U51" s="47"/>
      <c r="V51" s="47"/>
      <c r="W51" s="47"/>
      <c r="X51" s="47"/>
      <c r="Y51" s="47"/>
      <c r="Z51" s="48">
        <v>0</v>
      </c>
      <c r="AA51" s="48">
        <v>0</v>
      </c>
      <c r="AB51" s="49"/>
      <c r="AC51" s="49"/>
      <c r="AD51" s="55">
        <v>0</v>
      </c>
      <c r="AE51" s="213">
        <v>0</v>
      </c>
      <c r="AF51" s="14"/>
      <c r="AG51" s="122"/>
      <c r="AH51" s="51">
        <v>0</v>
      </c>
      <c r="AI51" s="51">
        <v>0</v>
      </c>
      <c r="AJ51" s="47"/>
      <c r="AK51" s="47"/>
      <c r="AL51" s="14"/>
      <c r="AM51" s="122"/>
      <c r="AN51" s="47"/>
      <c r="AO51" s="47"/>
      <c r="AP51" s="47"/>
      <c r="AQ51" s="47"/>
      <c r="AR51" s="51">
        <v>0</v>
      </c>
      <c r="AS51" s="51">
        <v>0</v>
      </c>
    </row>
    <row r="52" ht="19.5" customHeight="1" hidden="1">
      <c r="A52" t="s" s="225">
        <v>788</v>
      </c>
      <c r="B52" t="s" s="16">
        <v>67</v>
      </c>
      <c r="C52" s="188"/>
      <c r="D52" s="188"/>
      <c r="E52" s="189"/>
      <c r="F52" s="182">
        <v>0</v>
      </c>
      <c r="G52" s="183"/>
      <c r="H52" s="42">
        <f>SUM(J52,N52)</f>
        <v>0</v>
      </c>
      <c r="I52" s="207">
        <f>SUM(Q52,S52,U52,W52,Y52,AA52,AC52,AE52,AG52,AI52,AK52,AM52,AO52,AQ52,AS52)</f>
        <v>0</v>
      </c>
      <c r="J52" s="43">
        <f>SUM(P52,R52,T52,V52,X52,Z52,AB52,AD52,AF52,AH52,AJ52,AL52,AN52,AP52,AR52)</f>
        <v>0</v>
      </c>
      <c r="K52" s="44"/>
      <c r="L52" s="6"/>
      <c r="M52" s="6"/>
      <c r="N52" s="14"/>
      <c r="O52" s="122"/>
      <c r="P52" s="46"/>
      <c r="Q52" s="46"/>
      <c r="R52" s="47"/>
      <c r="S52" s="47"/>
      <c r="T52" s="47"/>
      <c r="U52" s="47"/>
      <c r="V52" s="47"/>
      <c r="W52" s="47"/>
      <c r="X52" s="47"/>
      <c r="Y52" s="47"/>
      <c r="Z52" s="48">
        <v>0</v>
      </c>
      <c r="AA52" s="48">
        <v>0</v>
      </c>
      <c r="AB52" s="49"/>
      <c r="AC52" s="49"/>
      <c r="AD52" s="50"/>
      <c r="AE52" s="50"/>
      <c r="AF52" s="14"/>
      <c r="AG52" s="122"/>
      <c r="AH52" s="51">
        <v>0</v>
      </c>
      <c r="AI52" s="51">
        <v>0</v>
      </c>
      <c r="AJ52" s="47"/>
      <c r="AK52" s="47"/>
      <c r="AL52" s="14"/>
      <c r="AM52" s="122"/>
      <c r="AN52" s="47"/>
      <c r="AO52" s="47"/>
      <c r="AP52" s="47"/>
      <c r="AQ52" s="47"/>
      <c r="AR52" s="51">
        <v>0</v>
      </c>
      <c r="AS52" s="51">
        <v>0</v>
      </c>
    </row>
    <row r="53" ht="63" customHeight="1" hidden="1">
      <c r="A53" t="s" s="130">
        <v>789</v>
      </c>
      <c r="B53" t="s" s="52">
        <v>68</v>
      </c>
      <c r="C53" t="s" s="130">
        <v>790</v>
      </c>
      <c r="D53" t="s" s="209">
        <v>791</v>
      </c>
      <c r="E53" s="189"/>
      <c r="F53" t="s" s="210">
        <v>720</v>
      </c>
      <c r="G53" s="211"/>
      <c r="H53" s="42">
        <f>SUM(J53,N53)</f>
        <v>31495</v>
      </c>
      <c r="I53" s="207">
        <f>SUM(Q53,S53,U53,W53,Y53,AA53,AC53,AE53,AG53,AI53,AK53,AM53,AO53,AQ53,AS53)</f>
        <v>19391</v>
      </c>
      <c r="J53" s="43">
        <f>SUM(P53,R53,T53,V53,X53,Z53,AB53,AD53,AF53,AH53,AJ53,AL53,AN53,AP53,AR53)</f>
        <v>31495</v>
      </c>
      <c r="K53" s="44"/>
      <c r="L53" s="6"/>
      <c r="M53" s="6"/>
      <c r="N53" s="14"/>
      <c r="O53" s="122"/>
      <c r="P53" s="27">
        <v>600</v>
      </c>
      <c r="Q53" s="27">
        <v>360</v>
      </c>
      <c r="R53" s="51">
        <v>0</v>
      </c>
      <c r="S53" s="51">
        <v>0</v>
      </c>
      <c r="T53" s="51">
        <v>2500</v>
      </c>
      <c r="U53" s="51">
        <v>1584</v>
      </c>
      <c r="V53" s="51">
        <v>1200</v>
      </c>
      <c r="W53" s="51">
        <v>930</v>
      </c>
      <c r="X53" s="51">
        <v>1000</v>
      </c>
      <c r="Y53" s="51">
        <v>780</v>
      </c>
      <c r="Z53" s="48">
        <v>4300</v>
      </c>
      <c r="AA53" s="48">
        <v>3000</v>
      </c>
      <c r="AB53" s="48">
        <v>4935</v>
      </c>
      <c r="AC53" s="48">
        <v>2946</v>
      </c>
      <c r="AD53" s="55">
        <v>8955</v>
      </c>
      <c r="AE53" s="213">
        <v>5126</v>
      </c>
      <c r="AF53" s="212">
        <v>4200</v>
      </c>
      <c r="AG53" s="121">
        <v>2800</v>
      </c>
      <c r="AH53" s="51">
        <v>3780</v>
      </c>
      <c r="AI53" s="51">
        <v>1840</v>
      </c>
      <c r="AJ53" s="51">
        <v>0</v>
      </c>
      <c r="AK53" s="51">
        <v>0</v>
      </c>
      <c r="AL53" s="14"/>
      <c r="AM53" s="122"/>
      <c r="AN53" s="51">
        <v>0</v>
      </c>
      <c r="AO53" s="51">
        <v>0</v>
      </c>
      <c r="AP53" s="51">
        <v>25</v>
      </c>
      <c r="AQ53" s="51">
        <v>25</v>
      </c>
      <c r="AR53" s="51">
        <v>0</v>
      </c>
      <c r="AS53" s="51">
        <v>0</v>
      </c>
    </row>
    <row r="54" ht="19.5" customHeight="1" hidden="1">
      <c r="A54" t="s" s="187">
        <v>792</v>
      </c>
      <c r="B54" t="s" s="16">
        <v>69</v>
      </c>
      <c r="C54" s="188"/>
      <c r="D54" s="188"/>
      <c r="E54" s="189"/>
      <c r="F54" s="182">
        <v>0</v>
      </c>
      <c r="G54" s="183"/>
      <c r="H54" s="42">
        <f>SUM(J54,N54)</f>
        <v>0</v>
      </c>
      <c r="I54" s="207">
        <f>SUM(Q54,S54,U54,W54,Y54,AA54,AC54,AE54,AG54,AI54,AK54,AM54,AO54,AQ54,AS54)</f>
        <v>0</v>
      </c>
      <c r="J54" s="43">
        <f>SUM(P54,R54,T54,V54,X54,Z54,AB54,AD54,AF54,AH54,AJ54,AL54,AN54,AP54,AR54)</f>
        <v>0</v>
      </c>
      <c r="K54" s="44"/>
      <c r="L54" s="6"/>
      <c r="M54" s="6"/>
      <c r="N54" s="14"/>
      <c r="O54" s="122"/>
      <c r="P54" s="46"/>
      <c r="Q54" s="46"/>
      <c r="R54" s="47"/>
      <c r="S54" s="47"/>
      <c r="T54" s="47"/>
      <c r="U54" s="47"/>
      <c r="V54" s="47"/>
      <c r="W54" s="47"/>
      <c r="X54" s="47"/>
      <c r="Y54" s="47"/>
      <c r="Z54" s="48">
        <v>0</v>
      </c>
      <c r="AA54" s="48">
        <v>0</v>
      </c>
      <c r="AB54" s="49"/>
      <c r="AC54" s="49"/>
      <c r="AD54" s="50"/>
      <c r="AE54" s="50"/>
      <c r="AF54" s="14"/>
      <c r="AG54" s="122"/>
      <c r="AH54" s="51">
        <v>0</v>
      </c>
      <c r="AI54" s="51">
        <v>0</v>
      </c>
      <c r="AJ54" s="47"/>
      <c r="AK54" s="47"/>
      <c r="AL54" s="14"/>
      <c r="AM54" s="122"/>
      <c r="AN54" s="47"/>
      <c r="AO54" s="47"/>
      <c r="AP54" s="47"/>
      <c r="AQ54" s="47"/>
      <c r="AR54" s="51">
        <v>0</v>
      </c>
      <c r="AS54" s="51">
        <v>0</v>
      </c>
    </row>
    <row r="55" ht="31.5" customHeight="1" hidden="1">
      <c r="A55" t="s" s="130">
        <v>793</v>
      </c>
      <c r="B55" t="s" s="52">
        <v>70</v>
      </c>
      <c r="C55" t="s" s="130">
        <v>790</v>
      </c>
      <c r="D55" t="s" s="209">
        <v>791</v>
      </c>
      <c r="E55" s="189"/>
      <c r="F55" t="s" s="210">
        <v>720</v>
      </c>
      <c r="G55" s="211"/>
      <c r="H55" s="42">
        <f>SUM(J55,N55)</f>
        <v>32715</v>
      </c>
      <c r="I55" s="207">
        <f>SUM(Q55,S55,U55,W55,Y55,AA55,AC55,AE55,AG55,AI55,AK55,AM55,AO55,AQ55,AS55)</f>
        <v>20857</v>
      </c>
      <c r="J55" s="43">
        <f>SUM(P55,R55,T55,V55,X55,Z55,AB55,AD55,AF55,AH55,AJ55,AL55,AN55,AP55,AR55)</f>
        <v>32715</v>
      </c>
      <c r="K55" s="44"/>
      <c r="L55" s="6"/>
      <c r="M55" s="6"/>
      <c r="N55" s="14"/>
      <c r="O55" s="122"/>
      <c r="P55" s="27">
        <v>0</v>
      </c>
      <c r="Q55" s="27">
        <v>0</v>
      </c>
      <c r="R55" s="51">
        <v>240</v>
      </c>
      <c r="S55" s="51">
        <v>240</v>
      </c>
      <c r="T55" s="51">
        <v>2500</v>
      </c>
      <c r="U55" s="51">
        <v>1830</v>
      </c>
      <c r="V55" s="51">
        <v>1500</v>
      </c>
      <c r="W55" s="51">
        <v>1235</v>
      </c>
      <c r="X55" s="51">
        <v>1200</v>
      </c>
      <c r="Y55" s="51">
        <v>1000</v>
      </c>
      <c r="Z55" s="48">
        <v>5800</v>
      </c>
      <c r="AA55" s="48">
        <v>3458</v>
      </c>
      <c r="AB55" s="48">
        <v>4640</v>
      </c>
      <c r="AC55" s="48">
        <v>2746</v>
      </c>
      <c r="AD55" s="55">
        <v>7325</v>
      </c>
      <c r="AE55" s="213">
        <v>3972</v>
      </c>
      <c r="AF55" s="212">
        <v>4550</v>
      </c>
      <c r="AG55" s="121">
        <v>4350</v>
      </c>
      <c r="AH55" s="51">
        <v>4950</v>
      </c>
      <c r="AI55" s="51">
        <v>2016</v>
      </c>
      <c r="AJ55" s="51">
        <v>0</v>
      </c>
      <c r="AK55" s="51">
        <v>0</v>
      </c>
      <c r="AL55" s="14"/>
      <c r="AM55" s="122"/>
      <c r="AN55" s="51">
        <v>10</v>
      </c>
      <c r="AO55" s="51">
        <v>10</v>
      </c>
      <c r="AP55" s="51">
        <v>0</v>
      </c>
      <c r="AQ55" s="47"/>
      <c r="AR55" s="51">
        <v>0</v>
      </c>
      <c r="AS55" s="51">
        <v>0</v>
      </c>
    </row>
    <row r="56" ht="78" customHeight="1" hidden="1">
      <c r="A56" t="s" s="130">
        <v>794</v>
      </c>
      <c r="B56" t="s" s="52">
        <v>71</v>
      </c>
      <c r="C56" t="s" s="130">
        <v>782</v>
      </c>
      <c r="D56" t="s" s="209">
        <v>717</v>
      </c>
      <c r="E56" t="s" s="217">
        <v>795</v>
      </c>
      <c r="F56" t="s" s="210">
        <v>714</v>
      </c>
      <c r="G56" s="211"/>
      <c r="H56" s="42">
        <f>SUM(J56,N56)</f>
        <v>94611</v>
      </c>
      <c r="I56" s="207">
        <f>SUM(Q56,S56,U56,W56,Y56,AA56,AC56,AE56,AG56,AI56,AK56,AM56,AO56,AQ56,AS56)</f>
        <v>70682</v>
      </c>
      <c r="J56" s="43">
        <f>SUM(P56,R56,T56,V56,X56,Z56,AB56,AD56,AF56,AH56,AJ56,AL56,AN56,AP56,AR56)</f>
        <v>92611</v>
      </c>
      <c r="K56" s="44"/>
      <c r="L56" s="6"/>
      <c r="M56" s="6"/>
      <c r="N56" s="212">
        <v>2000</v>
      </c>
      <c r="O56" s="122"/>
      <c r="P56" s="27">
        <v>8000</v>
      </c>
      <c r="Q56" s="27">
        <v>6375</v>
      </c>
      <c r="R56" s="51">
        <v>15000</v>
      </c>
      <c r="S56" s="51">
        <v>13250</v>
      </c>
      <c r="T56" s="51">
        <v>30000</v>
      </c>
      <c r="U56" s="51">
        <v>18000</v>
      </c>
      <c r="V56" s="51">
        <v>14000</v>
      </c>
      <c r="W56" s="51">
        <v>12740</v>
      </c>
      <c r="X56" s="51">
        <v>10000</v>
      </c>
      <c r="Y56" s="51">
        <v>9341</v>
      </c>
      <c r="Z56" s="48">
        <v>3500</v>
      </c>
      <c r="AA56" s="48">
        <v>2235</v>
      </c>
      <c r="AB56" s="48">
        <v>2686</v>
      </c>
      <c r="AC56" s="48">
        <v>1761</v>
      </c>
      <c r="AD56" s="55">
        <v>3065</v>
      </c>
      <c r="AE56" s="213">
        <v>2392</v>
      </c>
      <c r="AF56" s="212">
        <v>3050</v>
      </c>
      <c r="AG56" s="121">
        <v>2750</v>
      </c>
      <c r="AH56" s="51">
        <v>3310</v>
      </c>
      <c r="AI56" s="51">
        <v>1838</v>
      </c>
      <c r="AJ56" s="51">
        <v>0</v>
      </c>
      <c r="AK56" s="51">
        <v>0</v>
      </c>
      <c r="AL56" s="14"/>
      <c r="AM56" s="122"/>
      <c r="AN56" s="51">
        <v>0</v>
      </c>
      <c r="AO56" s="51">
        <v>0</v>
      </c>
      <c r="AP56" s="51">
        <v>0</v>
      </c>
      <c r="AQ56" s="47"/>
      <c r="AR56" s="51">
        <v>0</v>
      </c>
      <c r="AS56" s="51">
        <v>0</v>
      </c>
    </row>
    <row r="57" ht="78" customHeight="1" hidden="1">
      <c r="A57" t="s" s="130">
        <v>796</v>
      </c>
      <c r="B57" t="s" s="52">
        <v>72</v>
      </c>
      <c r="C57" t="s" s="130">
        <v>765</v>
      </c>
      <c r="D57" t="s" s="209">
        <v>713</v>
      </c>
      <c r="E57" t="s" s="217">
        <v>797</v>
      </c>
      <c r="F57" t="s" s="210">
        <v>720</v>
      </c>
      <c r="G57" s="211"/>
      <c r="H57" s="42">
        <f>SUM(J57,N57)</f>
        <v>370320</v>
      </c>
      <c r="I57" s="207">
        <f>SUM(Q57,S57,U57,W57,Y57,AA57,AC57,AE57,AG57,AI57,AK57,AM57,AO57,AQ57,AS57)</f>
        <v>275162</v>
      </c>
      <c r="J57" s="43">
        <f>SUM(P57,R57,T57,V57,X57,Z57,AB57,AD57,AF57,AH57,AJ57,AL57,AN57,AP57,AR57)</f>
        <v>370320</v>
      </c>
      <c r="K57" s="44"/>
      <c r="L57" s="6"/>
      <c r="M57" s="6"/>
      <c r="N57" s="14"/>
      <c r="O57" s="122"/>
      <c r="P57" s="27">
        <v>6000</v>
      </c>
      <c r="Q57" s="27">
        <v>5462</v>
      </c>
      <c r="R57" s="51">
        <v>25000</v>
      </c>
      <c r="S57" s="51">
        <v>22800</v>
      </c>
      <c r="T57" s="51">
        <v>27000</v>
      </c>
      <c r="U57" s="51">
        <v>23780</v>
      </c>
      <c r="V57" s="51">
        <v>36000</v>
      </c>
      <c r="W57" s="51">
        <v>31680</v>
      </c>
      <c r="X57" s="51">
        <v>30000</v>
      </c>
      <c r="Y57" s="51">
        <v>26550</v>
      </c>
      <c r="Z57" s="48">
        <v>50900</v>
      </c>
      <c r="AA57" s="48">
        <v>42120</v>
      </c>
      <c r="AB57" s="48">
        <v>47970</v>
      </c>
      <c r="AC57" s="48">
        <v>27000</v>
      </c>
      <c r="AD57" s="55">
        <v>70250</v>
      </c>
      <c r="AE57" s="213">
        <v>43210</v>
      </c>
      <c r="AF57" s="212">
        <v>33000</v>
      </c>
      <c r="AG57" s="121">
        <v>28100</v>
      </c>
      <c r="AH57" s="51">
        <v>44000</v>
      </c>
      <c r="AI57" s="51">
        <v>24460</v>
      </c>
      <c r="AJ57" s="51">
        <v>200</v>
      </c>
      <c r="AK57" s="51">
        <v>0</v>
      </c>
      <c r="AL57" s="14"/>
      <c r="AM57" s="122"/>
      <c r="AN57" s="51">
        <v>0</v>
      </c>
      <c r="AO57" s="51">
        <v>0</v>
      </c>
      <c r="AP57" s="51">
        <v>0</v>
      </c>
      <c r="AQ57" s="47"/>
      <c r="AR57" s="51">
        <v>0</v>
      </c>
      <c r="AS57" s="51">
        <v>0</v>
      </c>
    </row>
    <row r="58" ht="31.5" customHeight="1" hidden="1">
      <c r="A58" t="s" s="187">
        <v>798</v>
      </c>
      <c r="B58" t="s" s="16">
        <v>73</v>
      </c>
      <c r="C58" s="188"/>
      <c r="D58" s="188"/>
      <c r="E58" s="189"/>
      <c r="F58" s="182">
        <v>0</v>
      </c>
      <c r="G58" s="183"/>
      <c r="H58" s="42">
        <f>SUM(J58,N58)</f>
        <v>0</v>
      </c>
      <c r="I58" s="207">
        <f>SUM(Q58,S58,U58,W58,Y58,AA58,AC58,AE58,AG58,AI58,AK58,AM58,AO58,AQ58,AS58)</f>
        <v>0</v>
      </c>
      <c r="J58" s="43">
        <f>SUM(P58,R58,T58,V58,X58,Z58,AB58,AD58,AF58,AH58,AJ58,AL58,AN58,AP58,AR58)</f>
        <v>0</v>
      </c>
      <c r="K58" s="44"/>
      <c r="L58" s="6"/>
      <c r="M58" s="6"/>
      <c r="N58" s="14"/>
      <c r="O58" s="122"/>
      <c r="P58" s="46"/>
      <c r="Q58" s="46"/>
      <c r="R58" s="47"/>
      <c r="S58" s="47"/>
      <c r="T58" s="47"/>
      <c r="U58" s="47"/>
      <c r="V58" s="47"/>
      <c r="W58" s="47"/>
      <c r="X58" s="47"/>
      <c r="Y58" s="47"/>
      <c r="Z58" s="48">
        <v>0</v>
      </c>
      <c r="AA58" s="48">
        <v>0</v>
      </c>
      <c r="AB58" s="49"/>
      <c r="AC58" s="49"/>
      <c r="AD58" s="50"/>
      <c r="AE58" s="50"/>
      <c r="AF58" s="14"/>
      <c r="AG58" s="122"/>
      <c r="AH58" s="51">
        <v>0</v>
      </c>
      <c r="AI58" s="51">
        <v>0</v>
      </c>
      <c r="AJ58" s="47"/>
      <c r="AK58" s="47"/>
      <c r="AL58" s="14"/>
      <c r="AM58" s="122"/>
      <c r="AN58" s="47"/>
      <c r="AO58" s="47"/>
      <c r="AP58" s="47"/>
      <c r="AQ58" s="47"/>
      <c r="AR58" s="51">
        <v>0</v>
      </c>
      <c r="AS58" s="51">
        <v>0</v>
      </c>
    </row>
    <row r="59" ht="234" customHeight="1" hidden="1">
      <c r="A59" t="s" s="59">
        <v>799</v>
      </c>
      <c r="B59" t="s" s="21">
        <v>74</v>
      </c>
      <c r="C59" t="s" s="59">
        <v>800</v>
      </c>
      <c r="D59" t="s" s="190">
        <v>801</v>
      </c>
      <c r="E59" t="s" s="216">
        <v>802</v>
      </c>
      <c r="F59" t="s" s="192">
        <v>714</v>
      </c>
      <c r="G59" s="193"/>
      <c r="H59" s="194">
        <f>SUM(J59,N59)</f>
        <v>104000</v>
      </c>
      <c r="I59" s="195">
        <f>SUM(Q59,S59,U59,W59,Y59,AA59,AC59,AE59,AG59,AI59,AK59,AM59,AO59,AQ59,AS59)</f>
        <v>41728</v>
      </c>
      <c r="J59" s="23">
        <f>SUM(P59,R59,T59,V59,X59,Z59,AB59,AD59,AF59,AH59,AJ59,AL59,AN59,AP59,AR59)</f>
        <v>103500</v>
      </c>
      <c r="K59" s="36"/>
      <c r="L59" s="196"/>
      <c r="M59" s="196"/>
      <c r="N59" s="199">
        <v>500</v>
      </c>
      <c r="O59" s="197"/>
      <c r="P59" s="27">
        <v>80000</v>
      </c>
      <c r="Q59" s="27">
        <v>27874</v>
      </c>
      <c r="R59" s="28">
        <v>1000</v>
      </c>
      <c r="S59" s="28">
        <v>0</v>
      </c>
      <c r="T59" s="28">
        <v>10000</v>
      </c>
      <c r="U59" s="28">
        <v>6386</v>
      </c>
      <c r="V59" s="28">
        <v>10000</v>
      </c>
      <c r="W59" s="28">
        <v>5268</v>
      </c>
      <c r="X59" s="28">
        <v>2500</v>
      </c>
      <c r="Y59" s="28">
        <v>2200</v>
      </c>
      <c r="Z59" s="30">
        <v>0</v>
      </c>
      <c r="AA59" s="30">
        <v>0</v>
      </c>
      <c r="AB59" s="30">
        <v>0</v>
      </c>
      <c r="AC59" s="30">
        <v>0</v>
      </c>
      <c r="AD59" s="30">
        <v>0</v>
      </c>
      <c r="AE59" s="30">
        <v>0</v>
      </c>
      <c r="AF59" s="198">
        <v>0</v>
      </c>
      <c r="AG59" s="206">
        <v>0</v>
      </c>
      <c r="AH59" s="28">
        <v>0</v>
      </c>
      <c r="AI59" s="28">
        <v>0</v>
      </c>
      <c r="AJ59" s="28">
        <v>0</v>
      </c>
      <c r="AK59" s="28">
        <v>0</v>
      </c>
      <c r="AL59" s="202"/>
      <c r="AM59" s="197"/>
      <c r="AN59" s="28">
        <v>0</v>
      </c>
      <c r="AO59" s="28">
        <v>0</v>
      </c>
      <c r="AP59" s="28">
        <v>0</v>
      </c>
      <c r="AQ59" s="87"/>
      <c r="AR59" s="28">
        <v>0</v>
      </c>
      <c r="AS59" s="28">
        <v>0</v>
      </c>
    </row>
    <row r="60" ht="195" customHeight="1" hidden="1">
      <c r="A60" t="s" s="214">
        <v>803</v>
      </c>
      <c r="B60" t="s" s="21">
        <v>75</v>
      </c>
      <c r="C60" t="s" s="59">
        <v>800</v>
      </c>
      <c r="D60" t="s" s="190">
        <v>801</v>
      </c>
      <c r="E60" t="s" s="216">
        <v>804</v>
      </c>
      <c r="F60" t="s" s="192">
        <v>714</v>
      </c>
      <c r="G60" s="193"/>
      <c r="H60" s="194">
        <f>SUM(J60,N60)</f>
        <v>104000</v>
      </c>
      <c r="I60" s="195">
        <f>SUM(Q60,S60,U60,W60,Y60,AA60,AC60,AE60,AG60,AI60,AK60,AM60,AO60,AQ60,AS60)</f>
        <v>53082</v>
      </c>
      <c r="J60" s="23">
        <f>SUM(P60,R60,T60,V60,X60,Z60,AB60,AD60,AF60,AH60,AJ60,AL60,AN60,AP60,AR60)</f>
        <v>103500</v>
      </c>
      <c r="K60" s="36"/>
      <c r="L60" s="196"/>
      <c r="M60" s="196"/>
      <c r="N60" s="199">
        <v>500</v>
      </c>
      <c r="O60" s="197"/>
      <c r="P60" s="27">
        <v>80000</v>
      </c>
      <c r="Q60" s="27">
        <v>49537</v>
      </c>
      <c r="R60" s="28">
        <v>1000</v>
      </c>
      <c r="S60" s="28">
        <v>765</v>
      </c>
      <c r="T60" s="28">
        <v>10000</v>
      </c>
      <c r="U60" s="28">
        <v>1830</v>
      </c>
      <c r="V60" s="28">
        <v>10000</v>
      </c>
      <c r="W60" s="28">
        <v>700</v>
      </c>
      <c r="X60" s="28">
        <v>2500</v>
      </c>
      <c r="Y60" s="28">
        <v>250</v>
      </c>
      <c r="Z60" s="30">
        <v>0</v>
      </c>
      <c r="AA60" s="30">
        <v>0</v>
      </c>
      <c r="AB60" s="30">
        <v>0</v>
      </c>
      <c r="AC60" s="30">
        <v>0</v>
      </c>
      <c r="AD60" s="30">
        <v>0</v>
      </c>
      <c r="AE60" s="30">
        <v>0</v>
      </c>
      <c r="AF60" s="198">
        <v>0</v>
      </c>
      <c r="AG60" s="206">
        <v>0</v>
      </c>
      <c r="AH60" s="28">
        <v>0</v>
      </c>
      <c r="AI60" s="28">
        <v>0</v>
      </c>
      <c r="AJ60" s="28">
        <v>0</v>
      </c>
      <c r="AK60" s="28">
        <v>0</v>
      </c>
      <c r="AL60" s="202"/>
      <c r="AM60" s="197"/>
      <c r="AN60" s="28">
        <v>0</v>
      </c>
      <c r="AO60" s="28">
        <v>0</v>
      </c>
      <c r="AP60" s="28">
        <v>0</v>
      </c>
      <c r="AQ60" s="87"/>
      <c r="AR60" s="28">
        <v>0</v>
      </c>
      <c r="AS60" s="28">
        <v>0</v>
      </c>
    </row>
    <row r="61" ht="175.5" customHeight="1" hidden="1">
      <c r="A61" t="s" s="59">
        <v>805</v>
      </c>
      <c r="B61" t="s" s="21">
        <v>76</v>
      </c>
      <c r="C61" t="s" s="59">
        <v>761</v>
      </c>
      <c r="D61" t="s" s="190">
        <v>713</v>
      </c>
      <c r="E61" t="s" s="216">
        <v>806</v>
      </c>
      <c r="F61" t="s" s="192">
        <v>720</v>
      </c>
      <c r="G61" s="193"/>
      <c r="H61" s="194">
        <f>SUM(J61,N61)</f>
        <v>594432</v>
      </c>
      <c r="I61" s="195">
        <f>SUM(Q61,S61,U61,W61,Y61,AA61,AC61,AE61,AG61,AI61,AK61,AM61,AO61,AQ61,AS61)</f>
        <v>138350</v>
      </c>
      <c r="J61" s="23">
        <f>SUM(P61,R61,T61,V61,X61,Z61,AB61,AD61,AF61,AH61,AJ61,AL61,AN61,AP61,AR61)</f>
        <v>594432</v>
      </c>
      <c r="K61" s="36"/>
      <c r="L61" s="196"/>
      <c r="M61" s="196"/>
      <c r="N61" s="196"/>
      <c r="O61" s="197"/>
      <c r="P61" s="27">
        <v>120000</v>
      </c>
      <c r="Q61" s="27">
        <v>42896</v>
      </c>
      <c r="R61" s="28">
        <v>0</v>
      </c>
      <c r="S61" s="28">
        <v>0</v>
      </c>
      <c r="T61" s="28">
        <v>40000</v>
      </c>
      <c r="U61" s="28">
        <v>20000</v>
      </c>
      <c r="V61" s="28">
        <v>50000</v>
      </c>
      <c r="W61" s="28">
        <v>0</v>
      </c>
      <c r="X61" s="28">
        <v>40000</v>
      </c>
      <c r="Y61" s="28">
        <v>37660</v>
      </c>
      <c r="Z61" s="30">
        <v>91000</v>
      </c>
      <c r="AA61" s="30">
        <v>0</v>
      </c>
      <c r="AB61" s="30">
        <v>96970</v>
      </c>
      <c r="AC61" s="30">
        <v>6919</v>
      </c>
      <c r="AD61" s="30">
        <v>106700</v>
      </c>
      <c r="AE61" s="30">
        <v>8435</v>
      </c>
      <c r="AF61" s="198">
        <v>22000</v>
      </c>
      <c r="AG61" s="206">
        <v>19600</v>
      </c>
      <c r="AH61" s="28">
        <v>11250</v>
      </c>
      <c r="AI61" s="28">
        <v>1580</v>
      </c>
      <c r="AJ61" s="28">
        <v>1512</v>
      </c>
      <c r="AK61" s="28">
        <v>1260</v>
      </c>
      <c r="AL61" s="53">
        <v>15000</v>
      </c>
      <c r="AM61" s="53">
        <v>0</v>
      </c>
      <c r="AN61" s="28">
        <v>0</v>
      </c>
      <c r="AO61" s="28">
        <v>0</v>
      </c>
      <c r="AP61" s="28">
        <v>0</v>
      </c>
      <c r="AQ61" s="87"/>
      <c r="AR61" s="28">
        <v>0</v>
      </c>
      <c r="AS61" s="28">
        <v>0</v>
      </c>
    </row>
    <row r="62" ht="19.5" customHeight="1" hidden="1">
      <c r="A62" t="s" s="187">
        <v>807</v>
      </c>
      <c r="B62" t="s" s="16">
        <v>77</v>
      </c>
      <c r="C62" s="188"/>
      <c r="D62" s="188"/>
      <c r="E62" s="189"/>
      <c r="F62" s="182">
        <v>0</v>
      </c>
      <c r="G62" s="183"/>
      <c r="H62" s="42">
        <f>SUM(J62,N62)</f>
        <v>0</v>
      </c>
      <c r="I62" s="207">
        <f>SUM(Q62,S62,U62,W62,Y62,AA62,AC62,AE62,AG62,AI62,AK62,AM62,AO62,AQ62,AS62)</f>
        <v>0</v>
      </c>
      <c r="J62" s="43">
        <f>SUM(P62,R62,T62,V62,X62,Z62,AB62,AD62,AF62,AH62,AJ62,AL62,AN62,AP62,AR62)</f>
        <v>0</v>
      </c>
      <c r="K62" s="44"/>
      <c r="L62" s="6"/>
      <c r="M62" s="6"/>
      <c r="N62" s="14"/>
      <c r="O62" s="122"/>
      <c r="P62" s="46"/>
      <c r="Q62" s="46"/>
      <c r="R62" s="47"/>
      <c r="S62" s="47"/>
      <c r="T62" s="47"/>
      <c r="U62" s="47"/>
      <c r="V62" s="47"/>
      <c r="W62" s="47"/>
      <c r="X62" s="47"/>
      <c r="Y62" s="47"/>
      <c r="Z62" s="48">
        <v>0</v>
      </c>
      <c r="AA62" s="48">
        <v>0</v>
      </c>
      <c r="AB62" s="49"/>
      <c r="AC62" s="49"/>
      <c r="AD62" s="50"/>
      <c r="AE62" s="50"/>
      <c r="AF62" s="14"/>
      <c r="AG62" s="122"/>
      <c r="AH62" s="51">
        <v>0</v>
      </c>
      <c r="AI62" s="51">
        <v>0</v>
      </c>
      <c r="AJ62" s="47"/>
      <c r="AK62" s="47"/>
      <c r="AL62" s="14"/>
      <c r="AM62" s="122"/>
      <c r="AN62" s="47"/>
      <c r="AO62" s="47"/>
      <c r="AP62" s="47"/>
      <c r="AQ62" s="47"/>
      <c r="AR62" s="51">
        <v>0</v>
      </c>
      <c r="AS62" s="51">
        <v>0</v>
      </c>
    </row>
    <row r="63" ht="47.25" customHeight="1" hidden="1">
      <c r="A63" t="s" s="130">
        <v>808</v>
      </c>
      <c r="B63" t="s" s="52">
        <v>78</v>
      </c>
      <c r="C63" t="s" s="130">
        <v>712</v>
      </c>
      <c r="D63" t="s" s="209">
        <v>713</v>
      </c>
      <c r="E63" t="s" s="132">
        <v>809</v>
      </c>
      <c r="F63" t="s" s="210">
        <v>720</v>
      </c>
      <c r="G63" s="211"/>
      <c r="H63" s="42">
        <f>SUM(J63,N63)</f>
        <v>83200</v>
      </c>
      <c r="I63" s="207">
        <f>SUM(Q63,S63,U63,W63,Y63,AA63,AC63,AE63,AG63,AI63,AK63,AM63,AO63,AQ63,AS63)</f>
        <v>50370</v>
      </c>
      <c r="J63" s="43">
        <f>SUM(P63,R63,T63,V63,X63,Z63,AB63,AD63,AF63,AH63,AJ63,AL63,AN63,AP63,AR63)</f>
        <v>83200</v>
      </c>
      <c r="K63" s="44"/>
      <c r="L63" s="6"/>
      <c r="M63" s="6"/>
      <c r="N63" s="14"/>
      <c r="O63" s="122"/>
      <c r="P63" s="27">
        <v>1000</v>
      </c>
      <c r="Q63" s="27">
        <v>2000</v>
      </c>
      <c r="R63" s="51">
        <v>0</v>
      </c>
      <c r="S63" s="51">
        <v>0</v>
      </c>
      <c r="T63" s="51">
        <v>4000</v>
      </c>
      <c r="U63" s="51">
        <v>3000</v>
      </c>
      <c r="V63" s="51">
        <v>400</v>
      </c>
      <c r="W63" s="51">
        <v>0</v>
      </c>
      <c r="X63" s="51">
        <v>2000</v>
      </c>
      <c r="Y63" s="51">
        <v>3500</v>
      </c>
      <c r="Z63" s="48">
        <v>15000</v>
      </c>
      <c r="AA63" s="48">
        <v>6500</v>
      </c>
      <c r="AB63" s="48">
        <v>10000</v>
      </c>
      <c r="AC63" s="48">
        <v>7310</v>
      </c>
      <c r="AD63" s="55">
        <v>12100</v>
      </c>
      <c r="AE63" s="213">
        <v>7840</v>
      </c>
      <c r="AF63" s="212">
        <v>4500</v>
      </c>
      <c r="AG63" s="121">
        <v>3900</v>
      </c>
      <c r="AH63" s="51">
        <v>34000</v>
      </c>
      <c r="AI63" s="51">
        <v>16320</v>
      </c>
      <c r="AJ63" s="51">
        <v>200</v>
      </c>
      <c r="AK63" s="51">
        <v>0</v>
      </c>
      <c r="AL63" s="14"/>
      <c r="AM63" s="122"/>
      <c r="AN63" s="51">
        <v>0</v>
      </c>
      <c r="AO63" s="51">
        <v>0</v>
      </c>
      <c r="AP63" s="51">
        <v>0</v>
      </c>
      <c r="AQ63" s="47"/>
      <c r="AR63" s="51">
        <v>0</v>
      </c>
      <c r="AS63" s="51">
        <v>0</v>
      </c>
    </row>
    <row r="64" ht="157.5" customHeight="1" hidden="1">
      <c r="A64" t="s" s="220">
        <v>810</v>
      </c>
      <c r="B64" t="s" s="52">
        <v>79</v>
      </c>
      <c r="C64" t="s" s="130">
        <v>811</v>
      </c>
      <c r="D64" t="s" s="209">
        <v>791</v>
      </c>
      <c r="E64" s="189"/>
      <c r="F64" t="s" s="210">
        <v>720</v>
      </c>
      <c r="G64" s="211"/>
      <c r="H64" s="42">
        <f>SUM(J64,N64)</f>
        <v>50385</v>
      </c>
      <c r="I64" s="207">
        <f>SUM(Q64,S64,U64,W64,Y64,AA64,AC64,AE64,AG64,AI64,AK64,AM64,AO64,AQ64,AS64)</f>
        <v>35197</v>
      </c>
      <c r="J64" s="43">
        <f>SUM(P64,R64,T64,V64,X64,Z64,AB64,AD64,AF64,AH64,AJ64,AL64,AN64,AP64,AR64)</f>
        <v>50385</v>
      </c>
      <c r="K64" s="44"/>
      <c r="L64" s="6"/>
      <c r="M64" s="6"/>
      <c r="N64" s="14"/>
      <c r="O64" s="122"/>
      <c r="P64" s="27">
        <v>0</v>
      </c>
      <c r="Q64" s="27">
        <v>0</v>
      </c>
      <c r="R64" s="51">
        <v>6000</v>
      </c>
      <c r="S64" s="51">
        <v>5650</v>
      </c>
      <c r="T64" s="51">
        <v>2000</v>
      </c>
      <c r="U64" s="51">
        <v>700</v>
      </c>
      <c r="V64" s="51">
        <v>6000</v>
      </c>
      <c r="W64" s="51">
        <v>5325</v>
      </c>
      <c r="X64" s="51">
        <v>800</v>
      </c>
      <c r="Y64" s="51">
        <v>600</v>
      </c>
      <c r="Z64" s="48">
        <v>9700</v>
      </c>
      <c r="AA64" s="48">
        <v>5760</v>
      </c>
      <c r="AB64" s="48">
        <v>8060</v>
      </c>
      <c r="AC64" s="48">
        <v>4387</v>
      </c>
      <c r="AD64" s="55">
        <v>6575</v>
      </c>
      <c r="AE64" s="213">
        <v>5159</v>
      </c>
      <c r="AF64" s="212">
        <v>4850</v>
      </c>
      <c r="AG64" s="121">
        <v>4100</v>
      </c>
      <c r="AH64" s="51">
        <v>6400</v>
      </c>
      <c r="AI64" s="51">
        <v>3516</v>
      </c>
      <c r="AJ64" s="51">
        <v>0</v>
      </c>
      <c r="AK64" s="51">
        <v>0</v>
      </c>
      <c r="AL64" s="14"/>
      <c r="AM64" s="122"/>
      <c r="AN64" s="51">
        <v>0</v>
      </c>
      <c r="AO64" s="51">
        <v>0</v>
      </c>
      <c r="AP64" s="51">
        <v>0</v>
      </c>
      <c r="AQ64" s="47"/>
      <c r="AR64" s="51">
        <v>0</v>
      </c>
      <c r="AS64" s="51">
        <v>0</v>
      </c>
    </row>
    <row r="65" ht="31.5" customHeight="1" hidden="1">
      <c r="A65" t="s" s="187">
        <v>812</v>
      </c>
      <c r="B65" t="s" s="16">
        <v>80</v>
      </c>
      <c r="C65" s="188"/>
      <c r="D65" s="188"/>
      <c r="E65" s="189"/>
      <c r="F65" s="182">
        <v>0</v>
      </c>
      <c r="G65" s="183"/>
      <c r="H65" s="42">
        <f>SUM(J65,N65)</f>
        <v>0</v>
      </c>
      <c r="I65" s="207">
        <f>SUM(Q65,S65,U65,W65,Y65,AA65,AC65,AE65,AG65,AI65,AK65,AM65,AO65,AQ65,AS65)</f>
        <v>0</v>
      </c>
      <c r="J65" s="43">
        <f>SUM(P65,R65,T65,V65,X65,Z65,AB65,AD65,AF65,AH65,AJ65,AL65,AN65,AP65,AR65)</f>
        <v>0</v>
      </c>
      <c r="K65" s="44"/>
      <c r="L65" s="6"/>
      <c r="M65" s="6"/>
      <c r="N65" s="14"/>
      <c r="O65" s="122"/>
      <c r="P65" s="46"/>
      <c r="Q65" s="46"/>
      <c r="R65" s="47"/>
      <c r="S65" s="47"/>
      <c r="T65" s="47"/>
      <c r="U65" s="47"/>
      <c r="V65" s="47"/>
      <c r="W65" s="47"/>
      <c r="X65" s="47"/>
      <c r="Y65" s="47"/>
      <c r="Z65" s="48">
        <v>0</v>
      </c>
      <c r="AA65" s="48">
        <v>0</v>
      </c>
      <c r="AB65" s="49"/>
      <c r="AC65" s="49"/>
      <c r="AD65" s="50"/>
      <c r="AE65" s="50"/>
      <c r="AF65" s="14"/>
      <c r="AG65" s="122"/>
      <c r="AH65" s="51">
        <v>0</v>
      </c>
      <c r="AI65" s="51">
        <v>0</v>
      </c>
      <c r="AJ65" s="47"/>
      <c r="AK65" s="47"/>
      <c r="AL65" s="14"/>
      <c r="AM65" s="122"/>
      <c r="AN65" s="47"/>
      <c r="AO65" s="47"/>
      <c r="AP65" s="47"/>
      <c r="AQ65" s="47"/>
      <c r="AR65" s="51">
        <v>0</v>
      </c>
      <c r="AS65" s="51">
        <v>0</v>
      </c>
    </row>
    <row r="66" ht="58.5" customHeight="1" hidden="1">
      <c r="A66" t="s" s="59">
        <v>813</v>
      </c>
      <c r="B66" t="s" s="21">
        <v>81</v>
      </c>
      <c r="C66" t="s" s="59">
        <v>814</v>
      </c>
      <c r="D66" t="s" s="190">
        <v>791</v>
      </c>
      <c r="E66" t="s" s="216">
        <v>815</v>
      </c>
      <c r="F66" t="s" s="192">
        <v>714</v>
      </c>
      <c r="G66" s="193"/>
      <c r="H66" s="194">
        <f>SUM(J66,N66)</f>
        <v>220</v>
      </c>
      <c r="I66" s="195">
        <f>SUM(Q66,S66,U66,W66,Y66,AA66,AC66,AE66,AG66,AI66,AK66,AM66,AO66,AQ66,AS66)</f>
        <v>0</v>
      </c>
      <c r="J66" s="23">
        <f>SUM(P66,R66,T66,V66,X66,Z66,AB66,AD66,AF66,AH66,AJ66,AL66,AN66,AP66,AR66)</f>
        <v>220</v>
      </c>
      <c r="K66" s="36"/>
      <c r="L66" s="196"/>
      <c r="M66" s="196"/>
      <c r="N66" s="196"/>
      <c r="O66" s="197"/>
      <c r="P66" s="27">
        <v>100</v>
      </c>
      <c r="Q66" s="27">
        <v>0</v>
      </c>
      <c r="R66" s="28">
        <v>0</v>
      </c>
      <c r="S66" s="28">
        <v>0</v>
      </c>
      <c r="T66" s="28">
        <v>100</v>
      </c>
      <c r="U66" s="28">
        <v>0</v>
      </c>
      <c r="V66" s="28">
        <v>20</v>
      </c>
      <c r="W66" s="28">
        <v>0</v>
      </c>
      <c r="X66" s="28">
        <v>0</v>
      </c>
      <c r="Y66" s="28">
        <v>0</v>
      </c>
      <c r="Z66" s="30">
        <v>0</v>
      </c>
      <c r="AA66" s="30">
        <v>0</v>
      </c>
      <c r="AB66" s="30">
        <v>0</v>
      </c>
      <c r="AC66" s="30">
        <v>0</v>
      </c>
      <c r="AD66" s="30">
        <v>0</v>
      </c>
      <c r="AE66" s="30">
        <v>0</v>
      </c>
      <c r="AF66" s="198">
        <v>0</v>
      </c>
      <c r="AG66" s="206">
        <v>0</v>
      </c>
      <c r="AH66" s="28">
        <v>0</v>
      </c>
      <c r="AI66" s="28">
        <v>0</v>
      </c>
      <c r="AJ66" s="28">
        <v>0</v>
      </c>
      <c r="AK66" s="28">
        <v>0</v>
      </c>
      <c r="AL66" s="202"/>
      <c r="AM66" s="197"/>
      <c r="AN66" s="28">
        <v>0</v>
      </c>
      <c r="AO66" s="28">
        <v>0</v>
      </c>
      <c r="AP66" s="28">
        <v>0</v>
      </c>
      <c r="AQ66" s="87"/>
      <c r="AR66" s="28">
        <v>0</v>
      </c>
      <c r="AS66" s="28">
        <v>0</v>
      </c>
    </row>
    <row r="67" ht="47.25" customHeight="1" hidden="1">
      <c r="A67" t="s" s="59">
        <v>816</v>
      </c>
      <c r="B67" t="s" s="21">
        <v>82</v>
      </c>
      <c r="C67" t="s" s="59">
        <v>761</v>
      </c>
      <c r="D67" t="s" s="190">
        <v>713</v>
      </c>
      <c r="E67" t="s" s="216">
        <v>817</v>
      </c>
      <c r="F67" t="s" s="192">
        <v>714</v>
      </c>
      <c r="G67" s="193"/>
      <c r="H67" s="194">
        <f>SUM(J67,N67)</f>
        <v>10400</v>
      </c>
      <c r="I67" s="195">
        <f>SUM(Q67,S67,U67,W67,Y67,AA67,AC67,AE67,AG67,AI67,AK67,AM67,AO67,AQ67,AS67)</f>
        <v>4800</v>
      </c>
      <c r="J67" s="23">
        <f>SUM(P67,R67,T67,V67,X67,Z67,AB67,AD67,AF67,AH67,AJ67,AL67,AN67,AP67,AR67)</f>
        <v>10400</v>
      </c>
      <c r="K67" s="36"/>
      <c r="L67" s="196"/>
      <c r="M67" s="196"/>
      <c r="N67" s="196"/>
      <c r="O67" s="197"/>
      <c r="P67" s="27">
        <v>5000</v>
      </c>
      <c r="Q67" s="27">
        <v>4800</v>
      </c>
      <c r="R67" s="28">
        <v>0</v>
      </c>
      <c r="S67" s="28">
        <v>0</v>
      </c>
      <c r="T67" s="28">
        <v>5000</v>
      </c>
      <c r="U67" s="28">
        <v>0</v>
      </c>
      <c r="V67" s="28">
        <v>400</v>
      </c>
      <c r="W67" s="28">
        <v>0</v>
      </c>
      <c r="X67" s="28">
        <v>0</v>
      </c>
      <c r="Y67" s="28">
        <v>0</v>
      </c>
      <c r="Z67" s="30">
        <v>0</v>
      </c>
      <c r="AA67" s="30">
        <v>0</v>
      </c>
      <c r="AB67" s="30">
        <v>0</v>
      </c>
      <c r="AC67" s="30">
        <v>0</v>
      </c>
      <c r="AD67" s="30">
        <v>0</v>
      </c>
      <c r="AE67" s="30">
        <v>0</v>
      </c>
      <c r="AF67" s="198">
        <v>0</v>
      </c>
      <c r="AG67" s="206">
        <v>0</v>
      </c>
      <c r="AH67" s="28">
        <v>0</v>
      </c>
      <c r="AI67" s="28">
        <v>0</v>
      </c>
      <c r="AJ67" s="28">
        <v>0</v>
      </c>
      <c r="AK67" s="28">
        <v>0</v>
      </c>
      <c r="AL67" s="202"/>
      <c r="AM67" s="197"/>
      <c r="AN67" s="28">
        <v>0</v>
      </c>
      <c r="AO67" s="28">
        <v>0</v>
      </c>
      <c r="AP67" s="28">
        <v>0</v>
      </c>
      <c r="AQ67" s="87"/>
      <c r="AR67" s="28">
        <v>0</v>
      </c>
      <c r="AS67" s="28">
        <v>0</v>
      </c>
    </row>
    <row r="68" ht="19.5" customHeight="1" hidden="1">
      <c r="A68" t="s" s="187">
        <v>818</v>
      </c>
      <c r="B68" t="s" s="16">
        <v>83</v>
      </c>
      <c r="C68" s="188"/>
      <c r="D68" s="188"/>
      <c r="E68" s="189"/>
      <c r="F68" s="182">
        <v>0</v>
      </c>
      <c r="G68" s="183"/>
      <c r="H68" s="42">
        <f>SUM(J68,N68)</f>
        <v>0</v>
      </c>
      <c r="I68" s="207">
        <f>SUM(Q68,S68,U68,W68,Y68,AA68,AC68,AE68,AG68,AI68,AK68,AM68,AO68,AQ68,AS68)</f>
        <v>0</v>
      </c>
      <c r="J68" s="43">
        <f>SUM(P68,R68,T68,V68,X68,Z68,AB68,AD68,AF68,AH68,AJ68,AL68,AN68,AP68,AR68)</f>
        <v>0</v>
      </c>
      <c r="K68" s="44"/>
      <c r="L68" s="6"/>
      <c r="M68" s="6"/>
      <c r="N68" s="14"/>
      <c r="O68" s="122"/>
      <c r="P68" s="46"/>
      <c r="Q68" s="46"/>
      <c r="R68" s="47"/>
      <c r="S68" s="47"/>
      <c r="T68" s="47"/>
      <c r="U68" s="47"/>
      <c r="V68" s="47"/>
      <c r="W68" s="47"/>
      <c r="X68" s="47"/>
      <c r="Y68" s="47"/>
      <c r="Z68" s="48">
        <v>0</v>
      </c>
      <c r="AA68" s="48">
        <v>0</v>
      </c>
      <c r="AB68" s="49"/>
      <c r="AC68" s="49"/>
      <c r="AD68" s="50"/>
      <c r="AE68" s="50"/>
      <c r="AF68" s="14"/>
      <c r="AG68" s="122"/>
      <c r="AH68" s="51">
        <v>0</v>
      </c>
      <c r="AI68" s="51">
        <v>0</v>
      </c>
      <c r="AJ68" s="47"/>
      <c r="AK68" s="47"/>
      <c r="AL68" s="14"/>
      <c r="AM68" s="122"/>
      <c r="AN68" s="47"/>
      <c r="AO68" s="47"/>
      <c r="AP68" s="47"/>
      <c r="AQ68" s="47"/>
      <c r="AR68" s="51">
        <v>0</v>
      </c>
      <c r="AS68" s="51">
        <v>0</v>
      </c>
    </row>
    <row r="69" ht="31.5" customHeight="1" hidden="1">
      <c r="A69" t="s" s="130">
        <v>819</v>
      </c>
      <c r="B69" t="s" s="52">
        <v>84</v>
      </c>
      <c r="C69" t="s" s="130">
        <v>820</v>
      </c>
      <c r="D69" t="s" s="209">
        <v>791</v>
      </c>
      <c r="E69" s="189"/>
      <c r="F69" t="s" s="210">
        <v>720</v>
      </c>
      <c r="G69" s="211"/>
      <c r="H69" s="42">
        <f>SUM(J69,N69)</f>
        <v>15730</v>
      </c>
      <c r="I69" s="207">
        <f>SUM(Q69,S69,U69,W69,Y69,AA69,AC69,AE69,AG69,AI69,AK69,AM69,AO69,AQ69,AS69)</f>
        <v>11506</v>
      </c>
      <c r="J69" s="43">
        <f>SUM(P69,R69,T69,V69,X69,Z69,AB69,AD69,AF69,AH69,AJ69,AL69,AN69,AP69,AR69)</f>
        <v>15730</v>
      </c>
      <c r="K69" s="44"/>
      <c r="L69" s="6"/>
      <c r="M69" s="6"/>
      <c r="N69" s="14"/>
      <c r="O69" s="122"/>
      <c r="P69" s="27">
        <v>400</v>
      </c>
      <c r="Q69" s="27">
        <v>300</v>
      </c>
      <c r="R69" s="51">
        <v>1000</v>
      </c>
      <c r="S69" s="51">
        <v>1000</v>
      </c>
      <c r="T69" s="51">
        <v>750</v>
      </c>
      <c r="U69" s="51">
        <v>655</v>
      </c>
      <c r="V69" s="51">
        <v>2000</v>
      </c>
      <c r="W69" s="51">
        <v>2050</v>
      </c>
      <c r="X69" s="51">
        <v>800</v>
      </c>
      <c r="Y69" s="51">
        <v>1250</v>
      </c>
      <c r="Z69" s="48">
        <v>1300</v>
      </c>
      <c r="AA69" s="48">
        <v>300</v>
      </c>
      <c r="AB69" s="48">
        <v>2500</v>
      </c>
      <c r="AC69" s="48">
        <v>1753</v>
      </c>
      <c r="AD69" s="55">
        <v>4010</v>
      </c>
      <c r="AE69" s="213">
        <v>2710</v>
      </c>
      <c r="AF69" s="212">
        <v>550</v>
      </c>
      <c r="AG69" s="121">
        <v>460</v>
      </c>
      <c r="AH69" s="51">
        <v>2120</v>
      </c>
      <c r="AI69" s="51">
        <v>1028</v>
      </c>
      <c r="AJ69" s="51">
        <v>300</v>
      </c>
      <c r="AK69" s="51">
        <v>0</v>
      </c>
      <c r="AL69" s="14"/>
      <c r="AM69" s="122"/>
      <c r="AN69" s="51">
        <v>0</v>
      </c>
      <c r="AO69" s="51">
        <v>0</v>
      </c>
      <c r="AP69" s="51">
        <v>0</v>
      </c>
      <c r="AQ69" s="47"/>
      <c r="AR69" s="51">
        <v>0</v>
      </c>
      <c r="AS69" s="51">
        <v>0</v>
      </c>
    </row>
    <row r="70" ht="31.5" customHeight="1" hidden="1">
      <c r="A70" t="s" s="59">
        <v>821</v>
      </c>
      <c r="B70" t="s" s="21">
        <v>85</v>
      </c>
      <c r="C70" t="s" s="59">
        <v>765</v>
      </c>
      <c r="D70" t="s" s="190">
        <v>713</v>
      </c>
      <c r="E70" s="191"/>
      <c r="F70" t="s" s="192">
        <v>720</v>
      </c>
      <c r="G70" s="193"/>
      <c r="H70" s="194">
        <f>SUM(J70,N70)</f>
        <v>45710</v>
      </c>
      <c r="I70" s="195">
        <f>SUM(Q70,S70,U70,W70,Y70,AA70,AC70,AE70,AG70,AI70,AK70,AM70,AO70,AQ70,AS70)</f>
        <v>27285</v>
      </c>
      <c r="J70" s="23">
        <f>SUM(P70,R70,T70,V70,X70,Z70,AB70,AD70,AF70,AH70,AJ70,AL70,AN70,AP70,AR70)</f>
        <v>45710</v>
      </c>
      <c r="K70" s="36"/>
      <c r="L70" s="196"/>
      <c r="M70" s="196"/>
      <c r="N70" s="196"/>
      <c r="O70" s="197"/>
      <c r="P70" s="27">
        <v>1000</v>
      </c>
      <c r="Q70" s="27">
        <v>0</v>
      </c>
      <c r="R70" s="28">
        <v>0</v>
      </c>
      <c r="S70" s="28">
        <v>0</v>
      </c>
      <c r="T70" s="28">
        <v>5000</v>
      </c>
      <c r="U70" s="28">
        <v>1250</v>
      </c>
      <c r="V70" s="28">
        <v>1500</v>
      </c>
      <c r="W70" s="28">
        <v>1000</v>
      </c>
      <c r="X70" s="28">
        <v>100</v>
      </c>
      <c r="Y70" s="28">
        <v>100</v>
      </c>
      <c r="Z70" s="30">
        <v>9800</v>
      </c>
      <c r="AA70" s="30">
        <v>6550</v>
      </c>
      <c r="AB70" s="30">
        <v>5000</v>
      </c>
      <c r="AC70" s="30">
        <v>3950</v>
      </c>
      <c r="AD70" s="30">
        <v>9300</v>
      </c>
      <c r="AE70" s="30">
        <v>5880</v>
      </c>
      <c r="AF70" s="198">
        <v>9000</v>
      </c>
      <c r="AG70" s="206">
        <v>7060</v>
      </c>
      <c r="AH70" s="28">
        <v>4710</v>
      </c>
      <c r="AI70" s="28">
        <v>1495</v>
      </c>
      <c r="AJ70" s="28">
        <v>300</v>
      </c>
      <c r="AK70" s="28">
        <v>0</v>
      </c>
      <c r="AL70" s="202"/>
      <c r="AM70" s="197"/>
      <c r="AN70" s="28">
        <v>0</v>
      </c>
      <c r="AO70" s="28">
        <v>0</v>
      </c>
      <c r="AP70" s="28">
        <v>0</v>
      </c>
      <c r="AQ70" s="87"/>
      <c r="AR70" s="28">
        <v>0</v>
      </c>
      <c r="AS70" s="28">
        <v>0</v>
      </c>
    </row>
    <row r="71" ht="19.5" customHeight="1" hidden="1">
      <c r="A71" t="s" s="59">
        <v>822</v>
      </c>
      <c r="B71" t="s" s="21">
        <v>86</v>
      </c>
      <c r="C71" t="s" s="59">
        <v>790</v>
      </c>
      <c r="D71" t="s" s="190">
        <v>791</v>
      </c>
      <c r="E71" s="191"/>
      <c r="F71" t="s" s="192">
        <v>720</v>
      </c>
      <c r="G71" s="193"/>
      <c r="H71" s="194">
        <f>SUM(J71,N71)</f>
        <v>5840</v>
      </c>
      <c r="I71" s="195">
        <f>SUM(Q71,S71,U71,W71,Y71,AA71,AC71,AE71,AG71,AI71,AK71,AM71,AO71,AQ71,AS71)</f>
        <v>280</v>
      </c>
      <c r="J71" s="23">
        <f>SUM(P71,R71,T71,V71,X71,Z71,AB71,AD71,AF71,AH71,AJ71,AL71,AN71,AP71,AR71)</f>
        <v>5840</v>
      </c>
      <c r="K71" s="36"/>
      <c r="L71" s="196"/>
      <c r="M71" s="196"/>
      <c r="N71" s="196"/>
      <c r="O71" s="197"/>
      <c r="P71" s="27">
        <v>3000</v>
      </c>
      <c r="Q71" s="27">
        <v>60</v>
      </c>
      <c r="R71" s="28">
        <v>240</v>
      </c>
      <c r="S71" s="28">
        <v>40</v>
      </c>
      <c r="T71" s="28">
        <v>1000</v>
      </c>
      <c r="U71" s="28">
        <v>0</v>
      </c>
      <c r="V71" s="28">
        <v>1500</v>
      </c>
      <c r="W71" s="28">
        <v>90</v>
      </c>
      <c r="X71" s="28">
        <v>100</v>
      </c>
      <c r="Y71" s="28">
        <v>90</v>
      </c>
      <c r="Z71" s="30">
        <v>0</v>
      </c>
      <c r="AA71" s="30">
        <v>0</v>
      </c>
      <c r="AB71" s="30">
        <v>0</v>
      </c>
      <c r="AC71" s="30">
        <v>0</v>
      </c>
      <c r="AD71" s="30">
        <v>0</v>
      </c>
      <c r="AE71" s="30">
        <v>0</v>
      </c>
      <c r="AF71" s="198">
        <v>0</v>
      </c>
      <c r="AG71" s="206">
        <v>0</v>
      </c>
      <c r="AH71" s="28">
        <v>0</v>
      </c>
      <c r="AI71" s="28">
        <v>0</v>
      </c>
      <c r="AJ71" s="28">
        <v>0</v>
      </c>
      <c r="AK71" s="28">
        <v>0</v>
      </c>
      <c r="AL71" s="202"/>
      <c r="AM71" s="197"/>
      <c r="AN71" s="28">
        <v>0</v>
      </c>
      <c r="AO71" s="28">
        <v>0</v>
      </c>
      <c r="AP71" s="28">
        <v>0</v>
      </c>
      <c r="AQ71" s="87"/>
      <c r="AR71" s="28">
        <v>0</v>
      </c>
      <c r="AS71" s="28">
        <v>0</v>
      </c>
    </row>
    <row r="72" ht="31.5" customHeight="1" hidden="1">
      <c r="A72" t="s" s="187">
        <v>823</v>
      </c>
      <c r="B72" t="s" s="16">
        <v>87</v>
      </c>
      <c r="C72" s="188"/>
      <c r="D72" s="188"/>
      <c r="E72" s="189"/>
      <c r="F72" s="189"/>
      <c r="G72" s="183"/>
      <c r="H72" s="42">
        <f>SUM(J72,N72)</f>
        <v>0</v>
      </c>
      <c r="I72" s="207">
        <f>SUM(Q72,S72,U72,W72,Y72,AA72,AC72,AE72,AG72,AI72,AK72,AM72,AO72,AQ72,AS72)</f>
        <v>0</v>
      </c>
      <c r="J72" s="43">
        <f>SUM(P72,R72,T72,V72,X72,Z72,AB72,AD72,AF72,AH72,AJ72,AL72,AN72,AP72,AR72)</f>
        <v>0</v>
      </c>
      <c r="K72" s="44"/>
      <c r="L72" s="6"/>
      <c r="M72" s="6"/>
      <c r="N72" s="14"/>
      <c r="O72" s="122"/>
      <c r="P72" s="46"/>
      <c r="Q72" s="46"/>
      <c r="R72" s="47"/>
      <c r="S72" s="47"/>
      <c r="T72" s="47"/>
      <c r="U72" s="47"/>
      <c r="V72" s="47"/>
      <c r="W72" s="47"/>
      <c r="X72" s="47"/>
      <c r="Y72" s="47"/>
      <c r="Z72" s="48">
        <v>0</v>
      </c>
      <c r="AA72" s="48">
        <v>0</v>
      </c>
      <c r="AB72" s="49"/>
      <c r="AC72" s="49"/>
      <c r="AD72" s="50"/>
      <c r="AE72" s="50"/>
      <c r="AF72" s="14"/>
      <c r="AG72" s="122"/>
      <c r="AH72" s="51">
        <v>0</v>
      </c>
      <c r="AI72" s="51">
        <v>0</v>
      </c>
      <c r="AJ72" s="47"/>
      <c r="AK72" s="47"/>
      <c r="AL72" s="14"/>
      <c r="AM72" s="122"/>
      <c r="AN72" s="47"/>
      <c r="AO72" s="47"/>
      <c r="AP72" s="47"/>
      <c r="AQ72" s="47"/>
      <c r="AR72" s="51">
        <v>0</v>
      </c>
      <c r="AS72" s="51">
        <v>0</v>
      </c>
    </row>
    <row r="73" ht="214.5" customHeight="1" hidden="1">
      <c r="A73" t="s" s="130">
        <v>824</v>
      </c>
      <c r="B73" t="s" s="52">
        <v>88</v>
      </c>
      <c r="C73" t="s" s="130">
        <v>761</v>
      </c>
      <c r="D73" t="s" s="209">
        <v>713</v>
      </c>
      <c r="E73" t="s" s="217">
        <v>825</v>
      </c>
      <c r="F73" t="s" s="210">
        <v>714</v>
      </c>
      <c r="G73" s="211"/>
      <c r="H73" s="42">
        <f>SUM(J73,N73)</f>
        <v>1000</v>
      </c>
      <c r="I73" s="207">
        <f>SUM(Q73,S73,U73,W73,Y73,AA73,AC73,AE73,AG73,AI73,AK73,AM73,AO73,AQ73,AS73)</f>
        <v>80</v>
      </c>
      <c r="J73" s="43">
        <f>SUM(P73,R73,T73,V73,X73,Z73,AB73,AD73,AF73,AH73,AJ73,AL73,AN73,AP73,AR73)</f>
        <v>1000</v>
      </c>
      <c r="K73" s="44"/>
      <c r="L73" s="6"/>
      <c r="M73" s="6"/>
      <c r="N73" s="14"/>
      <c r="O73" s="122"/>
      <c r="P73" s="27">
        <v>0</v>
      </c>
      <c r="Q73" s="27">
        <v>0</v>
      </c>
      <c r="R73" s="51">
        <v>0</v>
      </c>
      <c r="S73" s="51">
        <v>0</v>
      </c>
      <c r="T73" s="51">
        <v>0</v>
      </c>
      <c r="U73" s="51">
        <v>0</v>
      </c>
      <c r="V73" s="51">
        <v>1000</v>
      </c>
      <c r="W73" s="51">
        <v>80</v>
      </c>
      <c r="X73" s="51">
        <v>0</v>
      </c>
      <c r="Y73" s="51">
        <v>0</v>
      </c>
      <c r="Z73" s="48">
        <v>0</v>
      </c>
      <c r="AA73" s="48">
        <v>0</v>
      </c>
      <c r="AB73" s="48">
        <v>0</v>
      </c>
      <c r="AC73" s="48">
        <v>0</v>
      </c>
      <c r="AD73" s="55">
        <v>0</v>
      </c>
      <c r="AE73" s="213">
        <v>0</v>
      </c>
      <c r="AF73" s="212">
        <v>0</v>
      </c>
      <c r="AG73" s="121">
        <v>0</v>
      </c>
      <c r="AH73" s="51">
        <v>0</v>
      </c>
      <c r="AI73" s="51">
        <v>0</v>
      </c>
      <c r="AJ73" s="51">
        <v>0</v>
      </c>
      <c r="AK73" s="51">
        <v>0</v>
      </c>
      <c r="AL73" s="14"/>
      <c r="AM73" s="122"/>
      <c r="AN73" s="51">
        <v>0</v>
      </c>
      <c r="AO73" s="51">
        <v>0</v>
      </c>
      <c r="AP73" s="51">
        <v>0</v>
      </c>
      <c r="AQ73" s="47"/>
      <c r="AR73" s="51">
        <v>0</v>
      </c>
      <c r="AS73" s="51">
        <v>0</v>
      </c>
    </row>
    <row r="74" ht="19.5" customHeight="1" hidden="1">
      <c r="A74" t="s" s="187">
        <v>826</v>
      </c>
      <c r="B74" t="s" s="16">
        <v>89</v>
      </c>
      <c r="C74" s="188"/>
      <c r="D74" s="188"/>
      <c r="E74" s="189"/>
      <c r="F74" s="182">
        <v>0</v>
      </c>
      <c r="G74" s="183"/>
      <c r="H74" s="42">
        <f>SUM(J74,N74)</f>
        <v>0</v>
      </c>
      <c r="I74" s="207">
        <f>SUM(Q74,S74,U74,W74,Y74,AA74,AC74,AE74,AG74,AI74,AK74,AM74,AO74,AQ74,AS74)</f>
        <v>0</v>
      </c>
      <c r="J74" s="43">
        <f>SUM(P74,R74,T74,V74,X74,Z74,AB74,AD74,AF74,AH74,AJ74,AL74,AN74,AP74,AR74)</f>
        <v>0</v>
      </c>
      <c r="K74" s="44"/>
      <c r="L74" s="6"/>
      <c r="M74" s="6"/>
      <c r="N74" s="14"/>
      <c r="O74" s="122"/>
      <c r="P74" s="46"/>
      <c r="Q74" s="46"/>
      <c r="R74" s="47"/>
      <c r="S74" s="47"/>
      <c r="T74" s="47"/>
      <c r="U74" s="47"/>
      <c r="V74" s="47"/>
      <c r="W74" s="47"/>
      <c r="X74" s="47"/>
      <c r="Y74" s="47"/>
      <c r="Z74" s="48">
        <v>0</v>
      </c>
      <c r="AA74" s="48">
        <v>0</v>
      </c>
      <c r="AB74" s="49"/>
      <c r="AC74" s="49"/>
      <c r="AD74" s="50"/>
      <c r="AE74" s="50"/>
      <c r="AF74" s="14"/>
      <c r="AG74" s="122"/>
      <c r="AH74" s="51">
        <v>0</v>
      </c>
      <c r="AI74" s="51">
        <v>0</v>
      </c>
      <c r="AJ74" s="47"/>
      <c r="AK74" s="47"/>
      <c r="AL74" s="14"/>
      <c r="AM74" s="122"/>
      <c r="AN74" s="47"/>
      <c r="AO74" s="47"/>
      <c r="AP74" s="47"/>
      <c r="AQ74" s="47"/>
      <c r="AR74" s="51">
        <v>0</v>
      </c>
      <c r="AS74" s="51">
        <v>0</v>
      </c>
    </row>
    <row r="75" ht="31.5" customHeight="1" hidden="1">
      <c r="A75" t="s" s="59">
        <v>827</v>
      </c>
      <c r="B75" t="s" s="21">
        <v>90</v>
      </c>
      <c r="C75" t="s" s="59">
        <v>712</v>
      </c>
      <c r="D75" t="s" s="190">
        <v>713</v>
      </c>
      <c r="E75" s="191"/>
      <c r="F75" t="s" s="192">
        <v>720</v>
      </c>
      <c r="G75" s="193"/>
      <c r="H75" s="194">
        <f>SUM(J75,N75)</f>
        <v>543900</v>
      </c>
      <c r="I75" s="195">
        <f>SUM(Q75,S75,U75,W75,Y75,AA75,AC75,AE75,AG75,AI75,AK75,AM75,AO75,AQ75,AS75)</f>
        <v>403418</v>
      </c>
      <c r="J75" s="23">
        <f>SUM(P75,R75,T75,V75,X75,Z75,AB75,AD75,AF75,AH75,AJ75,AL75,AN75,AP75,AR75)</f>
        <v>543900</v>
      </c>
      <c r="K75" s="36"/>
      <c r="L75" s="196"/>
      <c r="M75" s="196"/>
      <c r="N75" s="196"/>
      <c r="O75" s="197"/>
      <c r="P75" s="27">
        <v>120000</v>
      </c>
      <c r="Q75" s="27">
        <v>47650</v>
      </c>
      <c r="R75" s="28">
        <v>0</v>
      </c>
      <c r="S75" s="28">
        <v>0</v>
      </c>
      <c r="T75" s="28">
        <v>40000</v>
      </c>
      <c r="U75" s="28">
        <v>21208</v>
      </c>
      <c r="V75" s="28">
        <v>38000</v>
      </c>
      <c r="W75" s="28">
        <v>32660</v>
      </c>
      <c r="X75" s="28">
        <v>55000</v>
      </c>
      <c r="Y75" s="28">
        <v>48620</v>
      </c>
      <c r="Z75" s="30">
        <v>15100</v>
      </c>
      <c r="AA75" s="30">
        <v>111300</v>
      </c>
      <c r="AB75" s="30">
        <v>85900</v>
      </c>
      <c r="AC75" s="30">
        <v>40760</v>
      </c>
      <c r="AD75" s="30">
        <v>92200</v>
      </c>
      <c r="AE75" s="30">
        <v>51850</v>
      </c>
      <c r="AF75" s="198">
        <v>40000</v>
      </c>
      <c r="AG75" s="206">
        <v>19000</v>
      </c>
      <c r="AH75" s="28">
        <v>56200</v>
      </c>
      <c r="AI75" s="28">
        <v>26910</v>
      </c>
      <c r="AJ75" s="28">
        <v>500</v>
      </c>
      <c r="AK75" s="28">
        <v>2760</v>
      </c>
      <c r="AL75" s="53">
        <v>1000</v>
      </c>
      <c r="AM75" s="53">
        <v>700</v>
      </c>
      <c r="AN75" s="28">
        <v>0</v>
      </c>
      <c r="AO75" s="28">
        <v>0</v>
      </c>
      <c r="AP75" s="28">
        <v>0</v>
      </c>
      <c r="AQ75" s="87"/>
      <c r="AR75" s="28">
        <v>0</v>
      </c>
      <c r="AS75" s="28">
        <v>0</v>
      </c>
    </row>
    <row r="76" ht="31.5" customHeight="1" hidden="1">
      <c r="A76" t="s" s="187">
        <v>828</v>
      </c>
      <c r="B76" t="s" s="16">
        <v>91</v>
      </c>
      <c r="C76" s="188"/>
      <c r="D76" s="188"/>
      <c r="E76" s="189"/>
      <c r="F76" s="182">
        <v>0</v>
      </c>
      <c r="G76" s="183"/>
      <c r="H76" s="42">
        <f>SUM(J76,N76)</f>
        <v>0</v>
      </c>
      <c r="I76" s="207">
        <f>SUM(Q76,S76,U76,W76,Y76,AA76,AC76,AE76,AG76,AI76,AK76,AM76,AO76,AQ76,AS76)</f>
        <v>0</v>
      </c>
      <c r="J76" s="43">
        <f>SUM(P76,R76,T76,V76,X76,Z76,AB76,AD76,AF76,AH76,AJ76,AL76,AN76,AP76,AR76)</f>
        <v>0</v>
      </c>
      <c r="K76" s="44"/>
      <c r="L76" s="6"/>
      <c r="M76" s="6"/>
      <c r="N76" s="14"/>
      <c r="O76" s="122"/>
      <c r="P76" s="46"/>
      <c r="Q76" s="46"/>
      <c r="R76" s="47"/>
      <c r="S76" s="47"/>
      <c r="T76" s="47"/>
      <c r="U76" s="47"/>
      <c r="V76" s="47"/>
      <c r="W76" s="47"/>
      <c r="X76" s="47"/>
      <c r="Y76" s="47"/>
      <c r="Z76" s="48">
        <v>0</v>
      </c>
      <c r="AA76" s="48">
        <v>0</v>
      </c>
      <c r="AB76" s="49"/>
      <c r="AC76" s="49"/>
      <c r="AD76" s="50"/>
      <c r="AE76" s="50"/>
      <c r="AF76" s="14"/>
      <c r="AG76" s="122"/>
      <c r="AH76" s="51">
        <v>0</v>
      </c>
      <c r="AI76" s="51">
        <v>0</v>
      </c>
      <c r="AJ76" s="47"/>
      <c r="AK76" s="47"/>
      <c r="AL76" s="14"/>
      <c r="AM76" s="122"/>
      <c r="AN76" s="47"/>
      <c r="AO76" s="47"/>
      <c r="AP76" s="47"/>
      <c r="AQ76" s="47"/>
      <c r="AR76" s="51">
        <v>0</v>
      </c>
      <c r="AS76" s="51">
        <v>0</v>
      </c>
    </row>
    <row r="77" ht="409.5" customHeight="1" hidden="1">
      <c r="A77" t="s" s="130">
        <v>829</v>
      </c>
      <c r="B77" t="s" s="65">
        <v>92</v>
      </c>
      <c r="C77" t="s" s="130">
        <v>830</v>
      </c>
      <c r="D77" t="s" s="209">
        <v>717</v>
      </c>
      <c r="E77" t="s" s="217">
        <v>831</v>
      </c>
      <c r="F77" t="s" s="210">
        <v>714</v>
      </c>
      <c r="G77" s="211"/>
      <c r="H77" s="42">
        <f>SUM(J77,N77)</f>
        <v>127149</v>
      </c>
      <c r="I77" s="207">
        <f>SUM(Q77,S77,U77,W77,Y77,AA77,AC77,AE77,AG77,AI77,AK77,AM77,AO77,AQ77,AS77)</f>
        <v>110522</v>
      </c>
      <c r="J77" s="43">
        <f>SUM(P77,R77,T77,V77,X77,Z77,AB77,AD77,AF77,AH77,AJ77,AL77,AN77,AP77,AR77)</f>
        <v>124149</v>
      </c>
      <c r="K77" s="44"/>
      <c r="L77" s="6"/>
      <c r="M77" s="6"/>
      <c r="N77" s="212">
        <v>3000</v>
      </c>
      <c r="O77" s="122"/>
      <c r="P77" s="27">
        <v>40000</v>
      </c>
      <c r="Q77" s="27">
        <v>37360</v>
      </c>
      <c r="R77" s="51">
        <v>13000</v>
      </c>
      <c r="S77" s="51">
        <v>12690</v>
      </c>
      <c r="T77" s="51">
        <v>30000</v>
      </c>
      <c r="U77" s="51">
        <v>21295</v>
      </c>
      <c r="V77" s="51">
        <v>20000</v>
      </c>
      <c r="W77" s="51">
        <v>22050</v>
      </c>
      <c r="X77" s="51">
        <v>8500</v>
      </c>
      <c r="Y77" s="51">
        <v>8540</v>
      </c>
      <c r="Z77" s="48">
        <v>3250</v>
      </c>
      <c r="AA77" s="48">
        <v>2643</v>
      </c>
      <c r="AB77" s="48">
        <v>3029</v>
      </c>
      <c r="AC77" s="48">
        <v>1946</v>
      </c>
      <c r="AD77" s="55">
        <v>1765</v>
      </c>
      <c r="AE77" s="213">
        <v>1369</v>
      </c>
      <c r="AF77" s="212">
        <v>1150</v>
      </c>
      <c r="AG77" s="121">
        <v>1020</v>
      </c>
      <c r="AH77" s="51">
        <v>3455</v>
      </c>
      <c r="AI77" s="51">
        <v>1609</v>
      </c>
      <c r="AJ77" s="51">
        <v>0</v>
      </c>
      <c r="AK77" s="51">
        <v>0</v>
      </c>
      <c r="AL77" s="14"/>
      <c r="AM77" s="122"/>
      <c r="AN77" s="51">
        <v>0</v>
      </c>
      <c r="AO77" s="51">
        <v>0</v>
      </c>
      <c r="AP77" s="51">
        <v>0</v>
      </c>
      <c r="AQ77" s="47"/>
      <c r="AR77" s="51">
        <v>0</v>
      </c>
      <c r="AS77" s="51">
        <v>0</v>
      </c>
    </row>
    <row r="78" ht="409.5" customHeight="1" hidden="1">
      <c r="A78" t="s" s="220">
        <v>832</v>
      </c>
      <c r="B78" t="s" s="52">
        <v>93</v>
      </c>
      <c r="C78" t="s" s="130">
        <v>833</v>
      </c>
      <c r="D78" t="s" s="209">
        <v>713</v>
      </c>
      <c r="E78" t="s" s="217">
        <v>834</v>
      </c>
      <c r="F78" t="s" s="210">
        <v>720</v>
      </c>
      <c r="G78" s="211"/>
      <c r="H78" s="42">
        <f>SUM(J78,N78)</f>
        <v>140550</v>
      </c>
      <c r="I78" s="207">
        <f>SUM(Q78,S78,U78,W78,Y78,AA78,AC78,AE78,AG78,AI78,AK78,AM78,AO78,AQ78,AS78)</f>
        <v>97397</v>
      </c>
      <c r="J78" s="43">
        <f>SUM(P78,R78,T78,V78,X78,Z78,AB78,AD78,AF78,AH78,AJ78,AL78,AN78,AP78,AR78)</f>
        <v>140550</v>
      </c>
      <c r="K78" s="44"/>
      <c r="L78" s="6"/>
      <c r="M78" s="6"/>
      <c r="N78" s="14"/>
      <c r="O78" s="122"/>
      <c r="P78" s="27">
        <v>5000</v>
      </c>
      <c r="Q78" s="27">
        <v>10000</v>
      </c>
      <c r="R78" s="51">
        <v>1000</v>
      </c>
      <c r="S78" s="51">
        <v>0</v>
      </c>
      <c r="T78" s="51">
        <v>10000</v>
      </c>
      <c r="U78" s="51">
        <v>8000</v>
      </c>
      <c r="V78" s="51">
        <v>20000</v>
      </c>
      <c r="W78" s="51">
        <v>20240</v>
      </c>
      <c r="X78" s="51">
        <v>15000</v>
      </c>
      <c r="Y78" s="51">
        <v>15000</v>
      </c>
      <c r="Z78" s="48">
        <v>9350</v>
      </c>
      <c r="AA78" s="48">
        <v>3200</v>
      </c>
      <c r="AB78" s="48">
        <v>30000</v>
      </c>
      <c r="AC78" s="48">
        <v>18180</v>
      </c>
      <c r="AD78" s="55">
        <v>21100</v>
      </c>
      <c r="AE78" s="213">
        <v>12860</v>
      </c>
      <c r="AF78" s="212">
        <v>9000</v>
      </c>
      <c r="AG78" s="121">
        <v>0</v>
      </c>
      <c r="AH78" s="51">
        <v>20000</v>
      </c>
      <c r="AI78" s="51">
        <v>9917</v>
      </c>
      <c r="AJ78" s="51">
        <v>100</v>
      </c>
      <c r="AK78" s="51">
        <v>0</v>
      </c>
      <c r="AL78" s="14"/>
      <c r="AM78" s="122"/>
      <c r="AN78" s="51">
        <v>0</v>
      </c>
      <c r="AO78" s="51">
        <v>0</v>
      </c>
      <c r="AP78" s="51">
        <v>0</v>
      </c>
      <c r="AQ78" s="47"/>
      <c r="AR78" s="51">
        <v>0</v>
      </c>
      <c r="AS78" s="51">
        <v>0</v>
      </c>
    </row>
    <row r="79" ht="19.5" customHeight="1" hidden="1">
      <c r="A79" s="227">
        <v>3</v>
      </c>
      <c r="B79" t="s" s="10">
        <v>94</v>
      </c>
      <c r="C79" s="180"/>
      <c r="D79" s="180"/>
      <c r="E79" s="189"/>
      <c r="F79" s="182">
        <v>0</v>
      </c>
      <c r="G79" s="183"/>
      <c r="H79" s="42">
        <f>SUM(J79,N79)</f>
        <v>0</v>
      </c>
      <c r="I79" s="207">
        <f>SUM(Q79,S79,U79,W79,Y79,AA79,AC79,AE79,AG79,AI79,AK79,AM79,AO79,AQ79,AS79)</f>
        <v>0</v>
      </c>
      <c r="J79" s="43">
        <f>SUM(P79,R79,T79,V79,X79,Z79,AB79,AD79,AF79,AH79,AJ79,AL79,AN79,AP79,AR79)</f>
        <v>0</v>
      </c>
      <c r="K79" s="44"/>
      <c r="L79" s="6"/>
      <c r="M79" s="6"/>
      <c r="N79" s="14"/>
      <c r="O79" s="122"/>
      <c r="P79" s="46"/>
      <c r="Q79" s="46"/>
      <c r="R79" s="47"/>
      <c r="S79" s="47"/>
      <c r="T79" s="47"/>
      <c r="U79" s="47"/>
      <c r="V79" s="47"/>
      <c r="W79" s="47"/>
      <c r="X79" s="47"/>
      <c r="Y79" s="47"/>
      <c r="Z79" s="48">
        <v>0</v>
      </c>
      <c r="AA79" s="48">
        <v>0</v>
      </c>
      <c r="AB79" s="49"/>
      <c r="AC79" s="49"/>
      <c r="AD79" s="50"/>
      <c r="AE79" s="50"/>
      <c r="AF79" s="14"/>
      <c r="AG79" s="122"/>
      <c r="AH79" s="51">
        <v>0</v>
      </c>
      <c r="AI79" s="51">
        <v>0</v>
      </c>
      <c r="AJ79" s="47"/>
      <c r="AK79" s="47"/>
      <c r="AL79" s="14"/>
      <c r="AM79" s="122"/>
      <c r="AN79" s="47"/>
      <c r="AO79" s="47"/>
      <c r="AP79" s="47"/>
      <c r="AQ79" s="47"/>
      <c r="AR79" s="51">
        <v>0</v>
      </c>
      <c r="AS79" s="51">
        <v>0</v>
      </c>
    </row>
    <row r="80" ht="136.5" customHeight="1" hidden="1">
      <c r="A80" t="s" s="187">
        <v>835</v>
      </c>
      <c r="B80" t="s" s="16">
        <v>95</v>
      </c>
      <c r="C80" s="188"/>
      <c r="D80" s="188"/>
      <c r="E80" t="s" s="217">
        <v>836</v>
      </c>
      <c r="F80" s="182">
        <v>0</v>
      </c>
      <c r="G80" s="183"/>
      <c r="H80" s="42">
        <f>SUM(J80,N80)</f>
        <v>0</v>
      </c>
      <c r="I80" s="207">
        <f>SUM(Q80,S80,U80,W80,Y80,AA80,AC80,AE80,AG80,AI80,AK80,AM80,AO80,AQ80,AS80)</f>
        <v>0</v>
      </c>
      <c r="J80" s="43">
        <f>SUM(P80,R80,T80,V80,X80,Z80,AB80,AD80,AF80,AH80,AJ80,AL80,AN80,AP80,AR80)</f>
        <v>0</v>
      </c>
      <c r="K80" s="44"/>
      <c r="L80" s="6"/>
      <c r="M80" s="6"/>
      <c r="N80" s="14"/>
      <c r="O80" s="122"/>
      <c r="P80" s="46"/>
      <c r="Q80" s="46"/>
      <c r="R80" s="47"/>
      <c r="S80" s="47"/>
      <c r="T80" s="47"/>
      <c r="U80" s="47"/>
      <c r="V80" s="47"/>
      <c r="W80" s="47"/>
      <c r="X80" s="47"/>
      <c r="Y80" s="47"/>
      <c r="Z80" s="48">
        <v>0</v>
      </c>
      <c r="AA80" s="48">
        <v>0</v>
      </c>
      <c r="AB80" s="49"/>
      <c r="AC80" s="49"/>
      <c r="AD80" s="50"/>
      <c r="AE80" s="50"/>
      <c r="AF80" s="14"/>
      <c r="AG80" s="122"/>
      <c r="AH80" s="51">
        <v>0</v>
      </c>
      <c r="AI80" s="47"/>
      <c r="AJ80" s="47"/>
      <c r="AK80" s="47"/>
      <c r="AL80" s="14"/>
      <c r="AM80" s="122"/>
      <c r="AN80" s="47"/>
      <c r="AO80" s="47"/>
      <c r="AP80" s="47"/>
      <c r="AQ80" s="47"/>
      <c r="AR80" s="51">
        <v>0</v>
      </c>
      <c r="AS80" s="51">
        <v>0</v>
      </c>
    </row>
    <row r="81" ht="141.75" customHeight="1" hidden="1">
      <c r="A81" t="s" s="59">
        <v>837</v>
      </c>
      <c r="B81" t="s" s="21">
        <v>96</v>
      </c>
      <c r="C81" t="s" s="59">
        <v>782</v>
      </c>
      <c r="D81" t="s" s="190">
        <v>717</v>
      </c>
      <c r="E81" t="s" s="216">
        <v>838</v>
      </c>
      <c r="F81" t="s" s="192">
        <v>714</v>
      </c>
      <c r="G81" s="193"/>
      <c r="H81" s="194">
        <f>SUM(J81,N81)</f>
        <v>8317</v>
      </c>
      <c r="I81" s="195">
        <f>SUM(Q81,S81,U81,W81,Y81,AA81,AC81,AE81,AG81,AI81,AK81,AM81,AO81,AQ81,AS81)</f>
        <v>6382</v>
      </c>
      <c r="J81" s="23">
        <f>SUM(P81,R81,T81,V81,X81,Z81,AB81,AD81,AF81,AH81,AJ81,AL81,AN81,AP81,AR81)</f>
        <v>8267</v>
      </c>
      <c r="K81" s="36"/>
      <c r="L81" s="196"/>
      <c r="M81" s="196"/>
      <c r="N81" s="199">
        <v>50</v>
      </c>
      <c r="O81" s="197"/>
      <c r="P81" s="27">
        <v>2000</v>
      </c>
      <c r="Q81" s="27">
        <v>1730</v>
      </c>
      <c r="R81" s="28">
        <v>1000</v>
      </c>
      <c r="S81" s="28">
        <v>1000</v>
      </c>
      <c r="T81" s="28">
        <v>3000</v>
      </c>
      <c r="U81" s="28">
        <v>1875</v>
      </c>
      <c r="V81" s="28">
        <v>2000</v>
      </c>
      <c r="W81" s="28">
        <v>1580</v>
      </c>
      <c r="X81" s="28">
        <v>250</v>
      </c>
      <c r="Y81" s="28">
        <v>195</v>
      </c>
      <c r="Z81" s="30">
        <v>0</v>
      </c>
      <c r="AA81" s="30">
        <v>0</v>
      </c>
      <c r="AB81" s="30">
        <v>12</v>
      </c>
      <c r="AC81" s="30">
        <v>2</v>
      </c>
      <c r="AD81" s="30">
        <v>5</v>
      </c>
      <c r="AE81" s="30">
        <v>0</v>
      </c>
      <c r="AF81" s="198">
        <v>0</v>
      </c>
      <c r="AG81" s="206">
        <v>0</v>
      </c>
      <c r="AH81" s="28">
        <v>0</v>
      </c>
      <c r="AI81" s="28">
        <v>0</v>
      </c>
      <c r="AJ81" s="28">
        <v>0</v>
      </c>
      <c r="AK81" s="28">
        <v>0</v>
      </c>
      <c r="AL81" s="202"/>
      <c r="AM81" s="197"/>
      <c r="AN81" s="28">
        <v>0</v>
      </c>
      <c r="AO81" s="28">
        <v>0</v>
      </c>
      <c r="AP81" s="28">
        <v>0</v>
      </c>
      <c r="AQ81" s="87"/>
      <c r="AR81" s="28">
        <v>0</v>
      </c>
      <c r="AS81" s="28">
        <v>0</v>
      </c>
    </row>
    <row r="82" ht="214.5" customHeight="1" hidden="1">
      <c r="A82" t="s" s="220">
        <v>839</v>
      </c>
      <c r="B82" t="s" s="52">
        <v>97</v>
      </c>
      <c r="C82" t="s" s="130">
        <v>790</v>
      </c>
      <c r="D82" t="s" s="209">
        <v>791</v>
      </c>
      <c r="E82" t="s" s="217">
        <v>840</v>
      </c>
      <c r="F82" t="s" s="210">
        <v>714</v>
      </c>
      <c r="G82" s="211"/>
      <c r="H82" s="42">
        <f>SUM(J82,N82)</f>
        <v>8228</v>
      </c>
      <c r="I82" s="207">
        <f>SUM(Q82,S82,U82,W82,Y82,AA82,AC82,AE82,AG82,AI82,AK82,AM82,AO82,AQ82,AS82)</f>
        <v>6587</v>
      </c>
      <c r="J82" s="43">
        <f>SUM(P82,R82,T82,V82,X82,Z82,AB82,AD82,AF82,AH82,AJ82,AL82,AN82,AP82,AR82)</f>
        <v>8128</v>
      </c>
      <c r="K82" s="44"/>
      <c r="L82" s="6"/>
      <c r="M82" s="6"/>
      <c r="N82" s="212">
        <v>100</v>
      </c>
      <c r="O82" s="122"/>
      <c r="P82" s="27">
        <v>2000</v>
      </c>
      <c r="Q82" s="27">
        <v>1622</v>
      </c>
      <c r="R82" s="51">
        <v>1000</v>
      </c>
      <c r="S82" s="51">
        <v>1000</v>
      </c>
      <c r="T82" s="51">
        <v>800</v>
      </c>
      <c r="U82" s="51">
        <v>572</v>
      </c>
      <c r="V82" s="51">
        <v>2000</v>
      </c>
      <c r="W82" s="51">
        <v>1706</v>
      </c>
      <c r="X82" s="51">
        <v>550</v>
      </c>
      <c r="Y82" s="51">
        <v>548</v>
      </c>
      <c r="Z82" s="48">
        <v>400</v>
      </c>
      <c r="AA82" s="48">
        <v>280</v>
      </c>
      <c r="AB82" s="48">
        <v>600</v>
      </c>
      <c r="AC82" s="48">
        <v>336</v>
      </c>
      <c r="AD82" s="55">
        <v>220</v>
      </c>
      <c r="AE82" s="213">
        <v>125</v>
      </c>
      <c r="AF82" s="212">
        <v>184</v>
      </c>
      <c r="AG82" s="121">
        <v>166</v>
      </c>
      <c r="AH82" s="51">
        <v>362</v>
      </c>
      <c r="AI82" s="51">
        <v>220</v>
      </c>
      <c r="AJ82" s="51">
        <v>0</v>
      </c>
      <c r="AK82" s="51">
        <v>0</v>
      </c>
      <c r="AL82" s="14"/>
      <c r="AM82" s="122"/>
      <c r="AN82" s="51">
        <v>12</v>
      </c>
      <c r="AO82" s="51">
        <v>12</v>
      </c>
      <c r="AP82" s="51">
        <v>0</v>
      </c>
      <c r="AQ82" s="47"/>
      <c r="AR82" s="51">
        <v>0</v>
      </c>
      <c r="AS82" s="51">
        <v>0</v>
      </c>
    </row>
    <row r="83" ht="195" customHeight="1" hidden="1">
      <c r="A83" t="s" s="59">
        <v>841</v>
      </c>
      <c r="B83" t="s" s="21">
        <v>98</v>
      </c>
      <c r="C83" t="s" s="59">
        <v>790</v>
      </c>
      <c r="D83" t="s" s="190">
        <v>791</v>
      </c>
      <c r="E83" t="s" s="216">
        <v>842</v>
      </c>
      <c r="F83" t="s" s="192">
        <v>720</v>
      </c>
      <c r="G83" s="193"/>
      <c r="H83" s="194">
        <f>SUM(J83,N83)</f>
        <v>105445</v>
      </c>
      <c r="I83" s="195">
        <f>SUM(Q83,S83,U83,W83,Y83,AA83,AC83,AE83,AG83,AI83,AK83,AM83,AO83,AQ83,AS83)</f>
        <v>65393</v>
      </c>
      <c r="J83" s="23">
        <f>SUM(P83,R83,T83,V83,X83,Z83,AB83,AD83,AF83,AH83,AJ83,AL83,AN83,AP83,AR83)</f>
        <v>105445</v>
      </c>
      <c r="K83" s="36"/>
      <c r="L83" s="196"/>
      <c r="M83" s="196"/>
      <c r="N83" s="196"/>
      <c r="O83" s="197"/>
      <c r="P83" s="27">
        <v>500</v>
      </c>
      <c r="Q83" s="27">
        <v>380</v>
      </c>
      <c r="R83" s="28">
        <v>7500</v>
      </c>
      <c r="S83" s="28">
        <v>6644</v>
      </c>
      <c r="T83" s="28">
        <v>6000</v>
      </c>
      <c r="U83" s="28">
        <v>3207</v>
      </c>
      <c r="V83" s="28">
        <v>3000</v>
      </c>
      <c r="W83" s="28">
        <v>2640</v>
      </c>
      <c r="X83" s="28">
        <v>3100</v>
      </c>
      <c r="Y83" s="28">
        <v>2933</v>
      </c>
      <c r="Z83" s="30">
        <v>23500</v>
      </c>
      <c r="AA83" s="30">
        <v>22400</v>
      </c>
      <c r="AB83" s="30">
        <v>10740</v>
      </c>
      <c r="AC83" s="30">
        <v>6598</v>
      </c>
      <c r="AD83" s="30">
        <v>12230</v>
      </c>
      <c r="AE83" s="30">
        <v>7061</v>
      </c>
      <c r="AF83" s="198">
        <v>17000</v>
      </c>
      <c r="AG83" s="206">
        <v>6090</v>
      </c>
      <c r="AH83" s="28">
        <v>21800</v>
      </c>
      <c r="AI83" s="28">
        <v>7378</v>
      </c>
      <c r="AJ83" s="28">
        <v>0</v>
      </c>
      <c r="AK83" s="28">
        <v>0</v>
      </c>
      <c r="AL83" s="202"/>
      <c r="AM83" s="197"/>
      <c r="AN83" s="28">
        <v>75</v>
      </c>
      <c r="AO83" s="28">
        <v>62</v>
      </c>
      <c r="AP83" s="28">
        <v>0</v>
      </c>
      <c r="AQ83" s="87"/>
      <c r="AR83" s="28">
        <v>0</v>
      </c>
      <c r="AS83" s="28">
        <v>0</v>
      </c>
    </row>
    <row r="84" ht="409.5" customHeight="1" hidden="1">
      <c r="A84" t="s" s="103">
        <v>843</v>
      </c>
      <c r="B84" t="s" s="66">
        <v>99</v>
      </c>
      <c r="C84" t="s" s="103">
        <v>844</v>
      </c>
      <c r="D84" t="s" s="66">
        <v>791</v>
      </c>
      <c r="E84" t="s" s="129">
        <v>845</v>
      </c>
      <c r="F84" t="s" s="101">
        <v>714</v>
      </c>
      <c r="G84" s="203"/>
      <c r="H84" s="204">
        <f>SUM(J84,N84)</f>
        <v>17630</v>
      </c>
      <c r="I84" s="205">
        <f>SUM(Q84,S84,U84,W84,Y84,AA84,AC84,AE84,AG84,AI84,AK84,AM84,AO84,AQ84,AS84)</f>
        <v>10085</v>
      </c>
      <c r="J84" s="35">
        <f>SUM(P84,R84,T84,V84,X84,Z84,AB84,AD84,AF84,AH84,AJ84,AL84,AN84,AP84,AR84)</f>
        <v>17630</v>
      </c>
      <c r="K84" s="36"/>
      <c r="L84" s="196"/>
      <c r="M84" s="196"/>
      <c r="N84" s="196"/>
      <c r="O84" s="197"/>
      <c r="P84" s="27">
        <v>300</v>
      </c>
      <c r="Q84" s="27">
        <v>350</v>
      </c>
      <c r="R84" s="38">
        <v>0</v>
      </c>
      <c r="S84" s="38">
        <v>0</v>
      </c>
      <c r="T84" s="38">
        <v>1000</v>
      </c>
      <c r="U84" s="38">
        <v>376</v>
      </c>
      <c r="V84" s="38">
        <v>500</v>
      </c>
      <c r="W84" s="38">
        <v>465</v>
      </c>
      <c r="X84" s="38">
        <v>650</v>
      </c>
      <c r="Y84" s="38">
        <v>485</v>
      </c>
      <c r="Z84" s="40">
        <v>3800</v>
      </c>
      <c r="AA84" s="40">
        <v>2890</v>
      </c>
      <c r="AB84" s="40">
        <v>3775</v>
      </c>
      <c r="AC84" s="40">
        <v>1987</v>
      </c>
      <c r="AD84" s="40">
        <v>5635</v>
      </c>
      <c r="AE84" s="40">
        <v>2499</v>
      </c>
      <c r="AF84" s="198">
        <v>0</v>
      </c>
      <c r="AG84" s="206">
        <v>0</v>
      </c>
      <c r="AH84" s="38">
        <v>1660</v>
      </c>
      <c r="AI84" s="38">
        <v>769</v>
      </c>
      <c r="AJ84" s="38">
        <v>0</v>
      </c>
      <c r="AK84" s="38">
        <v>0</v>
      </c>
      <c r="AL84" s="202"/>
      <c r="AM84" s="197"/>
      <c r="AN84" s="38">
        <v>300</v>
      </c>
      <c r="AO84" s="38">
        <v>260</v>
      </c>
      <c r="AP84" s="38">
        <v>0</v>
      </c>
      <c r="AQ84" s="80"/>
      <c r="AR84" s="38">
        <v>10</v>
      </c>
      <c r="AS84" s="38">
        <v>4</v>
      </c>
    </row>
    <row r="85" ht="19.5" customHeight="1" hidden="1">
      <c r="A85" t="s" s="88">
        <v>846</v>
      </c>
      <c r="B85" t="s" s="67">
        <v>100</v>
      </c>
      <c r="C85" s="228"/>
      <c r="D85" s="228"/>
      <c r="E85" s="189"/>
      <c r="F85" s="182">
        <v>0</v>
      </c>
      <c r="G85" s="183"/>
      <c r="H85" s="42">
        <f>SUM(J85,N85)</f>
        <v>0</v>
      </c>
      <c r="I85" s="207">
        <f>SUM(Q85,S85,U85,W85,Y85,AA85,AC85,AE85,AG85,AI85,AK85,AM85,AO85,AQ85,AS85)</f>
        <v>0</v>
      </c>
      <c r="J85" s="43">
        <f>SUM(P85,R85,T85,V85,X85,Z85,AB85,AD85,AF85,AH85,AJ85,AL85,AN85,AP85,AR85)</f>
        <v>0</v>
      </c>
      <c r="K85" s="44"/>
      <c r="L85" s="6"/>
      <c r="M85" s="6"/>
      <c r="N85" s="14"/>
      <c r="O85" s="122"/>
      <c r="P85" s="46"/>
      <c r="Q85" s="46"/>
      <c r="R85" s="47"/>
      <c r="S85" s="47"/>
      <c r="T85" s="47"/>
      <c r="U85" s="47"/>
      <c r="V85" s="47"/>
      <c r="W85" s="47"/>
      <c r="X85" s="47"/>
      <c r="Y85" s="47"/>
      <c r="Z85" s="48">
        <v>0</v>
      </c>
      <c r="AA85" s="48">
        <v>0</v>
      </c>
      <c r="AB85" s="49"/>
      <c r="AC85" s="49"/>
      <c r="AD85" s="50"/>
      <c r="AE85" s="50"/>
      <c r="AF85" s="14"/>
      <c r="AG85" s="122"/>
      <c r="AH85" s="51">
        <v>0</v>
      </c>
      <c r="AI85" s="51">
        <v>0</v>
      </c>
      <c r="AJ85" s="47"/>
      <c r="AK85" s="47"/>
      <c r="AL85" s="14"/>
      <c r="AM85" s="122"/>
      <c r="AN85" s="47"/>
      <c r="AO85" s="47"/>
      <c r="AP85" s="47"/>
      <c r="AQ85" s="47"/>
      <c r="AR85" s="51">
        <v>0</v>
      </c>
      <c r="AS85" s="51">
        <v>0</v>
      </c>
    </row>
    <row r="86" ht="47.25" customHeight="1" hidden="1">
      <c r="A86" t="s" s="130">
        <v>847</v>
      </c>
      <c r="B86" t="s" s="52">
        <v>101</v>
      </c>
      <c r="C86" t="s" s="130">
        <v>848</v>
      </c>
      <c r="D86" t="s" s="209">
        <v>791</v>
      </c>
      <c r="E86" t="s" s="217">
        <v>849</v>
      </c>
      <c r="F86" t="s" s="210">
        <v>714</v>
      </c>
      <c r="G86" s="211"/>
      <c r="H86" s="42">
        <f>SUM(J86,N86)</f>
        <v>4057</v>
      </c>
      <c r="I86" s="207">
        <f>SUM(Q86,S86,U86,W86,Y86,AA86,AC86,AE86,AG86,AI86,AK86,AM86,AO86,AQ86,AS86)</f>
        <v>1556</v>
      </c>
      <c r="J86" s="43">
        <f>SUM(P86,R86,T86,V86,X86,Z86,AB86,AD86,AF86,AH86,AJ86,AL86,AN86,AP86,AR86)</f>
        <v>4057</v>
      </c>
      <c r="K86" s="44"/>
      <c r="L86" s="6"/>
      <c r="M86" s="6"/>
      <c r="N86" s="14"/>
      <c r="O86" s="122"/>
      <c r="P86" s="27">
        <v>100</v>
      </c>
      <c r="Q86" s="27">
        <v>100</v>
      </c>
      <c r="R86" s="51">
        <v>0</v>
      </c>
      <c r="S86" s="51">
        <v>0</v>
      </c>
      <c r="T86" s="51">
        <v>300</v>
      </c>
      <c r="U86" s="51">
        <v>43</v>
      </c>
      <c r="V86" s="51">
        <v>200</v>
      </c>
      <c r="W86" s="51">
        <v>0</v>
      </c>
      <c r="X86" s="51">
        <v>100</v>
      </c>
      <c r="Y86" s="51">
        <v>50</v>
      </c>
      <c r="Z86" s="48">
        <v>250</v>
      </c>
      <c r="AA86" s="48">
        <v>120</v>
      </c>
      <c r="AB86" s="48">
        <v>1430</v>
      </c>
      <c r="AC86" s="48">
        <v>199</v>
      </c>
      <c r="AD86" s="55">
        <v>185</v>
      </c>
      <c r="AE86" s="213">
        <v>86</v>
      </c>
      <c r="AF86" s="212">
        <v>800</v>
      </c>
      <c r="AG86" s="121">
        <v>710</v>
      </c>
      <c r="AH86" s="51">
        <v>330</v>
      </c>
      <c r="AI86" s="51">
        <v>26</v>
      </c>
      <c r="AJ86" s="51">
        <v>0</v>
      </c>
      <c r="AK86" s="51">
        <v>0</v>
      </c>
      <c r="AL86" s="14"/>
      <c r="AM86" s="122"/>
      <c r="AN86" s="51">
        <v>62</v>
      </c>
      <c r="AO86" s="51">
        <v>62</v>
      </c>
      <c r="AP86" s="51">
        <v>300</v>
      </c>
      <c r="AQ86" s="51">
        <v>160</v>
      </c>
      <c r="AR86" s="51">
        <v>0</v>
      </c>
      <c r="AS86" s="51">
        <v>0</v>
      </c>
    </row>
    <row r="87" ht="63" customHeight="1" hidden="1">
      <c r="A87" t="s" s="68">
        <v>850</v>
      </c>
      <c r="B87" t="s" s="68">
        <v>102</v>
      </c>
      <c r="C87" t="s" s="68">
        <v>851</v>
      </c>
      <c r="D87" t="s" s="229">
        <v>791</v>
      </c>
      <c r="E87" t="s" s="229">
        <v>852</v>
      </c>
      <c r="F87" t="s" s="68">
        <v>853</v>
      </c>
      <c r="G87" s="230"/>
      <c r="H87" s="42">
        <f>SUM(J87,N87)</f>
        <v>17000</v>
      </c>
      <c r="I87" s="207">
        <f>SUM(Q87,S87,U87,W87,Y87,AA87,AC87,AE87,AG87,AI87,AK87,AM87,AO87,AQ87,AS87)</f>
        <v>1600</v>
      </c>
      <c r="J87" s="43">
        <f>SUM(P87,R87,T87,V87,X87,Z87,AB87,AD87,AF87,AH87,AJ87,AL87,AN87,AP87,AR87)</f>
        <v>17000</v>
      </c>
      <c r="K87" s="44"/>
      <c r="L87" s="6"/>
      <c r="M87" s="6"/>
      <c r="N87" s="14"/>
      <c r="O87" s="122"/>
      <c r="P87" s="46"/>
      <c r="Q87" s="46"/>
      <c r="R87" s="51">
        <v>10000</v>
      </c>
      <c r="S87" s="51">
        <v>1600</v>
      </c>
      <c r="T87" s="51">
        <v>7000</v>
      </c>
      <c r="U87" s="51">
        <v>0</v>
      </c>
      <c r="V87" s="47"/>
      <c r="W87" s="47"/>
      <c r="X87" s="47"/>
      <c r="Y87" s="47"/>
      <c r="Z87" s="48">
        <v>0</v>
      </c>
      <c r="AA87" s="48">
        <v>0</v>
      </c>
      <c r="AB87" s="49"/>
      <c r="AC87" s="49"/>
      <c r="AD87" s="55">
        <v>0</v>
      </c>
      <c r="AE87" s="213">
        <v>0</v>
      </c>
      <c r="AF87" s="212">
        <v>0</v>
      </c>
      <c r="AG87" s="121">
        <v>0</v>
      </c>
      <c r="AH87" s="51">
        <v>0</v>
      </c>
      <c r="AI87" s="51">
        <v>0</v>
      </c>
      <c r="AJ87" s="47"/>
      <c r="AK87" s="47"/>
      <c r="AL87" s="14"/>
      <c r="AM87" s="122"/>
      <c r="AN87" s="51">
        <v>0</v>
      </c>
      <c r="AO87" s="51">
        <v>0</v>
      </c>
      <c r="AP87" s="51">
        <v>0</v>
      </c>
      <c r="AQ87" s="47"/>
      <c r="AR87" s="51">
        <v>0</v>
      </c>
      <c r="AS87" s="51">
        <v>0</v>
      </c>
    </row>
    <row r="88" ht="19.5" customHeight="1" hidden="1">
      <c r="A88" t="s" s="88">
        <v>854</v>
      </c>
      <c r="B88" t="s" s="67">
        <v>103</v>
      </c>
      <c r="C88" s="228"/>
      <c r="D88" s="228"/>
      <c r="E88" s="189"/>
      <c r="F88" s="182">
        <v>0</v>
      </c>
      <c r="G88" s="183"/>
      <c r="H88" s="42">
        <f>SUM(J88,N88)</f>
        <v>0</v>
      </c>
      <c r="I88" s="207">
        <f>SUM(Q88,S88,U88,W88,Y88,AA88,AC88,AE88,AG88,AI88,AK88,AM88,AO88,AQ88,AS88)</f>
        <v>0</v>
      </c>
      <c r="J88" s="43">
        <f>SUM(P88,R88,T88,V88,X88,Z88,AB88,AD88,AF88,AH88,AJ88,AL88,AN88,AP88,AR88)</f>
        <v>0</v>
      </c>
      <c r="K88" s="44"/>
      <c r="L88" s="6"/>
      <c r="M88" s="6"/>
      <c r="N88" s="14"/>
      <c r="O88" s="122"/>
      <c r="P88" s="46"/>
      <c r="Q88" s="46"/>
      <c r="R88" s="47"/>
      <c r="S88" s="47"/>
      <c r="T88" s="47"/>
      <c r="U88" s="47"/>
      <c r="V88" s="47"/>
      <c r="W88" s="47"/>
      <c r="X88" s="47"/>
      <c r="Y88" s="47"/>
      <c r="Z88" s="48">
        <v>0</v>
      </c>
      <c r="AA88" s="48">
        <v>0</v>
      </c>
      <c r="AB88" s="49"/>
      <c r="AC88" s="49"/>
      <c r="AD88" s="50"/>
      <c r="AE88" s="50"/>
      <c r="AF88" s="14"/>
      <c r="AG88" s="122"/>
      <c r="AH88" s="51">
        <v>0</v>
      </c>
      <c r="AI88" s="51">
        <v>0</v>
      </c>
      <c r="AJ88" s="47"/>
      <c r="AK88" s="47"/>
      <c r="AL88" s="14"/>
      <c r="AM88" s="122"/>
      <c r="AN88" s="47"/>
      <c r="AO88" s="47"/>
      <c r="AP88" s="47"/>
      <c r="AQ88" s="47"/>
      <c r="AR88" s="51">
        <v>0</v>
      </c>
      <c r="AS88" s="51">
        <v>0</v>
      </c>
    </row>
    <row r="89" ht="31.5" customHeight="1" hidden="1">
      <c r="A89" t="s" s="59">
        <v>855</v>
      </c>
      <c r="B89" t="s" s="21">
        <v>104</v>
      </c>
      <c r="C89" t="s" s="59">
        <v>790</v>
      </c>
      <c r="D89" t="s" s="190">
        <v>791</v>
      </c>
      <c r="E89" s="191"/>
      <c r="F89" t="s" s="192">
        <v>720</v>
      </c>
      <c r="G89" s="193"/>
      <c r="H89" s="194">
        <f>SUM(J89,N89)</f>
        <v>167250</v>
      </c>
      <c r="I89" s="195">
        <f>SUM(Q89,S89,U89,W89,Y89,AA89,AC89,AE89,AG89,AI89,AK89,AM89,AO89,AQ89,AS89)</f>
        <v>79496</v>
      </c>
      <c r="J89" s="23">
        <f>SUM(P89,R89,T89,V89,X89,Z89,AB89,AD89,AF89,AH89,AJ89,AL89,AN89,AP89,AR89)</f>
        <v>165250</v>
      </c>
      <c r="K89" s="36"/>
      <c r="L89" s="196"/>
      <c r="M89" s="196"/>
      <c r="N89" s="199">
        <v>2000</v>
      </c>
      <c r="O89" s="197"/>
      <c r="P89" s="27">
        <v>8000</v>
      </c>
      <c r="Q89" s="27">
        <v>1244</v>
      </c>
      <c r="R89" s="28">
        <v>4000</v>
      </c>
      <c r="S89" s="28">
        <v>2823</v>
      </c>
      <c r="T89" s="28">
        <v>4000</v>
      </c>
      <c r="U89" s="28">
        <v>2820</v>
      </c>
      <c r="V89" s="28">
        <v>3600</v>
      </c>
      <c r="W89" s="28">
        <v>2358</v>
      </c>
      <c r="X89" s="28">
        <v>1600</v>
      </c>
      <c r="Y89" s="28">
        <v>1440</v>
      </c>
      <c r="Z89" s="30">
        <v>35400</v>
      </c>
      <c r="AA89" s="30">
        <v>27000</v>
      </c>
      <c r="AB89" s="30">
        <v>18850</v>
      </c>
      <c r="AC89" s="30">
        <v>9848</v>
      </c>
      <c r="AD89" s="30">
        <v>34950</v>
      </c>
      <c r="AE89" s="30">
        <v>14333</v>
      </c>
      <c r="AF89" s="198">
        <v>17000</v>
      </c>
      <c r="AG89" s="206">
        <v>6000</v>
      </c>
      <c r="AH89" s="28">
        <v>36900</v>
      </c>
      <c r="AI89" s="28">
        <v>10690</v>
      </c>
      <c r="AJ89" s="28">
        <v>0</v>
      </c>
      <c r="AK89" s="28">
        <v>0</v>
      </c>
      <c r="AL89" s="202"/>
      <c r="AM89" s="197"/>
      <c r="AN89" s="28">
        <v>400</v>
      </c>
      <c r="AO89" s="28">
        <v>390</v>
      </c>
      <c r="AP89" s="28">
        <v>550</v>
      </c>
      <c r="AQ89" s="28">
        <v>550</v>
      </c>
      <c r="AR89" s="28">
        <v>0</v>
      </c>
      <c r="AS89" s="28">
        <v>0</v>
      </c>
    </row>
    <row r="90" ht="31.5" customHeight="1" hidden="1">
      <c r="A90" t="s" s="59">
        <v>856</v>
      </c>
      <c r="B90" t="s" s="21">
        <v>105</v>
      </c>
      <c r="C90" t="s" s="59">
        <v>833</v>
      </c>
      <c r="D90" t="s" s="190">
        <v>713</v>
      </c>
      <c r="E90" s="191"/>
      <c r="F90" t="s" s="192">
        <v>720</v>
      </c>
      <c r="G90" s="193"/>
      <c r="H90" s="194">
        <f>SUM(J90,N90)</f>
        <v>618150</v>
      </c>
      <c r="I90" s="195">
        <f>SUM(Q90,S90,U90,W90,Y90,AA90,AC90,AE90,AG90,AI90,AK90,AM90,AO90,AQ90,AS90)</f>
        <v>316186</v>
      </c>
      <c r="J90" s="23">
        <f>SUM(P90,R90,T90,V90,X90,Z90,AB90,AD90,AF90,AH90,AJ90,AL90,AN90,AP90,AR90)</f>
        <v>618150</v>
      </c>
      <c r="K90" s="36"/>
      <c r="L90" s="196"/>
      <c r="M90" s="196"/>
      <c r="N90" s="196"/>
      <c r="O90" s="197"/>
      <c r="P90" s="27">
        <v>35000</v>
      </c>
      <c r="Q90" s="27">
        <v>15000</v>
      </c>
      <c r="R90" s="28">
        <v>300</v>
      </c>
      <c r="S90" s="28">
        <v>0</v>
      </c>
      <c r="T90" s="28">
        <v>3500</v>
      </c>
      <c r="U90" s="28">
        <v>2360</v>
      </c>
      <c r="V90" s="28">
        <v>24000</v>
      </c>
      <c r="W90" s="28">
        <v>20000</v>
      </c>
      <c r="X90" s="28">
        <v>25000</v>
      </c>
      <c r="Y90" s="28">
        <v>8220</v>
      </c>
      <c r="Z90" s="30">
        <v>222500</v>
      </c>
      <c r="AA90" s="30">
        <v>111565</v>
      </c>
      <c r="AB90" s="30">
        <v>106350</v>
      </c>
      <c r="AC90" s="30">
        <v>44861</v>
      </c>
      <c r="AD90" s="30">
        <v>117800</v>
      </c>
      <c r="AE90" s="30">
        <v>52850</v>
      </c>
      <c r="AF90" s="198">
        <v>25000</v>
      </c>
      <c r="AG90" s="206">
        <v>22100</v>
      </c>
      <c r="AH90" s="28">
        <v>45900</v>
      </c>
      <c r="AI90" s="28">
        <v>27420</v>
      </c>
      <c r="AJ90" s="28">
        <v>0</v>
      </c>
      <c r="AK90" s="28">
        <v>0</v>
      </c>
      <c r="AL90" s="202"/>
      <c r="AM90" s="197"/>
      <c r="AN90" s="28">
        <v>6000</v>
      </c>
      <c r="AO90" s="28">
        <v>5010</v>
      </c>
      <c r="AP90" s="28">
        <v>6800</v>
      </c>
      <c r="AQ90" s="28">
        <v>6800</v>
      </c>
      <c r="AR90" s="28">
        <v>0</v>
      </c>
      <c r="AS90" s="28">
        <v>0</v>
      </c>
    </row>
    <row r="91" ht="31.5" customHeight="1" hidden="1">
      <c r="A91" t="s" s="103">
        <v>857</v>
      </c>
      <c r="B91" t="s" s="10">
        <v>106</v>
      </c>
      <c r="C91" t="s" s="103">
        <v>782</v>
      </c>
      <c r="D91" t="s" s="66">
        <v>717</v>
      </c>
      <c r="E91" s="221">
        <v>1012</v>
      </c>
      <c r="F91" t="s" s="101">
        <v>714</v>
      </c>
      <c r="G91" s="203"/>
      <c r="H91" s="204">
        <f>SUM(J91,N91)</f>
        <v>52096</v>
      </c>
      <c r="I91" s="205">
        <f>SUM(Q91,S91,U91,W91,Y91,AA91,AC91,AE91,AG91,AI91,AK91,AM91,AO91,AQ91,AS91)</f>
        <v>28541</v>
      </c>
      <c r="J91" s="35">
        <f>SUM(P91,R91,T91,V91,X91,Z91,AB91,AD91,AF91,AH91,AJ91,AL91,AN91,AP91,AR91)</f>
        <v>52096</v>
      </c>
      <c r="K91" s="36"/>
      <c r="L91" s="196"/>
      <c r="M91" s="196"/>
      <c r="N91" s="196"/>
      <c r="O91" s="197"/>
      <c r="P91" s="27">
        <v>20000</v>
      </c>
      <c r="Q91" s="27">
        <v>7895</v>
      </c>
      <c r="R91" s="38">
        <v>4500</v>
      </c>
      <c r="S91" s="38">
        <v>4191</v>
      </c>
      <c r="T91" s="38">
        <v>7000</v>
      </c>
      <c r="U91" s="38">
        <v>4502</v>
      </c>
      <c r="V91" s="38">
        <v>10000</v>
      </c>
      <c r="W91" s="38">
        <v>5365</v>
      </c>
      <c r="X91" s="38">
        <v>3000</v>
      </c>
      <c r="Y91" s="38">
        <v>2675</v>
      </c>
      <c r="Z91" s="40">
        <v>300</v>
      </c>
      <c r="AA91" s="40">
        <v>0</v>
      </c>
      <c r="AB91" s="40">
        <v>1795</v>
      </c>
      <c r="AC91" s="40">
        <v>777</v>
      </c>
      <c r="AD91" s="40">
        <v>1835</v>
      </c>
      <c r="AE91" s="40">
        <v>1160</v>
      </c>
      <c r="AF91" s="198">
        <v>1650</v>
      </c>
      <c r="AG91" s="206">
        <v>1460</v>
      </c>
      <c r="AH91" s="38">
        <v>1986</v>
      </c>
      <c r="AI91" s="38">
        <v>505</v>
      </c>
      <c r="AJ91" s="38">
        <v>10</v>
      </c>
      <c r="AK91" s="38">
        <v>0</v>
      </c>
      <c r="AL91" s="202"/>
      <c r="AM91" s="197"/>
      <c r="AN91" s="38">
        <v>15</v>
      </c>
      <c r="AO91" s="38">
        <v>11</v>
      </c>
      <c r="AP91" s="38">
        <v>0</v>
      </c>
      <c r="AQ91" s="80"/>
      <c r="AR91" s="38">
        <v>5</v>
      </c>
      <c r="AS91" s="38">
        <v>0</v>
      </c>
    </row>
    <row r="92" ht="19.5" customHeight="1" hidden="1">
      <c r="A92" t="s" s="88">
        <v>858</v>
      </c>
      <c r="B92" t="s" s="67">
        <v>107</v>
      </c>
      <c r="C92" s="228"/>
      <c r="D92" s="228"/>
      <c r="E92" s="189"/>
      <c r="F92" s="182">
        <v>0</v>
      </c>
      <c r="G92" s="183"/>
      <c r="H92" s="42">
        <f>SUM(J92,N92)</f>
        <v>0</v>
      </c>
      <c r="I92" s="207">
        <f>SUM(Q92,S92,U92,W92,Y92,AA92,AC92,AE92,AG92,AI92,AK92,AM92,AO92,AQ92,AS92)</f>
        <v>0</v>
      </c>
      <c r="J92" s="43">
        <f>SUM(P92,R92,T92,V92,X92,Z92,AB92,AD92,AF92,AH92,AJ92,AL92,AN92,AP92,AR92)</f>
        <v>0</v>
      </c>
      <c r="K92" s="44"/>
      <c r="L92" s="6"/>
      <c r="M92" s="6"/>
      <c r="N92" s="14"/>
      <c r="O92" s="122"/>
      <c r="P92" s="46"/>
      <c r="Q92" s="46"/>
      <c r="R92" s="47"/>
      <c r="S92" s="47"/>
      <c r="T92" s="47"/>
      <c r="U92" s="47"/>
      <c r="V92" s="47"/>
      <c r="W92" s="47"/>
      <c r="X92" s="47"/>
      <c r="Y92" s="47"/>
      <c r="Z92" s="48">
        <v>0</v>
      </c>
      <c r="AA92" s="48">
        <v>0</v>
      </c>
      <c r="AB92" s="49"/>
      <c r="AC92" s="49"/>
      <c r="AD92" s="50"/>
      <c r="AE92" s="50"/>
      <c r="AF92" s="14"/>
      <c r="AG92" s="122"/>
      <c r="AH92" s="51">
        <v>0</v>
      </c>
      <c r="AI92" s="51">
        <v>0</v>
      </c>
      <c r="AJ92" s="47"/>
      <c r="AK92" s="47"/>
      <c r="AL92" s="14"/>
      <c r="AM92" s="122"/>
      <c r="AN92" s="47"/>
      <c r="AO92" s="47"/>
      <c r="AP92" s="47"/>
      <c r="AQ92" s="47"/>
      <c r="AR92" s="51">
        <v>0</v>
      </c>
      <c r="AS92" s="51">
        <v>0</v>
      </c>
    </row>
    <row r="93" ht="63" customHeight="1" hidden="1">
      <c r="A93" t="s" s="68">
        <v>859</v>
      </c>
      <c r="B93" t="s" s="68">
        <v>108</v>
      </c>
      <c r="C93" t="s" s="68">
        <v>830</v>
      </c>
      <c r="D93" t="s" s="229">
        <v>717</v>
      </c>
      <c r="E93" t="s" s="229">
        <v>860</v>
      </c>
      <c r="F93" t="s" s="68">
        <v>714</v>
      </c>
      <c r="G93" s="230"/>
      <c r="H93" s="42">
        <f>SUM(J93,N93)</f>
        <v>150</v>
      </c>
      <c r="I93" s="207">
        <f>SUM(Q93,S93,U93,W93,Y93,AA93,AC93,AE93,AG93,AI93,AK93,AM93,AO93,AQ93,AS93)</f>
        <v>70</v>
      </c>
      <c r="J93" s="43">
        <f>SUM(P93,R93,T93,V93,X93,Z93,AB93,AD93,AF93,AH93,AJ93,AL93,AN93,AP93,AR93)</f>
        <v>150</v>
      </c>
      <c r="K93" s="44"/>
      <c r="L93" s="6"/>
      <c r="M93" s="6"/>
      <c r="N93" s="14"/>
      <c r="O93" s="122"/>
      <c r="P93" s="46"/>
      <c r="Q93" s="46"/>
      <c r="R93" s="51">
        <v>100</v>
      </c>
      <c r="S93" s="51">
        <v>60</v>
      </c>
      <c r="T93" s="51">
        <v>0</v>
      </c>
      <c r="U93" s="51">
        <v>0</v>
      </c>
      <c r="V93" s="51">
        <v>50</v>
      </c>
      <c r="W93" s="51">
        <v>10</v>
      </c>
      <c r="X93" s="51">
        <v>0</v>
      </c>
      <c r="Y93" s="51">
        <v>0</v>
      </c>
      <c r="Z93" s="48">
        <v>0</v>
      </c>
      <c r="AA93" s="48">
        <v>0</v>
      </c>
      <c r="AB93" s="49"/>
      <c r="AC93" s="49"/>
      <c r="AD93" s="55">
        <v>0</v>
      </c>
      <c r="AE93" s="213">
        <v>0</v>
      </c>
      <c r="AF93" s="212">
        <v>0</v>
      </c>
      <c r="AG93" s="121">
        <v>0</v>
      </c>
      <c r="AH93" s="51">
        <v>0</v>
      </c>
      <c r="AI93" s="51">
        <v>0</v>
      </c>
      <c r="AJ93" s="47"/>
      <c r="AK93" s="47"/>
      <c r="AL93" s="14"/>
      <c r="AM93" s="122"/>
      <c r="AN93" s="51">
        <v>0</v>
      </c>
      <c r="AO93" s="51">
        <v>0</v>
      </c>
      <c r="AP93" s="51">
        <v>0</v>
      </c>
      <c r="AQ93" s="47"/>
      <c r="AR93" s="51">
        <v>0</v>
      </c>
      <c r="AS93" s="51">
        <v>0</v>
      </c>
    </row>
    <row r="94" ht="39" customHeight="1" hidden="1">
      <c r="A94" t="s" s="130">
        <v>861</v>
      </c>
      <c r="B94" t="s" s="52">
        <v>109</v>
      </c>
      <c r="C94" t="s" s="130">
        <v>782</v>
      </c>
      <c r="D94" t="s" s="209">
        <v>717</v>
      </c>
      <c r="E94" t="s" s="217">
        <v>862</v>
      </c>
      <c r="F94" t="s" s="210">
        <v>714</v>
      </c>
      <c r="G94" s="211"/>
      <c r="H94" s="42">
        <f>SUM(J94,N94)</f>
        <v>10</v>
      </c>
      <c r="I94" s="207">
        <f>SUM(Q94,S94,U94,W94,Y94,AA94,AC94,AE94,AG94,AI94,AK94,AM94,AO94,AQ94,AS94)</f>
        <v>0</v>
      </c>
      <c r="J94" s="43">
        <f>SUM(P94,R94,T94,V94,X94,Z94,AB94,AD94,AF94,AH94,AJ94,AL94,AN94,AP94,AR94)</f>
        <v>10</v>
      </c>
      <c r="K94" s="44"/>
      <c r="L94" s="6"/>
      <c r="M94" s="6"/>
      <c r="N94" s="14"/>
      <c r="O94" s="122"/>
      <c r="P94" s="27">
        <v>0</v>
      </c>
      <c r="Q94" s="27">
        <v>0</v>
      </c>
      <c r="R94" s="51">
        <v>10</v>
      </c>
      <c r="S94" s="51">
        <v>0</v>
      </c>
      <c r="T94" s="51">
        <v>0</v>
      </c>
      <c r="U94" s="51">
        <v>0</v>
      </c>
      <c r="V94" s="51">
        <v>0</v>
      </c>
      <c r="W94" s="51">
        <v>0</v>
      </c>
      <c r="X94" s="51">
        <v>0</v>
      </c>
      <c r="Y94" s="51">
        <v>0</v>
      </c>
      <c r="Z94" s="48">
        <v>0</v>
      </c>
      <c r="AA94" s="48">
        <v>0</v>
      </c>
      <c r="AB94" s="48">
        <v>0</v>
      </c>
      <c r="AC94" s="48">
        <v>0</v>
      </c>
      <c r="AD94" s="55">
        <v>0</v>
      </c>
      <c r="AE94" s="213">
        <v>0</v>
      </c>
      <c r="AF94" s="212">
        <v>0</v>
      </c>
      <c r="AG94" s="121">
        <v>0</v>
      </c>
      <c r="AH94" s="51">
        <v>0</v>
      </c>
      <c r="AI94" s="51">
        <v>0</v>
      </c>
      <c r="AJ94" s="51">
        <v>0</v>
      </c>
      <c r="AK94" s="51">
        <v>0</v>
      </c>
      <c r="AL94" s="14"/>
      <c r="AM94" s="122"/>
      <c r="AN94" s="51">
        <v>0</v>
      </c>
      <c r="AO94" s="51">
        <v>0</v>
      </c>
      <c r="AP94" s="51">
        <v>0</v>
      </c>
      <c r="AQ94" s="47"/>
      <c r="AR94" s="51">
        <v>0</v>
      </c>
      <c r="AS94" s="51">
        <v>0</v>
      </c>
    </row>
    <row r="95" ht="19.5" customHeight="1" hidden="1">
      <c r="A95" t="s" s="88">
        <v>863</v>
      </c>
      <c r="B95" t="s" s="67">
        <v>110</v>
      </c>
      <c r="C95" s="228"/>
      <c r="D95" s="228"/>
      <c r="E95" s="189"/>
      <c r="F95" s="182">
        <v>0</v>
      </c>
      <c r="G95" s="183"/>
      <c r="H95" s="42">
        <f>SUM(J95,N95)</f>
        <v>0</v>
      </c>
      <c r="I95" s="207">
        <f>SUM(Q95,S95,U95,W95,Y95,AA95,AC95,AE95,AG95,AI95,AK95,AM95,AO95,AQ95,AS95)</f>
        <v>0</v>
      </c>
      <c r="J95" s="43">
        <f>SUM(P95,R95,T95,V95,X95,Z95,AB95,AD95,AF95,AH95,AJ95,AL95,AN95,AP95,AR95)</f>
        <v>0</v>
      </c>
      <c r="K95" s="44"/>
      <c r="L95" s="6"/>
      <c r="M95" s="6"/>
      <c r="N95" s="14"/>
      <c r="O95" s="122"/>
      <c r="P95" s="46"/>
      <c r="Q95" s="46"/>
      <c r="R95" s="47"/>
      <c r="S95" s="47"/>
      <c r="T95" s="47"/>
      <c r="U95" s="47"/>
      <c r="V95" s="47"/>
      <c r="W95" s="47"/>
      <c r="X95" s="47"/>
      <c r="Y95" s="47"/>
      <c r="Z95" s="48">
        <v>0</v>
      </c>
      <c r="AA95" s="48">
        <v>0</v>
      </c>
      <c r="AB95" s="49"/>
      <c r="AC95" s="49"/>
      <c r="AD95" s="50"/>
      <c r="AE95" s="50"/>
      <c r="AF95" s="14"/>
      <c r="AG95" s="122"/>
      <c r="AH95" s="51">
        <v>0</v>
      </c>
      <c r="AI95" s="51">
        <v>0</v>
      </c>
      <c r="AJ95" s="47"/>
      <c r="AK95" s="47"/>
      <c r="AL95" s="14"/>
      <c r="AM95" s="122"/>
      <c r="AN95" s="47"/>
      <c r="AO95" s="47"/>
      <c r="AP95" s="47"/>
      <c r="AQ95" s="47"/>
      <c r="AR95" s="51">
        <v>0</v>
      </c>
      <c r="AS95" s="51">
        <v>0</v>
      </c>
    </row>
    <row r="96" ht="58.5" customHeight="1" hidden="1">
      <c r="A96" t="s" s="59">
        <v>864</v>
      </c>
      <c r="B96" t="s" s="21">
        <v>111</v>
      </c>
      <c r="C96" t="s" s="59">
        <v>790</v>
      </c>
      <c r="D96" t="s" s="190">
        <v>791</v>
      </c>
      <c r="E96" t="s" s="216">
        <v>865</v>
      </c>
      <c r="F96" t="s" s="192">
        <v>720</v>
      </c>
      <c r="G96" s="193"/>
      <c r="H96" s="194">
        <f>SUM(J96,N96)</f>
        <v>118440</v>
      </c>
      <c r="I96" s="195">
        <f>SUM(Q96,S96,U96,W96,Y96,AA96,AC96,AE96,AG96,AI96,AK96,AM96,AO96,AQ96,AS96)</f>
        <v>39033</v>
      </c>
      <c r="J96" s="23">
        <f>SUM(P96,R96,T96,V96,X96,Z96,AB96,AD96,AF96,AH96,AJ96,AL96,AN96,AP96,AR96)</f>
        <v>118440</v>
      </c>
      <c r="K96" s="36"/>
      <c r="L96" s="196"/>
      <c r="M96" s="196"/>
      <c r="N96" s="196"/>
      <c r="O96" s="197"/>
      <c r="P96" s="27">
        <v>8000</v>
      </c>
      <c r="Q96" s="27">
        <v>6886</v>
      </c>
      <c r="R96" s="28">
        <v>3000</v>
      </c>
      <c r="S96" s="28">
        <v>2790</v>
      </c>
      <c r="T96" s="28">
        <v>8000</v>
      </c>
      <c r="U96" s="28">
        <v>2613</v>
      </c>
      <c r="V96" s="28">
        <v>8000</v>
      </c>
      <c r="W96" s="28">
        <v>3583</v>
      </c>
      <c r="X96" s="28">
        <v>5500</v>
      </c>
      <c r="Y96" s="28">
        <v>5103</v>
      </c>
      <c r="Z96" s="30">
        <v>6000</v>
      </c>
      <c r="AA96" s="30">
        <v>0</v>
      </c>
      <c r="AB96" s="30">
        <v>17890</v>
      </c>
      <c r="AC96" s="30">
        <v>2735</v>
      </c>
      <c r="AD96" s="30">
        <v>25920</v>
      </c>
      <c r="AE96" s="30">
        <v>2628</v>
      </c>
      <c r="AF96" s="198">
        <v>17000</v>
      </c>
      <c r="AG96" s="206">
        <v>7600</v>
      </c>
      <c r="AH96" s="28">
        <v>16900</v>
      </c>
      <c r="AI96" s="28">
        <v>3599</v>
      </c>
      <c r="AJ96" s="28">
        <v>80</v>
      </c>
      <c r="AK96" s="28">
        <v>0</v>
      </c>
      <c r="AL96" s="202"/>
      <c r="AM96" s="197"/>
      <c r="AN96" s="28">
        <v>150</v>
      </c>
      <c r="AO96" s="28">
        <v>136</v>
      </c>
      <c r="AP96" s="28">
        <v>2000</v>
      </c>
      <c r="AQ96" s="28">
        <v>1360</v>
      </c>
      <c r="AR96" s="28">
        <v>0</v>
      </c>
      <c r="AS96" s="28">
        <v>0</v>
      </c>
    </row>
    <row r="97" ht="31.5" customHeight="1" hidden="1">
      <c r="A97" t="s" s="88">
        <v>866</v>
      </c>
      <c r="B97" t="s" s="67">
        <v>112</v>
      </c>
      <c r="C97" s="228"/>
      <c r="D97" s="228"/>
      <c r="E97" s="189"/>
      <c r="F97" s="182">
        <v>0</v>
      </c>
      <c r="G97" s="183"/>
      <c r="H97" s="42">
        <f>SUM(J97,N97)</f>
        <v>0</v>
      </c>
      <c r="I97" s="207">
        <f>SUM(Q97,S97,U97,W97,Y97,AA97,AC97,AE97,AG97,AI97,AK97,AM97,AO97,AQ97,AS97)</f>
        <v>0</v>
      </c>
      <c r="J97" s="43">
        <f>SUM(P97,R97,T97,V97,X97,Z97,AB97,AD97,AF97,AH97,AJ97,AL97,AN97,AP97,AR97)</f>
        <v>0</v>
      </c>
      <c r="K97" s="44"/>
      <c r="L97" s="6"/>
      <c r="M97" s="6"/>
      <c r="N97" s="14"/>
      <c r="O97" s="122"/>
      <c r="P97" s="46"/>
      <c r="Q97" s="46"/>
      <c r="R97" s="47"/>
      <c r="S97" s="47"/>
      <c r="T97" s="47"/>
      <c r="U97" s="47"/>
      <c r="V97" s="47"/>
      <c r="W97" s="47"/>
      <c r="X97" s="47"/>
      <c r="Y97" s="47"/>
      <c r="Z97" s="48">
        <v>0</v>
      </c>
      <c r="AA97" s="48">
        <v>0</v>
      </c>
      <c r="AB97" s="49"/>
      <c r="AC97" s="49"/>
      <c r="AD97" s="50"/>
      <c r="AE97" s="50"/>
      <c r="AF97" s="14"/>
      <c r="AG97" s="122"/>
      <c r="AH97" s="51">
        <v>0</v>
      </c>
      <c r="AI97" s="51">
        <v>0</v>
      </c>
      <c r="AJ97" s="47"/>
      <c r="AK97" s="47"/>
      <c r="AL97" s="14"/>
      <c r="AM97" s="122"/>
      <c r="AN97" s="47"/>
      <c r="AO97" s="47"/>
      <c r="AP97" s="47"/>
      <c r="AQ97" s="47"/>
      <c r="AR97" s="51">
        <v>0</v>
      </c>
      <c r="AS97" s="51">
        <v>0</v>
      </c>
    </row>
    <row r="98" ht="156" customHeight="1" hidden="1">
      <c r="A98" t="s" s="59">
        <v>867</v>
      </c>
      <c r="B98" t="s" s="21">
        <v>113</v>
      </c>
      <c r="C98" t="s" s="59">
        <v>790</v>
      </c>
      <c r="D98" t="s" s="190">
        <v>791</v>
      </c>
      <c r="E98" t="s" s="216">
        <v>868</v>
      </c>
      <c r="F98" t="s" s="192">
        <v>720</v>
      </c>
      <c r="G98" s="193"/>
      <c r="H98" s="194">
        <f>SUM(J98,N98)</f>
        <v>141130</v>
      </c>
      <c r="I98" s="195">
        <f>SUM(Q98,S98,U98,W98,Y98,AA98,AC98,AE98,AG98,AI98,AK98,AM98,AO98,AQ98,AS98)</f>
        <v>74018</v>
      </c>
      <c r="J98" s="23">
        <f>SUM(P98,R98,T98,V98,X98,Z98,AB98,AD98,AF98,AH98,AJ98,AL98,AN98,AP98,AR98)</f>
        <v>141130</v>
      </c>
      <c r="K98" s="36"/>
      <c r="L98" s="196"/>
      <c r="M98" s="196"/>
      <c r="N98" s="196"/>
      <c r="O98" s="197"/>
      <c r="P98" s="27">
        <v>1000</v>
      </c>
      <c r="Q98" s="27">
        <v>0</v>
      </c>
      <c r="R98" s="28">
        <v>6000</v>
      </c>
      <c r="S98" s="28">
        <v>5020</v>
      </c>
      <c r="T98" s="28">
        <v>8000</v>
      </c>
      <c r="U98" s="28">
        <v>2570</v>
      </c>
      <c r="V98" s="28">
        <v>4000</v>
      </c>
      <c r="W98" s="28">
        <v>2100</v>
      </c>
      <c r="X98" s="28">
        <v>2000</v>
      </c>
      <c r="Y98" s="28">
        <v>1650</v>
      </c>
      <c r="Z98" s="30">
        <v>34200</v>
      </c>
      <c r="AA98" s="30">
        <v>26412</v>
      </c>
      <c r="AB98" s="30">
        <v>18050</v>
      </c>
      <c r="AC98" s="30">
        <v>8812</v>
      </c>
      <c r="AD98" s="30">
        <v>26200</v>
      </c>
      <c r="AE98" s="30">
        <v>10267</v>
      </c>
      <c r="AF98" s="198">
        <v>17000</v>
      </c>
      <c r="AG98" s="206">
        <v>8500</v>
      </c>
      <c r="AH98" s="28">
        <v>24600</v>
      </c>
      <c r="AI98" s="28">
        <v>8687</v>
      </c>
      <c r="AJ98" s="28">
        <v>80</v>
      </c>
      <c r="AK98" s="28">
        <v>0</v>
      </c>
      <c r="AL98" s="202"/>
      <c r="AM98" s="197"/>
      <c r="AN98" s="28">
        <v>0</v>
      </c>
      <c r="AO98" s="28">
        <v>0</v>
      </c>
      <c r="AP98" s="28">
        <v>0</v>
      </c>
      <c r="AQ98" s="28">
        <v>0</v>
      </c>
      <c r="AR98" s="28">
        <v>0</v>
      </c>
      <c r="AS98" s="28">
        <v>0</v>
      </c>
    </row>
    <row r="99" ht="19.5" customHeight="1" hidden="1">
      <c r="A99" t="s" s="88">
        <v>869</v>
      </c>
      <c r="B99" t="s" s="67">
        <v>114</v>
      </c>
      <c r="C99" s="228"/>
      <c r="D99" s="228"/>
      <c r="E99" s="189"/>
      <c r="F99" s="182">
        <v>0</v>
      </c>
      <c r="G99" s="183"/>
      <c r="H99" s="42">
        <f>SUM(J99,N99)</f>
        <v>0</v>
      </c>
      <c r="I99" s="207">
        <f>SUM(Q99,S99,U99,W99,Y99,AA99,AC99,AE99,AG99,AI99,AK99,AM99,AO99,AQ99,AS99)</f>
        <v>0</v>
      </c>
      <c r="J99" s="43">
        <f>SUM(P99,R99,T99,V99,X99,Z99,AB99,AD99,AF99,AH99,AJ99,AL99,AN99,AP99,AR99)</f>
        <v>0</v>
      </c>
      <c r="K99" s="44"/>
      <c r="L99" s="6"/>
      <c r="M99" s="6"/>
      <c r="N99" s="14"/>
      <c r="O99" s="122"/>
      <c r="P99" s="46"/>
      <c r="Q99" s="46"/>
      <c r="R99" s="47"/>
      <c r="S99" s="47"/>
      <c r="T99" s="47"/>
      <c r="U99" s="47"/>
      <c r="V99" s="47"/>
      <c r="W99" s="47"/>
      <c r="X99" s="47"/>
      <c r="Y99" s="47"/>
      <c r="Z99" s="48">
        <v>0</v>
      </c>
      <c r="AA99" s="48">
        <v>0</v>
      </c>
      <c r="AB99" s="49"/>
      <c r="AC99" s="49"/>
      <c r="AD99" s="50"/>
      <c r="AE99" s="50"/>
      <c r="AF99" s="14"/>
      <c r="AG99" s="122"/>
      <c r="AH99" s="51">
        <v>0</v>
      </c>
      <c r="AI99" s="51">
        <v>0</v>
      </c>
      <c r="AJ99" s="47"/>
      <c r="AK99" s="47"/>
      <c r="AL99" s="14"/>
      <c r="AM99" s="122"/>
      <c r="AN99" s="47"/>
      <c r="AO99" s="47"/>
      <c r="AP99" s="47"/>
      <c r="AQ99" s="47"/>
      <c r="AR99" s="51">
        <v>0</v>
      </c>
      <c r="AS99" s="51">
        <v>0</v>
      </c>
    </row>
    <row r="100" ht="390" customHeight="1" hidden="1">
      <c r="A100" t="s" s="70">
        <v>870</v>
      </c>
      <c r="B100" t="s" s="69">
        <v>115</v>
      </c>
      <c r="C100" t="s" s="130">
        <v>800</v>
      </c>
      <c r="D100" t="s" s="209">
        <v>717</v>
      </c>
      <c r="E100" t="s" s="217">
        <v>871</v>
      </c>
      <c r="F100" t="s" s="210">
        <v>714</v>
      </c>
      <c r="G100" s="211"/>
      <c r="H100" s="42">
        <f>SUM(J100,N100)</f>
        <v>0</v>
      </c>
      <c r="I100" s="207">
        <f>SUM(Q100,S100,U100,W100,Y100,AA100,AC100,AE100,AG100,AI100,AK100,AM100,AO100,AQ100,AS100)</f>
        <v>0</v>
      </c>
      <c r="J100" s="43">
        <f>SUM(P100,R100,T100,V100,X100,Z100,AB100,AD100,AF100,AH100,AJ100,AL100,AN100,AP100,AR100)</f>
        <v>0</v>
      </c>
      <c r="K100" s="44"/>
      <c r="L100" s="6"/>
      <c r="M100" s="6"/>
      <c r="N100" s="14"/>
      <c r="O100" s="122"/>
      <c r="P100" s="27">
        <v>0</v>
      </c>
      <c r="Q100" s="27">
        <v>0</v>
      </c>
      <c r="R100" s="51">
        <v>0</v>
      </c>
      <c r="S100" s="51">
        <v>0</v>
      </c>
      <c r="T100" s="51">
        <v>0</v>
      </c>
      <c r="U100" s="51">
        <v>0</v>
      </c>
      <c r="V100" s="51">
        <v>0</v>
      </c>
      <c r="W100" s="51">
        <v>0</v>
      </c>
      <c r="X100" s="51">
        <v>0</v>
      </c>
      <c r="Y100" s="51">
        <v>0</v>
      </c>
      <c r="Z100" s="48">
        <v>0</v>
      </c>
      <c r="AA100" s="48">
        <v>0</v>
      </c>
      <c r="AB100" s="48">
        <v>0</v>
      </c>
      <c r="AC100" s="48">
        <v>0</v>
      </c>
      <c r="AD100" s="55">
        <v>0</v>
      </c>
      <c r="AE100" s="213">
        <v>0</v>
      </c>
      <c r="AF100" s="212">
        <v>0</v>
      </c>
      <c r="AG100" s="121">
        <v>0</v>
      </c>
      <c r="AH100" s="51">
        <v>0</v>
      </c>
      <c r="AI100" s="51">
        <v>0</v>
      </c>
      <c r="AJ100" s="51">
        <v>0</v>
      </c>
      <c r="AK100" s="51">
        <v>0</v>
      </c>
      <c r="AL100" s="14"/>
      <c r="AM100" s="122"/>
      <c r="AN100" s="51">
        <v>0</v>
      </c>
      <c r="AO100" s="51">
        <v>0</v>
      </c>
      <c r="AP100" s="51">
        <v>0</v>
      </c>
      <c r="AQ100" s="47"/>
      <c r="AR100" s="51">
        <v>0</v>
      </c>
      <c r="AS100" s="51">
        <v>0</v>
      </c>
    </row>
    <row r="101" ht="126" customHeight="1" hidden="1">
      <c r="A101" t="s" s="70">
        <v>872</v>
      </c>
      <c r="B101" t="s" s="70">
        <v>116</v>
      </c>
      <c r="C101" t="s" s="130">
        <v>790</v>
      </c>
      <c r="D101" t="s" s="209">
        <v>791</v>
      </c>
      <c r="E101" t="s" s="132">
        <v>873</v>
      </c>
      <c r="F101" t="s" s="210">
        <v>714</v>
      </c>
      <c r="G101" s="211"/>
      <c r="H101" s="42">
        <f>SUM(J101,N101)</f>
        <v>0</v>
      </c>
      <c r="I101" s="207">
        <f>SUM(Q101,S101,U101,W101,Y101,AA101,AC101,AE101,AG101,AI101,AK101,AM101,AO101,AQ101,AS101)</f>
        <v>0</v>
      </c>
      <c r="J101" s="43">
        <f>SUM(P101,R101,T101,V101,X101,Z101,AB101,AD101,AF101,AH101,AJ101,AL101,AN101,AP101,AR101)</f>
        <v>0</v>
      </c>
      <c r="K101" s="44"/>
      <c r="L101" s="6"/>
      <c r="M101" s="6"/>
      <c r="N101" s="14"/>
      <c r="O101" s="122"/>
      <c r="P101" s="27">
        <v>0</v>
      </c>
      <c r="Q101" s="27">
        <v>0</v>
      </c>
      <c r="R101" s="51">
        <v>0</v>
      </c>
      <c r="S101" s="51">
        <v>0</v>
      </c>
      <c r="T101" s="51">
        <v>0</v>
      </c>
      <c r="U101" s="51">
        <v>0</v>
      </c>
      <c r="V101" s="51">
        <v>0</v>
      </c>
      <c r="W101" s="51">
        <v>0</v>
      </c>
      <c r="X101" s="51">
        <v>0</v>
      </c>
      <c r="Y101" s="51">
        <v>0</v>
      </c>
      <c r="Z101" s="48">
        <v>0</v>
      </c>
      <c r="AA101" s="48">
        <v>0</v>
      </c>
      <c r="AB101" s="48">
        <v>0</v>
      </c>
      <c r="AC101" s="48">
        <v>0</v>
      </c>
      <c r="AD101" s="55">
        <v>0</v>
      </c>
      <c r="AE101" s="213">
        <v>0</v>
      </c>
      <c r="AF101" s="212">
        <v>0</v>
      </c>
      <c r="AG101" s="121">
        <v>0</v>
      </c>
      <c r="AH101" s="51">
        <v>0</v>
      </c>
      <c r="AI101" s="51">
        <v>0</v>
      </c>
      <c r="AJ101" s="51">
        <v>0</v>
      </c>
      <c r="AK101" s="51">
        <v>0</v>
      </c>
      <c r="AL101" s="14"/>
      <c r="AM101" s="122"/>
      <c r="AN101" s="51">
        <v>0</v>
      </c>
      <c r="AO101" s="51">
        <v>0</v>
      </c>
      <c r="AP101" s="51">
        <v>0</v>
      </c>
      <c r="AQ101" s="47"/>
      <c r="AR101" s="51">
        <v>0</v>
      </c>
      <c r="AS101" s="51">
        <v>0</v>
      </c>
    </row>
    <row r="102" ht="31.5" customHeight="1" hidden="1">
      <c r="A102" t="s" s="88">
        <v>874</v>
      </c>
      <c r="B102" t="s" s="67">
        <v>117</v>
      </c>
      <c r="C102" s="228"/>
      <c r="D102" s="228"/>
      <c r="E102" s="189"/>
      <c r="F102" s="182">
        <v>0</v>
      </c>
      <c r="G102" s="183"/>
      <c r="H102" s="42">
        <f>SUM(J102,N102)</f>
        <v>0</v>
      </c>
      <c r="I102" s="207">
        <f>SUM(Q102,S102,U102,W102,Y102,AA102,AC102,AE102,AG102,AI102,AK102,AM102,AO102,AQ102,AS102)</f>
        <v>0</v>
      </c>
      <c r="J102" s="43">
        <f>SUM(P102,R102,T102,V102,X102,Z102,AB102,AD102,AF102,AH102,AJ102,AL102,AN102,AP102,AR102)</f>
        <v>0</v>
      </c>
      <c r="K102" s="44"/>
      <c r="L102" s="6"/>
      <c r="M102" s="6"/>
      <c r="N102" s="14"/>
      <c r="O102" s="122"/>
      <c r="P102" s="46"/>
      <c r="Q102" s="46"/>
      <c r="R102" s="47"/>
      <c r="S102" s="47"/>
      <c r="T102" s="47"/>
      <c r="U102" s="47"/>
      <c r="V102" s="47"/>
      <c r="W102" s="47"/>
      <c r="X102" s="47"/>
      <c r="Y102" s="47"/>
      <c r="Z102" s="48">
        <v>0</v>
      </c>
      <c r="AA102" s="48">
        <v>0</v>
      </c>
      <c r="AB102" s="49"/>
      <c r="AC102" s="49"/>
      <c r="AD102" s="50"/>
      <c r="AE102" s="50"/>
      <c r="AF102" s="14"/>
      <c r="AG102" s="122"/>
      <c r="AH102" s="51">
        <v>0</v>
      </c>
      <c r="AI102" s="51">
        <v>0</v>
      </c>
      <c r="AJ102" s="47"/>
      <c r="AK102" s="47"/>
      <c r="AL102" s="14"/>
      <c r="AM102" s="122"/>
      <c r="AN102" s="47"/>
      <c r="AO102" s="47"/>
      <c r="AP102" s="47"/>
      <c r="AQ102" s="47"/>
      <c r="AR102" s="51">
        <v>0</v>
      </c>
      <c r="AS102" s="51">
        <v>0</v>
      </c>
    </row>
    <row r="103" ht="39" customHeight="1" hidden="1">
      <c r="A103" t="s" s="220">
        <v>875</v>
      </c>
      <c r="B103" t="s" s="71">
        <v>118</v>
      </c>
      <c r="C103" t="s" s="130">
        <v>833</v>
      </c>
      <c r="D103" t="s" s="209">
        <v>713</v>
      </c>
      <c r="E103" t="s" s="217">
        <v>876</v>
      </c>
      <c r="F103" t="s" s="210">
        <v>720</v>
      </c>
      <c r="G103" s="211"/>
      <c r="H103" s="42">
        <f>SUM(J103,N103)</f>
        <v>24000</v>
      </c>
      <c r="I103" s="207">
        <f>SUM(Q103,S103,U103,W103,Y103,AA103,AC103,AE103,AG103,AI103,AK103,AM103,AO103,AQ103,AS103)</f>
        <v>4258</v>
      </c>
      <c r="J103" s="43">
        <f>SUM(P103,R103,T103,V103,X103,Z103,AB103,AD103,AF103,AH103,AJ103,AL103,AN103,AP103,AR103)</f>
        <v>24000</v>
      </c>
      <c r="K103" s="44"/>
      <c r="L103" s="6"/>
      <c r="M103" s="6"/>
      <c r="N103" s="14"/>
      <c r="O103" s="122"/>
      <c r="P103" s="27">
        <v>0</v>
      </c>
      <c r="Q103" s="27">
        <v>0</v>
      </c>
      <c r="R103" s="51">
        <v>10000</v>
      </c>
      <c r="S103" s="51">
        <v>0</v>
      </c>
      <c r="T103" s="51">
        <v>1000</v>
      </c>
      <c r="U103" s="51">
        <v>0</v>
      </c>
      <c r="V103" s="51">
        <v>10000</v>
      </c>
      <c r="W103" s="51">
        <v>4258</v>
      </c>
      <c r="X103" s="51">
        <v>2000</v>
      </c>
      <c r="Y103" s="51">
        <v>0</v>
      </c>
      <c r="Z103" s="48">
        <v>0</v>
      </c>
      <c r="AA103" s="48">
        <v>0</v>
      </c>
      <c r="AB103" s="48">
        <v>0</v>
      </c>
      <c r="AC103" s="48">
        <v>0</v>
      </c>
      <c r="AD103" s="55">
        <v>0</v>
      </c>
      <c r="AE103" s="213">
        <v>0</v>
      </c>
      <c r="AF103" s="212">
        <v>0</v>
      </c>
      <c r="AG103" s="121">
        <v>0</v>
      </c>
      <c r="AH103" s="51">
        <v>0</v>
      </c>
      <c r="AI103" s="51">
        <v>0</v>
      </c>
      <c r="AJ103" s="51">
        <v>0</v>
      </c>
      <c r="AK103" s="51">
        <v>0</v>
      </c>
      <c r="AL103" s="14"/>
      <c r="AM103" s="122"/>
      <c r="AN103" s="51">
        <v>1000</v>
      </c>
      <c r="AO103" s="51">
        <v>0</v>
      </c>
      <c r="AP103" s="51">
        <v>0</v>
      </c>
      <c r="AQ103" s="47"/>
      <c r="AR103" s="51">
        <v>0</v>
      </c>
      <c r="AS103" s="51">
        <v>0</v>
      </c>
    </row>
    <row r="104" ht="39" customHeight="1" hidden="1">
      <c r="A104" t="s" s="214">
        <v>877</v>
      </c>
      <c r="B104" t="s" s="72">
        <v>119</v>
      </c>
      <c r="C104" t="s" s="59">
        <v>833</v>
      </c>
      <c r="D104" t="s" s="190">
        <v>713</v>
      </c>
      <c r="E104" t="s" s="223">
        <v>878</v>
      </c>
      <c r="F104" t="s" s="192">
        <v>720</v>
      </c>
      <c r="G104" s="193"/>
      <c r="H104" s="194">
        <f>SUM(J104,N104)</f>
        <v>94000</v>
      </c>
      <c r="I104" s="195">
        <f>SUM(Q104,S104,U104,W104,Y104,AA104,AC104,AE104,AG104,AI104,AK104,AM104,AO104,AQ104,AS104)</f>
        <v>26875</v>
      </c>
      <c r="J104" s="23">
        <f>SUM(P104,R104,T104,V104,X104,Z104,AB104,AD104,AF104,AH104,AJ104,AL104,AN104,AP104,AR104)</f>
        <v>94000</v>
      </c>
      <c r="K104" s="36"/>
      <c r="L104" s="196"/>
      <c r="M104" s="196"/>
      <c r="N104" s="196"/>
      <c r="O104" s="197"/>
      <c r="P104" s="27">
        <v>50000</v>
      </c>
      <c r="Q104" s="27">
        <v>9274</v>
      </c>
      <c r="R104" s="28">
        <v>0</v>
      </c>
      <c r="S104" s="28">
        <v>0</v>
      </c>
      <c r="T104" s="28">
        <v>6000</v>
      </c>
      <c r="U104" s="28">
        <v>3450</v>
      </c>
      <c r="V104" s="28">
        <v>20000</v>
      </c>
      <c r="W104" s="28">
        <v>3455</v>
      </c>
      <c r="X104" s="28">
        <v>2000</v>
      </c>
      <c r="Y104" s="28">
        <v>112</v>
      </c>
      <c r="Z104" s="30">
        <v>0</v>
      </c>
      <c r="AA104" s="30">
        <v>0</v>
      </c>
      <c r="AB104" s="30">
        <v>0</v>
      </c>
      <c r="AC104" s="30">
        <v>0</v>
      </c>
      <c r="AD104" s="30">
        <v>0</v>
      </c>
      <c r="AE104" s="30">
        <v>0</v>
      </c>
      <c r="AF104" s="198">
        <v>0</v>
      </c>
      <c r="AG104" s="206">
        <v>0</v>
      </c>
      <c r="AH104" s="28">
        <v>0</v>
      </c>
      <c r="AI104" s="28">
        <v>0</v>
      </c>
      <c r="AJ104" s="28">
        <v>0</v>
      </c>
      <c r="AK104" s="28">
        <v>0</v>
      </c>
      <c r="AL104" s="202"/>
      <c r="AM104" s="197"/>
      <c r="AN104" s="28">
        <v>1000</v>
      </c>
      <c r="AO104" s="28">
        <v>0</v>
      </c>
      <c r="AP104" s="28">
        <v>15000</v>
      </c>
      <c r="AQ104" s="28">
        <v>10584</v>
      </c>
      <c r="AR104" s="28">
        <v>0</v>
      </c>
      <c r="AS104" s="28">
        <v>0</v>
      </c>
    </row>
    <row r="105" ht="19.5" customHeight="1" hidden="1">
      <c r="A105" s="179">
        <v>4</v>
      </c>
      <c r="B105" t="s" s="10">
        <v>120</v>
      </c>
      <c r="C105" s="180"/>
      <c r="D105" s="180"/>
      <c r="E105" s="189"/>
      <c r="F105" s="182">
        <v>0</v>
      </c>
      <c r="G105" s="183"/>
      <c r="H105" s="42">
        <f>SUM(J105,N105)</f>
        <v>0</v>
      </c>
      <c r="I105" s="207">
        <f>SUM(Q105,S105,U105,W105,Y105,AA105,AC105,AE105,AG105,AI105,AK105,AM105,AO105,AQ105,AS105)</f>
        <v>0</v>
      </c>
      <c r="J105" s="43">
        <f>SUM(P105,R105,T105,V105,X105,Z105,AB105,AD105,AF105,AH105,AJ105,AL105,AN105,AP105,AR105)</f>
        <v>0</v>
      </c>
      <c r="K105" s="44"/>
      <c r="L105" s="6"/>
      <c r="M105" s="6"/>
      <c r="N105" s="14"/>
      <c r="O105" s="122"/>
      <c r="P105" s="46"/>
      <c r="Q105" s="46"/>
      <c r="R105" s="47"/>
      <c r="S105" s="47"/>
      <c r="T105" s="47"/>
      <c r="U105" s="47"/>
      <c r="V105" s="47"/>
      <c r="W105" s="47"/>
      <c r="X105" s="47"/>
      <c r="Y105" s="47"/>
      <c r="Z105" s="48">
        <v>0</v>
      </c>
      <c r="AA105" s="48">
        <v>0</v>
      </c>
      <c r="AB105" s="49"/>
      <c r="AC105" s="49"/>
      <c r="AD105" s="50"/>
      <c r="AE105" s="50"/>
      <c r="AF105" s="14"/>
      <c r="AG105" s="122"/>
      <c r="AH105" s="51">
        <v>0</v>
      </c>
      <c r="AI105" s="51">
        <v>0</v>
      </c>
      <c r="AJ105" s="47"/>
      <c r="AK105" s="47"/>
      <c r="AL105" s="14"/>
      <c r="AM105" s="122"/>
      <c r="AN105" s="47"/>
      <c r="AO105" s="47"/>
      <c r="AP105" s="47"/>
      <c r="AQ105" s="47"/>
      <c r="AR105" s="51">
        <v>0</v>
      </c>
      <c r="AS105" s="51">
        <v>0</v>
      </c>
    </row>
    <row r="106" ht="19.5" customHeight="1" hidden="1">
      <c r="A106" t="s" s="231">
        <v>879</v>
      </c>
      <c r="B106" t="s" s="67">
        <v>121</v>
      </c>
      <c r="C106" s="228"/>
      <c r="D106" s="228"/>
      <c r="E106" s="189"/>
      <c r="F106" s="182">
        <v>0</v>
      </c>
      <c r="G106" s="183"/>
      <c r="H106" s="42">
        <f>SUM(J106,N106)</f>
        <v>0</v>
      </c>
      <c r="I106" s="207">
        <f>SUM(Q106,S106,U106,W106,Y106,AA106,AC106,AE106,AG106,AI106,AK106,AM106,AO106,AQ106,AS106)</f>
        <v>0</v>
      </c>
      <c r="J106" s="43">
        <f>SUM(P106,R106,T106,V106,X106,Z106,AB106,AD106,AF106,AH106,AJ106,AL106,AN106,AP106,AR106)</f>
        <v>0</v>
      </c>
      <c r="K106" s="44"/>
      <c r="L106" s="6"/>
      <c r="M106" s="6"/>
      <c r="N106" s="14"/>
      <c r="O106" s="122"/>
      <c r="P106" s="46"/>
      <c r="Q106" s="46"/>
      <c r="R106" s="47"/>
      <c r="S106" s="47"/>
      <c r="T106" s="47"/>
      <c r="U106" s="47"/>
      <c r="V106" s="47"/>
      <c r="W106" s="47"/>
      <c r="X106" s="47"/>
      <c r="Y106" s="47"/>
      <c r="Z106" s="48">
        <v>0</v>
      </c>
      <c r="AA106" s="48">
        <v>0</v>
      </c>
      <c r="AB106" s="49"/>
      <c r="AC106" s="49"/>
      <c r="AD106" s="50"/>
      <c r="AE106" s="50"/>
      <c r="AF106" s="14"/>
      <c r="AG106" s="122"/>
      <c r="AH106" s="51">
        <v>0</v>
      </c>
      <c r="AI106" s="51">
        <v>0</v>
      </c>
      <c r="AJ106" s="47"/>
      <c r="AK106" s="47"/>
      <c r="AL106" s="14"/>
      <c r="AM106" s="122"/>
      <c r="AN106" s="47"/>
      <c r="AO106" s="47"/>
      <c r="AP106" s="47"/>
      <c r="AQ106" s="47"/>
      <c r="AR106" s="51">
        <v>0</v>
      </c>
      <c r="AS106" s="51">
        <v>0</v>
      </c>
    </row>
    <row r="107" ht="19.5" customHeight="1" hidden="1">
      <c r="A107" t="s" s="130">
        <v>880</v>
      </c>
      <c r="B107" t="s" s="52">
        <v>122</v>
      </c>
      <c r="C107" t="s" s="130">
        <v>833</v>
      </c>
      <c r="D107" t="s" s="209">
        <v>713</v>
      </c>
      <c r="E107" s="189"/>
      <c r="F107" t="s" s="210">
        <v>720</v>
      </c>
      <c r="G107" s="211"/>
      <c r="H107" s="42">
        <f>SUM(J107,N107)</f>
        <v>26200</v>
      </c>
      <c r="I107" s="207">
        <f>SUM(Q107,S107,U107,W107,Y107,AA107,AC107,AE107,AG107,AI107,AK107,AM107,AO107,AQ107,AS107)</f>
        <v>14228</v>
      </c>
      <c r="J107" s="43">
        <f>SUM(P107,R107,T107,V107,X107,Z107,AB107,AD107,AF107,AH107,AJ107,AL107,AN107,AP107,AR107)</f>
        <v>26200</v>
      </c>
      <c r="K107" s="44"/>
      <c r="L107" s="6"/>
      <c r="M107" s="6"/>
      <c r="N107" s="14"/>
      <c r="O107" s="122"/>
      <c r="P107" s="27">
        <v>5000</v>
      </c>
      <c r="Q107" s="27">
        <v>2650</v>
      </c>
      <c r="R107" s="51">
        <v>0</v>
      </c>
      <c r="S107" s="51">
        <v>0</v>
      </c>
      <c r="T107" s="51">
        <v>2000</v>
      </c>
      <c r="U107" s="51">
        <v>0</v>
      </c>
      <c r="V107" s="51">
        <v>200</v>
      </c>
      <c r="W107" s="51">
        <v>0</v>
      </c>
      <c r="X107" s="51">
        <v>0</v>
      </c>
      <c r="Y107" s="51">
        <v>0</v>
      </c>
      <c r="Z107" s="48">
        <v>13400</v>
      </c>
      <c r="AA107" s="48">
        <v>9778</v>
      </c>
      <c r="AB107" s="48">
        <v>1600</v>
      </c>
      <c r="AC107" s="48">
        <v>0</v>
      </c>
      <c r="AD107" s="55">
        <v>500</v>
      </c>
      <c r="AE107" s="213">
        <v>0</v>
      </c>
      <c r="AF107" s="212">
        <v>2000</v>
      </c>
      <c r="AG107" s="121">
        <v>1800</v>
      </c>
      <c r="AH107" s="51">
        <v>0</v>
      </c>
      <c r="AI107" s="51">
        <v>0</v>
      </c>
      <c r="AJ107" s="51">
        <v>0</v>
      </c>
      <c r="AK107" s="51">
        <v>0</v>
      </c>
      <c r="AL107" s="53">
        <v>1500</v>
      </c>
      <c r="AM107" s="53">
        <v>0</v>
      </c>
      <c r="AN107" s="51">
        <v>0</v>
      </c>
      <c r="AO107" s="51">
        <v>0</v>
      </c>
      <c r="AP107" s="51">
        <v>0</v>
      </c>
      <c r="AQ107" s="47"/>
      <c r="AR107" s="51">
        <v>0</v>
      </c>
      <c r="AS107" s="51">
        <v>0</v>
      </c>
    </row>
    <row r="108" ht="39" customHeight="1" hidden="1">
      <c r="A108" t="s" s="130">
        <v>881</v>
      </c>
      <c r="B108" t="s" s="52">
        <v>123</v>
      </c>
      <c r="C108" t="s" s="130">
        <v>782</v>
      </c>
      <c r="D108" t="s" s="209">
        <v>717</v>
      </c>
      <c r="E108" t="s" s="217">
        <v>882</v>
      </c>
      <c r="F108" t="s" s="210">
        <v>714</v>
      </c>
      <c r="G108" t="s" s="232">
        <v>883</v>
      </c>
      <c r="H108" s="42">
        <f>SUM(J108,N108)</f>
        <v>17265</v>
      </c>
      <c r="I108" s="207">
        <f>SUM(Q108,S108,U108,W108,Y108,AA108,AC108,AE108,AG108,AI108,AK108,AM108,AO108,AQ108,AS108)</f>
        <v>14592</v>
      </c>
      <c r="J108" s="43">
        <f>SUM(P108,R108,T108,V108,X108,Z108,AB108,AD108,AF108,AH108,AJ108,AL108,AN108,AP108,AR108)</f>
        <v>17165</v>
      </c>
      <c r="K108" s="44"/>
      <c r="L108" s="6"/>
      <c r="M108" s="6"/>
      <c r="N108" s="212">
        <v>100</v>
      </c>
      <c r="O108" s="122"/>
      <c r="P108" s="27">
        <v>4025</v>
      </c>
      <c r="Q108" s="27">
        <v>3602</v>
      </c>
      <c r="R108" s="51">
        <v>7000</v>
      </c>
      <c r="S108" s="51">
        <v>6140</v>
      </c>
      <c r="T108" s="51">
        <v>3000</v>
      </c>
      <c r="U108" s="51">
        <v>2479</v>
      </c>
      <c r="V108" s="51">
        <v>2000</v>
      </c>
      <c r="W108" s="51">
        <v>1610</v>
      </c>
      <c r="X108" s="51">
        <v>500</v>
      </c>
      <c r="Y108" s="51">
        <v>410</v>
      </c>
      <c r="Z108" s="48">
        <v>290</v>
      </c>
      <c r="AA108" s="48">
        <v>180</v>
      </c>
      <c r="AB108" s="48">
        <v>100</v>
      </c>
      <c r="AC108" s="48">
        <v>69</v>
      </c>
      <c r="AD108" s="55">
        <v>140</v>
      </c>
      <c r="AE108" s="213">
        <v>22</v>
      </c>
      <c r="AF108" s="212">
        <v>100</v>
      </c>
      <c r="AG108" s="121">
        <v>80</v>
      </c>
      <c r="AH108" s="51">
        <v>0</v>
      </c>
      <c r="AI108" s="51">
        <v>0</v>
      </c>
      <c r="AJ108" s="51">
        <v>0</v>
      </c>
      <c r="AK108" s="51">
        <v>0</v>
      </c>
      <c r="AL108" s="14"/>
      <c r="AM108" s="122"/>
      <c r="AN108" s="51">
        <v>0</v>
      </c>
      <c r="AO108" s="51">
        <v>0</v>
      </c>
      <c r="AP108" s="51">
        <v>0</v>
      </c>
      <c r="AQ108" s="47"/>
      <c r="AR108" s="51">
        <v>10</v>
      </c>
      <c r="AS108" s="51">
        <v>0</v>
      </c>
    </row>
    <row r="109" ht="19.5" customHeight="1" hidden="1">
      <c r="A109" t="s" s="130">
        <v>884</v>
      </c>
      <c r="B109" t="s" s="52">
        <v>124</v>
      </c>
      <c r="C109" t="s" s="130">
        <v>833</v>
      </c>
      <c r="D109" t="s" s="209">
        <v>713</v>
      </c>
      <c r="E109" s="189"/>
      <c r="F109" t="s" s="210">
        <v>720</v>
      </c>
      <c r="G109" s="211"/>
      <c r="H109" s="42">
        <f>SUM(J109,N109)</f>
        <v>64150</v>
      </c>
      <c r="I109" s="207">
        <f>SUM(Q109,S109,U109,W109,Y109,AA109,AC109,AE109,AG109,AI109,AK109,AM109,AO109,AQ109,AS109)</f>
        <v>44618</v>
      </c>
      <c r="J109" s="43">
        <f>SUM(P109,R109,T109,V109,X109,Z109,AB109,AD109,AF109,AH109,AJ109,AL109,AN109,AP109,AR109)</f>
        <v>64150</v>
      </c>
      <c r="K109" s="44"/>
      <c r="L109" s="6"/>
      <c r="M109" s="6"/>
      <c r="N109" s="14"/>
      <c r="O109" s="122"/>
      <c r="P109" s="27">
        <v>18000</v>
      </c>
      <c r="Q109" s="27">
        <v>16520</v>
      </c>
      <c r="R109" s="51">
        <v>0</v>
      </c>
      <c r="S109" s="51">
        <v>0</v>
      </c>
      <c r="T109" s="51">
        <v>2000</v>
      </c>
      <c r="U109" s="51">
        <v>0</v>
      </c>
      <c r="V109" s="51">
        <v>20000</v>
      </c>
      <c r="W109" s="51">
        <v>17400</v>
      </c>
      <c r="X109" s="51">
        <v>3200</v>
      </c>
      <c r="Y109" s="51">
        <v>3000</v>
      </c>
      <c r="Z109" s="48">
        <v>12500</v>
      </c>
      <c r="AA109" s="48">
        <v>2678</v>
      </c>
      <c r="AB109" s="48">
        <v>1300</v>
      </c>
      <c r="AC109" s="48">
        <v>1260</v>
      </c>
      <c r="AD109" s="55">
        <v>3950</v>
      </c>
      <c r="AE109" s="213">
        <v>1890</v>
      </c>
      <c r="AF109" s="212">
        <v>2000</v>
      </c>
      <c r="AG109" s="121">
        <v>1800</v>
      </c>
      <c r="AH109" s="51">
        <v>0</v>
      </c>
      <c r="AI109" s="51">
        <v>0</v>
      </c>
      <c r="AJ109" s="51">
        <v>0</v>
      </c>
      <c r="AK109" s="51">
        <v>0</v>
      </c>
      <c r="AL109" s="73">
        <v>1000</v>
      </c>
      <c r="AM109" s="73">
        <v>0</v>
      </c>
      <c r="AN109" s="51">
        <v>0</v>
      </c>
      <c r="AO109" s="51">
        <v>0</v>
      </c>
      <c r="AP109" s="51">
        <v>0</v>
      </c>
      <c r="AQ109" s="47"/>
      <c r="AR109" s="51">
        <v>200</v>
      </c>
      <c r="AS109" s="51">
        <v>70</v>
      </c>
    </row>
    <row r="110" ht="19.5" customHeight="1" hidden="1">
      <c r="A110" t="s" s="220">
        <v>885</v>
      </c>
      <c r="B110" t="s" s="52">
        <v>125</v>
      </c>
      <c r="C110" t="s" s="130">
        <v>833</v>
      </c>
      <c r="D110" t="s" s="209">
        <v>713</v>
      </c>
      <c r="E110" s="189"/>
      <c r="F110" t="s" s="210">
        <v>720</v>
      </c>
      <c r="G110" s="211"/>
      <c r="H110" s="42">
        <f>SUM(J110,N110)</f>
        <v>1100</v>
      </c>
      <c r="I110" s="207">
        <f>SUM(Q110,S110,U110,W110,Y110,AA110,AC110,AE110,AG110,AI110,AK110,AM110,AO110,AQ110,AS110)</f>
        <v>860</v>
      </c>
      <c r="J110" s="43">
        <f>SUM(P110,R110,T110,V110,X110,Z110,AB110,AD110,AF110,AH110,AJ110,AL110,AN110,AP110,AR110)</f>
        <v>1100</v>
      </c>
      <c r="K110" s="44"/>
      <c r="L110" s="6"/>
      <c r="M110" s="6"/>
      <c r="N110" s="14"/>
      <c r="O110" s="122"/>
      <c r="P110" s="27">
        <v>1000</v>
      </c>
      <c r="Q110" s="27">
        <v>860</v>
      </c>
      <c r="R110" s="51">
        <v>0</v>
      </c>
      <c r="S110" s="51">
        <v>0</v>
      </c>
      <c r="T110" s="51">
        <v>0</v>
      </c>
      <c r="U110" s="51">
        <v>0</v>
      </c>
      <c r="V110" s="51">
        <v>100</v>
      </c>
      <c r="W110" s="51">
        <v>0</v>
      </c>
      <c r="X110" s="51">
        <v>0</v>
      </c>
      <c r="Y110" s="51">
        <v>0</v>
      </c>
      <c r="Z110" s="48">
        <v>0</v>
      </c>
      <c r="AA110" s="48">
        <v>0</v>
      </c>
      <c r="AB110" s="48">
        <v>0</v>
      </c>
      <c r="AC110" s="48">
        <v>0</v>
      </c>
      <c r="AD110" s="55">
        <v>0</v>
      </c>
      <c r="AE110" s="213">
        <v>0</v>
      </c>
      <c r="AF110" s="212">
        <v>0</v>
      </c>
      <c r="AG110" s="121">
        <v>0</v>
      </c>
      <c r="AH110" s="51">
        <v>0</v>
      </c>
      <c r="AI110" s="51">
        <v>0</v>
      </c>
      <c r="AJ110" s="51">
        <v>0</v>
      </c>
      <c r="AK110" s="51">
        <v>0</v>
      </c>
      <c r="AL110" s="14"/>
      <c r="AM110" s="122"/>
      <c r="AN110" s="51">
        <v>0</v>
      </c>
      <c r="AO110" s="51">
        <v>0</v>
      </c>
      <c r="AP110" s="51">
        <v>0</v>
      </c>
      <c r="AQ110" s="47"/>
      <c r="AR110" s="51">
        <v>0</v>
      </c>
      <c r="AS110" s="51">
        <v>0</v>
      </c>
    </row>
    <row r="111" ht="58.5" customHeight="1" hidden="1">
      <c r="A111" t="s" s="220">
        <v>886</v>
      </c>
      <c r="B111" t="s" s="52">
        <v>126</v>
      </c>
      <c r="C111" t="s" s="130">
        <v>790</v>
      </c>
      <c r="D111" t="s" s="209">
        <v>791</v>
      </c>
      <c r="E111" t="s" s="217">
        <v>887</v>
      </c>
      <c r="F111" t="s" s="210">
        <v>714</v>
      </c>
      <c r="G111" s="211"/>
      <c r="H111" s="42">
        <f>SUM(J111,N111)</f>
        <v>0</v>
      </c>
      <c r="I111" s="207">
        <f>SUM(Q111,S111,U111,W111,Y111,AA111,AC111,AE111,AG111,AI111,AK111,AM111,AO111,AQ111,AS111)</f>
        <v>0</v>
      </c>
      <c r="J111" s="43">
        <f>SUM(P111,R111,T111,V111,X111,Z111,AB111,AD111,AF111,AH111,AJ111,AL111,AN111,AP111,AR111)</f>
        <v>0</v>
      </c>
      <c r="K111" s="44"/>
      <c r="L111" s="6"/>
      <c r="M111" s="6"/>
      <c r="N111" s="14"/>
      <c r="O111" s="122"/>
      <c r="P111" s="27">
        <v>0</v>
      </c>
      <c r="Q111" s="27">
        <v>0</v>
      </c>
      <c r="R111" s="51">
        <v>0</v>
      </c>
      <c r="S111" s="51">
        <v>0</v>
      </c>
      <c r="T111" s="51">
        <v>0</v>
      </c>
      <c r="U111" s="51">
        <v>0</v>
      </c>
      <c r="V111" s="51">
        <v>0</v>
      </c>
      <c r="W111" s="51">
        <v>0</v>
      </c>
      <c r="X111" s="51">
        <v>0</v>
      </c>
      <c r="Y111" s="51">
        <v>0</v>
      </c>
      <c r="Z111" s="48">
        <v>0</v>
      </c>
      <c r="AA111" s="48">
        <v>0</v>
      </c>
      <c r="AB111" s="48">
        <v>0</v>
      </c>
      <c r="AC111" s="48">
        <v>0</v>
      </c>
      <c r="AD111" s="55">
        <v>0</v>
      </c>
      <c r="AE111" s="213">
        <v>0</v>
      </c>
      <c r="AF111" s="212">
        <v>0</v>
      </c>
      <c r="AG111" s="121">
        <v>0</v>
      </c>
      <c r="AH111" s="51">
        <v>0</v>
      </c>
      <c r="AI111" s="51">
        <v>0</v>
      </c>
      <c r="AJ111" s="51">
        <v>0</v>
      </c>
      <c r="AK111" s="51">
        <v>0</v>
      </c>
      <c r="AL111" s="14"/>
      <c r="AM111" s="122"/>
      <c r="AN111" s="51">
        <v>0</v>
      </c>
      <c r="AO111" s="51">
        <v>0</v>
      </c>
      <c r="AP111" s="51">
        <v>0</v>
      </c>
      <c r="AQ111" s="47"/>
      <c r="AR111" s="51">
        <v>0</v>
      </c>
      <c r="AS111" s="51">
        <v>0</v>
      </c>
    </row>
    <row r="112" ht="19.5" customHeight="1" hidden="1">
      <c r="A112" t="s" s="88">
        <v>888</v>
      </c>
      <c r="B112" t="s" s="67">
        <v>127</v>
      </c>
      <c r="C112" s="228"/>
      <c r="D112" s="228"/>
      <c r="E112" s="189"/>
      <c r="F112" s="182">
        <v>0</v>
      </c>
      <c r="G112" s="183"/>
      <c r="H112" s="42">
        <f>SUM(J112,N112)</f>
        <v>0</v>
      </c>
      <c r="I112" s="207">
        <f>SUM(Q112,S112,U112,W112,Y112,AA112,AC112,AE112,AG112,AI112,AK112,AM112,AO112,AQ112,AS112)</f>
        <v>0</v>
      </c>
      <c r="J112" s="43">
        <f>SUM(P112,R112,T112,V112,X112,Z112,AB112,AD112,AF112,AH112,AJ112,AL112,AN112,AP112,AR112)</f>
        <v>0</v>
      </c>
      <c r="K112" s="44"/>
      <c r="L112" s="6"/>
      <c r="M112" s="6"/>
      <c r="N112" s="14"/>
      <c r="O112" s="122"/>
      <c r="P112" s="46"/>
      <c r="Q112" s="46"/>
      <c r="R112" s="47"/>
      <c r="S112" s="47"/>
      <c r="T112" s="47"/>
      <c r="U112" s="47"/>
      <c r="V112" s="47"/>
      <c r="W112" s="47"/>
      <c r="X112" s="47"/>
      <c r="Y112" s="47"/>
      <c r="Z112" s="48">
        <v>0</v>
      </c>
      <c r="AA112" s="48">
        <v>0</v>
      </c>
      <c r="AB112" s="49"/>
      <c r="AC112" s="49"/>
      <c r="AD112" s="50"/>
      <c r="AE112" s="50"/>
      <c r="AF112" s="14"/>
      <c r="AG112" s="122"/>
      <c r="AH112" s="51">
        <v>0</v>
      </c>
      <c r="AI112" s="51">
        <v>0</v>
      </c>
      <c r="AJ112" s="47"/>
      <c r="AK112" s="47"/>
      <c r="AL112" s="14"/>
      <c r="AM112" s="122"/>
      <c r="AN112" s="47"/>
      <c r="AO112" s="47"/>
      <c r="AP112" s="47"/>
      <c r="AQ112" s="47"/>
      <c r="AR112" s="51">
        <v>0</v>
      </c>
      <c r="AS112" s="51">
        <v>0</v>
      </c>
    </row>
    <row r="113" ht="31.5" customHeight="1" hidden="1">
      <c r="A113" t="s" s="59">
        <v>889</v>
      </c>
      <c r="B113" t="s" s="21">
        <v>128</v>
      </c>
      <c r="C113" t="s" s="59">
        <v>833</v>
      </c>
      <c r="D113" t="s" s="190">
        <v>713</v>
      </c>
      <c r="E113" s="191"/>
      <c r="F113" t="s" s="192">
        <v>714</v>
      </c>
      <c r="G113" s="193"/>
      <c r="H113" s="194">
        <f>SUM(J113,N113)</f>
        <v>750</v>
      </c>
      <c r="I113" s="195">
        <f>SUM(Q113,S113,U113,W113,Y113,AA113,AC113,AE113,AG113,AI113,AK113,AM113,AO113,AQ113,AS113)</f>
        <v>0</v>
      </c>
      <c r="J113" s="23">
        <f>SUM(P113,R113,T113,V113,X113,Z113,AB113,AD113,AF113,AH113,AJ113,AL113,AN113,AP113,AR113)</f>
        <v>750</v>
      </c>
      <c r="K113" s="36"/>
      <c r="L113" s="196"/>
      <c r="M113" s="196"/>
      <c r="N113" s="196"/>
      <c r="O113" s="197"/>
      <c r="P113" s="27">
        <v>500</v>
      </c>
      <c r="Q113" s="27">
        <v>0</v>
      </c>
      <c r="R113" s="28">
        <v>0</v>
      </c>
      <c r="S113" s="28">
        <v>0</v>
      </c>
      <c r="T113" s="28">
        <v>100</v>
      </c>
      <c r="U113" s="28">
        <v>0</v>
      </c>
      <c r="V113" s="28">
        <v>100</v>
      </c>
      <c r="W113" s="28">
        <v>0</v>
      </c>
      <c r="X113" s="28">
        <v>50</v>
      </c>
      <c r="Y113" s="28">
        <v>0</v>
      </c>
      <c r="Z113" s="30">
        <v>0</v>
      </c>
      <c r="AA113" s="30">
        <v>0</v>
      </c>
      <c r="AB113" s="30">
        <v>0</v>
      </c>
      <c r="AC113" s="30">
        <v>0</v>
      </c>
      <c r="AD113" s="30">
        <v>0</v>
      </c>
      <c r="AE113" s="30">
        <v>0</v>
      </c>
      <c r="AF113" s="198">
        <v>0</v>
      </c>
      <c r="AG113" s="206">
        <v>0</v>
      </c>
      <c r="AH113" s="28">
        <v>0</v>
      </c>
      <c r="AI113" s="28">
        <v>0</v>
      </c>
      <c r="AJ113" s="28">
        <v>0</v>
      </c>
      <c r="AK113" s="28">
        <v>0</v>
      </c>
      <c r="AL113" s="202"/>
      <c r="AM113" s="197"/>
      <c r="AN113" s="28">
        <v>0</v>
      </c>
      <c r="AO113" s="28">
        <v>0</v>
      </c>
      <c r="AP113" s="28">
        <v>0</v>
      </c>
      <c r="AQ113" s="87"/>
      <c r="AR113" s="28">
        <v>0</v>
      </c>
      <c r="AS113" s="28">
        <v>0</v>
      </c>
    </row>
    <row r="114" ht="214.5" customHeight="1" hidden="1">
      <c r="A114" t="s" s="103">
        <v>890</v>
      </c>
      <c r="B114" t="s" s="10">
        <v>129</v>
      </c>
      <c r="C114" t="s" s="103">
        <v>782</v>
      </c>
      <c r="D114" t="s" s="66">
        <v>717</v>
      </c>
      <c r="E114" t="s" s="129">
        <v>891</v>
      </c>
      <c r="F114" t="s" s="101">
        <v>714</v>
      </c>
      <c r="G114" s="203"/>
      <c r="H114" s="204">
        <f>SUM(J114,N114)</f>
        <v>475</v>
      </c>
      <c r="I114" s="205">
        <f>SUM(Q114,S114,U114,W114,Y114,AA114,AC114,AE114,AG114,AI114,AK114,AM114,AO114,AQ114,AS114)</f>
        <v>10</v>
      </c>
      <c r="J114" s="35">
        <f>SUM(P114,R114,T114,V114,X114,Z114,AB114,AD114,AF114,AH114,AJ114,AL114,AN114,AP114,AR114)</f>
        <v>475</v>
      </c>
      <c r="K114" s="36"/>
      <c r="L114" s="196"/>
      <c r="M114" s="196"/>
      <c r="N114" s="196"/>
      <c r="O114" s="197"/>
      <c r="P114" s="27">
        <v>25</v>
      </c>
      <c r="Q114" s="27">
        <v>10</v>
      </c>
      <c r="R114" s="38">
        <v>0</v>
      </c>
      <c r="S114" s="38">
        <v>0</v>
      </c>
      <c r="T114" s="38">
        <v>100</v>
      </c>
      <c r="U114" s="38">
        <v>0</v>
      </c>
      <c r="V114" s="38">
        <v>50</v>
      </c>
      <c r="W114" s="38">
        <v>0</v>
      </c>
      <c r="X114" s="38">
        <v>300</v>
      </c>
      <c r="Y114" s="38">
        <v>0</v>
      </c>
      <c r="Z114" s="40">
        <v>0</v>
      </c>
      <c r="AA114" s="40">
        <v>0</v>
      </c>
      <c r="AB114" s="40">
        <v>0</v>
      </c>
      <c r="AC114" s="40">
        <v>0</v>
      </c>
      <c r="AD114" s="40">
        <v>0</v>
      </c>
      <c r="AE114" s="40">
        <v>0</v>
      </c>
      <c r="AF114" s="198">
        <v>0</v>
      </c>
      <c r="AG114" s="206">
        <v>0</v>
      </c>
      <c r="AH114" s="38">
        <v>0</v>
      </c>
      <c r="AI114" s="38">
        <v>0</v>
      </c>
      <c r="AJ114" s="38">
        <v>0</v>
      </c>
      <c r="AK114" s="38">
        <v>0</v>
      </c>
      <c r="AL114" s="202"/>
      <c r="AM114" s="197"/>
      <c r="AN114" s="38">
        <v>0</v>
      </c>
      <c r="AO114" s="38">
        <v>0</v>
      </c>
      <c r="AP114" s="38">
        <v>0</v>
      </c>
      <c r="AQ114" s="80"/>
      <c r="AR114" s="38">
        <v>0</v>
      </c>
      <c r="AS114" s="38">
        <v>0</v>
      </c>
    </row>
    <row r="115" ht="31.5" customHeight="1" hidden="1">
      <c r="A115" t="s" s="130">
        <v>892</v>
      </c>
      <c r="B115" t="s" s="52">
        <v>130</v>
      </c>
      <c r="C115" t="s" s="130">
        <v>782</v>
      </c>
      <c r="D115" t="s" s="209">
        <v>717</v>
      </c>
      <c r="E115" s="189"/>
      <c r="F115" t="s" s="210">
        <v>714</v>
      </c>
      <c r="G115" s="211"/>
      <c r="H115" s="42">
        <f>SUM(J115,N115)</f>
        <v>25</v>
      </c>
      <c r="I115" s="207">
        <f>SUM(Q115,S115,U115,W115,Y115,AA115,AC115,AE115,AG115,AI115,AK115,AM115,AO115,AQ115,AS115)</f>
        <v>0</v>
      </c>
      <c r="J115" s="43">
        <f>SUM(P115,R115,T115,V115,X115,Z115,AB115,AD115,AF115,AH115,AJ115,AL115,AN115,AP115,AR115)</f>
        <v>25</v>
      </c>
      <c r="K115" s="44"/>
      <c r="L115" s="6"/>
      <c r="M115" s="6"/>
      <c r="N115" s="14"/>
      <c r="O115" s="122"/>
      <c r="P115" s="27">
        <v>25</v>
      </c>
      <c r="Q115" s="27">
        <v>0</v>
      </c>
      <c r="R115" s="51">
        <v>0</v>
      </c>
      <c r="S115" s="51">
        <v>0</v>
      </c>
      <c r="T115" s="51">
        <v>0</v>
      </c>
      <c r="U115" s="51">
        <v>0</v>
      </c>
      <c r="V115" s="51">
        <v>0</v>
      </c>
      <c r="W115" s="51">
        <v>0</v>
      </c>
      <c r="X115" s="51">
        <v>0</v>
      </c>
      <c r="Y115" s="51">
        <v>0</v>
      </c>
      <c r="Z115" s="48">
        <v>0</v>
      </c>
      <c r="AA115" s="48">
        <v>0</v>
      </c>
      <c r="AB115" s="48">
        <v>0</v>
      </c>
      <c r="AC115" s="48">
        <v>0</v>
      </c>
      <c r="AD115" s="55">
        <v>0</v>
      </c>
      <c r="AE115" s="213">
        <v>0</v>
      </c>
      <c r="AF115" s="212">
        <v>0</v>
      </c>
      <c r="AG115" s="121">
        <v>0</v>
      </c>
      <c r="AH115" s="51">
        <v>0</v>
      </c>
      <c r="AI115" s="51">
        <v>0</v>
      </c>
      <c r="AJ115" s="51">
        <v>0</v>
      </c>
      <c r="AK115" s="51">
        <v>0</v>
      </c>
      <c r="AL115" s="14"/>
      <c r="AM115" s="122"/>
      <c r="AN115" s="51">
        <v>0</v>
      </c>
      <c r="AO115" s="51">
        <v>0</v>
      </c>
      <c r="AP115" s="51">
        <v>0</v>
      </c>
      <c r="AQ115" s="47"/>
      <c r="AR115" s="51">
        <v>0</v>
      </c>
      <c r="AS115" s="51">
        <v>0</v>
      </c>
    </row>
    <row r="116" ht="19.5" customHeight="1" hidden="1">
      <c r="A116" t="s" s="130">
        <v>893</v>
      </c>
      <c r="B116" t="s" s="52">
        <v>131</v>
      </c>
      <c r="C116" t="s" s="130">
        <v>833</v>
      </c>
      <c r="D116" t="s" s="209">
        <v>713</v>
      </c>
      <c r="E116" s="189"/>
      <c r="F116" t="s" s="210">
        <v>714</v>
      </c>
      <c r="G116" s="211"/>
      <c r="H116" s="42">
        <f>SUM(J116,N116)</f>
        <v>0</v>
      </c>
      <c r="I116" s="207">
        <f>SUM(Q116,S116,U116,W116,Y116,AA116,AC116,AE116,AG116,AI116,AK116,AM116,AO116,AQ116,AS116)</f>
        <v>0</v>
      </c>
      <c r="J116" s="43">
        <f>SUM(P116,R116,T116,V116,X116,Z116,AB116,AD116,AF116,AH116,AJ116,AL116,AN116,AP116,AR116)</f>
        <v>0</v>
      </c>
      <c r="K116" s="44"/>
      <c r="L116" s="6"/>
      <c r="M116" s="6"/>
      <c r="N116" s="14"/>
      <c r="O116" s="122"/>
      <c r="P116" s="27">
        <v>0</v>
      </c>
      <c r="Q116" s="27">
        <v>0</v>
      </c>
      <c r="R116" s="51">
        <v>0</v>
      </c>
      <c r="S116" s="51">
        <v>0</v>
      </c>
      <c r="T116" s="51">
        <v>0</v>
      </c>
      <c r="U116" s="51">
        <v>0</v>
      </c>
      <c r="V116" s="51">
        <v>0</v>
      </c>
      <c r="W116" s="51">
        <v>0</v>
      </c>
      <c r="X116" s="51">
        <v>0</v>
      </c>
      <c r="Y116" s="51">
        <v>0</v>
      </c>
      <c r="Z116" s="48">
        <v>0</v>
      </c>
      <c r="AA116" s="48">
        <v>0</v>
      </c>
      <c r="AB116" s="48">
        <v>0</v>
      </c>
      <c r="AC116" s="48">
        <v>0</v>
      </c>
      <c r="AD116" s="55">
        <v>0</v>
      </c>
      <c r="AE116" s="213">
        <v>0</v>
      </c>
      <c r="AF116" s="212">
        <v>0</v>
      </c>
      <c r="AG116" s="121">
        <v>0</v>
      </c>
      <c r="AH116" s="51">
        <v>0</v>
      </c>
      <c r="AI116" s="51">
        <v>0</v>
      </c>
      <c r="AJ116" s="51">
        <v>0</v>
      </c>
      <c r="AK116" s="51">
        <v>0</v>
      </c>
      <c r="AL116" s="14"/>
      <c r="AM116" s="122"/>
      <c r="AN116" s="51">
        <v>0</v>
      </c>
      <c r="AO116" s="51">
        <v>0</v>
      </c>
      <c r="AP116" s="51">
        <v>0</v>
      </c>
      <c r="AQ116" s="47"/>
      <c r="AR116" s="51">
        <v>0</v>
      </c>
      <c r="AS116" s="51">
        <v>0</v>
      </c>
    </row>
    <row r="117" ht="31.5" customHeight="1" hidden="1">
      <c r="A117" t="s" s="130">
        <v>894</v>
      </c>
      <c r="B117" t="s" s="52">
        <v>132</v>
      </c>
      <c r="C117" t="s" s="130">
        <v>782</v>
      </c>
      <c r="D117" t="s" s="209">
        <v>717</v>
      </c>
      <c r="E117" t="s" s="217">
        <v>895</v>
      </c>
      <c r="F117" t="s" s="210">
        <v>714</v>
      </c>
      <c r="G117" s="211"/>
      <c r="H117" s="42">
        <f>SUM(J117,N117)</f>
        <v>25</v>
      </c>
      <c r="I117" s="207">
        <f>SUM(Q117,S117,U117,W117,Y117,AA117,AC117,AE117,AG117,AI117,AK117,AM117,AO117,AQ117,AS117)</f>
        <v>0</v>
      </c>
      <c r="J117" s="43">
        <f>SUM(P117,R117,T117,V117,X117,Z117,AB117,AD117,AF117,AH117,AJ117,AL117,AN117,AP117,AR117)</f>
        <v>25</v>
      </c>
      <c r="K117" s="44"/>
      <c r="L117" s="6"/>
      <c r="M117" s="6"/>
      <c r="N117" s="14"/>
      <c r="O117" s="122"/>
      <c r="P117" s="27">
        <v>25</v>
      </c>
      <c r="Q117" s="27">
        <v>0</v>
      </c>
      <c r="R117" s="51">
        <v>0</v>
      </c>
      <c r="S117" s="51">
        <v>0</v>
      </c>
      <c r="T117" s="51">
        <v>0</v>
      </c>
      <c r="U117" s="51">
        <v>0</v>
      </c>
      <c r="V117" s="51">
        <v>0</v>
      </c>
      <c r="W117" s="51">
        <v>0</v>
      </c>
      <c r="X117" s="51">
        <v>0</v>
      </c>
      <c r="Y117" s="51">
        <v>0</v>
      </c>
      <c r="Z117" s="48">
        <v>0</v>
      </c>
      <c r="AA117" s="48">
        <v>0</v>
      </c>
      <c r="AB117" s="48">
        <v>0</v>
      </c>
      <c r="AC117" s="48">
        <v>0</v>
      </c>
      <c r="AD117" s="55">
        <v>0</v>
      </c>
      <c r="AE117" s="213">
        <v>0</v>
      </c>
      <c r="AF117" s="212">
        <v>0</v>
      </c>
      <c r="AG117" s="121">
        <v>0</v>
      </c>
      <c r="AH117" s="51">
        <v>0</v>
      </c>
      <c r="AI117" s="51">
        <v>0</v>
      </c>
      <c r="AJ117" s="51">
        <v>0</v>
      </c>
      <c r="AK117" s="51">
        <v>0</v>
      </c>
      <c r="AL117" s="14"/>
      <c r="AM117" s="122"/>
      <c r="AN117" s="51">
        <v>0</v>
      </c>
      <c r="AO117" s="51">
        <v>0</v>
      </c>
      <c r="AP117" s="51">
        <v>0</v>
      </c>
      <c r="AQ117" s="47"/>
      <c r="AR117" s="51">
        <v>0</v>
      </c>
      <c r="AS117" s="51">
        <v>0</v>
      </c>
    </row>
    <row r="118" ht="19.5" customHeight="1" hidden="1">
      <c r="A118" t="s" s="130">
        <v>896</v>
      </c>
      <c r="B118" t="s" s="52">
        <v>133</v>
      </c>
      <c r="C118" t="s" s="130">
        <v>833</v>
      </c>
      <c r="D118" t="s" s="209">
        <v>713</v>
      </c>
      <c r="E118" s="189"/>
      <c r="F118" t="s" s="210">
        <v>720</v>
      </c>
      <c r="G118" s="211"/>
      <c r="H118" s="42">
        <f>SUM(J118,N118)</f>
        <v>5000</v>
      </c>
      <c r="I118" s="207">
        <f>SUM(Q118,S118,U118,W118,Y118,AA118,AC118,AE118,AG118,AI118,AK118,AM118,AO118,AQ118,AS118)</f>
        <v>5520</v>
      </c>
      <c r="J118" s="43">
        <f>SUM(P118,R118,T118,V118,X118,Z118,AB118,AD118,AF118,AH118,AJ118,AL118,AN118,AP118,AR118)</f>
        <v>5000</v>
      </c>
      <c r="K118" s="44"/>
      <c r="L118" s="6"/>
      <c r="M118" s="6"/>
      <c r="N118" s="14"/>
      <c r="O118" s="122"/>
      <c r="P118" s="27">
        <v>5000</v>
      </c>
      <c r="Q118" s="27">
        <v>5520</v>
      </c>
      <c r="R118" s="51">
        <v>0</v>
      </c>
      <c r="S118" s="51">
        <v>0</v>
      </c>
      <c r="T118" s="51">
        <v>0</v>
      </c>
      <c r="U118" s="51">
        <v>0</v>
      </c>
      <c r="V118" s="51">
        <v>0</v>
      </c>
      <c r="W118" s="51">
        <v>0</v>
      </c>
      <c r="X118" s="51">
        <v>0</v>
      </c>
      <c r="Y118" s="51">
        <v>0</v>
      </c>
      <c r="Z118" s="48">
        <v>0</v>
      </c>
      <c r="AA118" s="48">
        <v>0</v>
      </c>
      <c r="AB118" s="48">
        <v>0</v>
      </c>
      <c r="AC118" s="48">
        <v>0</v>
      </c>
      <c r="AD118" s="55">
        <v>0</v>
      </c>
      <c r="AE118" s="213">
        <v>0</v>
      </c>
      <c r="AF118" s="212">
        <v>0</v>
      </c>
      <c r="AG118" s="121">
        <v>0</v>
      </c>
      <c r="AH118" s="51">
        <v>0</v>
      </c>
      <c r="AI118" s="51">
        <v>0</v>
      </c>
      <c r="AJ118" s="51">
        <v>0</v>
      </c>
      <c r="AK118" s="51">
        <v>0</v>
      </c>
      <c r="AL118" s="14"/>
      <c r="AM118" s="122"/>
      <c r="AN118" s="51">
        <v>0</v>
      </c>
      <c r="AO118" s="51">
        <v>0</v>
      </c>
      <c r="AP118" s="51">
        <v>0</v>
      </c>
      <c r="AQ118" s="47"/>
      <c r="AR118" s="51">
        <v>0</v>
      </c>
      <c r="AS118" s="51">
        <v>0</v>
      </c>
    </row>
    <row r="119" ht="19.5" customHeight="1" hidden="1">
      <c r="A119" t="s" s="130">
        <v>897</v>
      </c>
      <c r="B119" t="s" s="52">
        <v>134</v>
      </c>
      <c r="C119" t="s" s="130">
        <v>833</v>
      </c>
      <c r="D119" t="s" s="209">
        <v>713</v>
      </c>
      <c r="E119" s="189"/>
      <c r="F119" t="s" s="210">
        <v>720</v>
      </c>
      <c r="G119" s="211"/>
      <c r="H119" s="42">
        <f>SUM(J119,N119)</f>
        <v>1500</v>
      </c>
      <c r="I119" s="207">
        <f>SUM(Q119,S119,U119,W119,Y119,AA119,AC119,AE119,AG119,AI119,AK119,AM119,AO119,AQ119,AS119)</f>
        <v>4170</v>
      </c>
      <c r="J119" s="43">
        <f>SUM(P119,R119,T119,V119,X119,Z119,AB119,AD119,AF119,AH119,AJ119,AL119,AN119,AP119,AR119)</f>
        <v>1500</v>
      </c>
      <c r="K119" s="44"/>
      <c r="L119" s="6"/>
      <c r="M119" s="6"/>
      <c r="N119" s="14"/>
      <c r="O119" s="122"/>
      <c r="P119" s="27">
        <v>1500</v>
      </c>
      <c r="Q119" s="27">
        <v>4170</v>
      </c>
      <c r="R119" s="51">
        <v>0</v>
      </c>
      <c r="S119" s="51">
        <v>0</v>
      </c>
      <c r="T119" s="51">
        <v>0</v>
      </c>
      <c r="U119" s="51">
        <v>0</v>
      </c>
      <c r="V119" s="51">
        <v>0</v>
      </c>
      <c r="W119" s="51">
        <v>0</v>
      </c>
      <c r="X119" s="51">
        <v>0</v>
      </c>
      <c r="Y119" s="51">
        <v>0</v>
      </c>
      <c r="Z119" s="48">
        <v>0</v>
      </c>
      <c r="AA119" s="48">
        <v>0</v>
      </c>
      <c r="AB119" s="48">
        <v>0</v>
      </c>
      <c r="AC119" s="48">
        <v>0</v>
      </c>
      <c r="AD119" s="55">
        <v>0</v>
      </c>
      <c r="AE119" s="213">
        <v>0</v>
      </c>
      <c r="AF119" s="212">
        <v>0</v>
      </c>
      <c r="AG119" s="121">
        <v>0</v>
      </c>
      <c r="AH119" s="51">
        <v>0</v>
      </c>
      <c r="AI119" s="51">
        <v>0</v>
      </c>
      <c r="AJ119" s="51">
        <v>0</v>
      </c>
      <c r="AK119" s="51">
        <v>0</v>
      </c>
      <c r="AL119" s="14"/>
      <c r="AM119" s="122"/>
      <c r="AN119" s="51">
        <v>0</v>
      </c>
      <c r="AO119" s="51">
        <v>0</v>
      </c>
      <c r="AP119" s="51">
        <v>0</v>
      </c>
      <c r="AQ119" s="47"/>
      <c r="AR119" s="51">
        <v>0</v>
      </c>
      <c r="AS119" s="51">
        <v>0</v>
      </c>
    </row>
    <row r="120" ht="31.5" customHeight="1" hidden="1">
      <c r="A120" t="s" s="220">
        <v>898</v>
      </c>
      <c r="B120" t="s" s="52">
        <v>135</v>
      </c>
      <c r="C120" t="s" s="220">
        <v>790</v>
      </c>
      <c r="D120" t="s" s="233">
        <v>791</v>
      </c>
      <c r="E120" s="189"/>
      <c r="F120" t="s" s="210">
        <v>720</v>
      </c>
      <c r="G120" s="211"/>
      <c r="H120" s="42">
        <f>SUM(J120,N120)</f>
        <v>100</v>
      </c>
      <c r="I120" s="207">
        <f>SUM(Q120,S120,U120,W120,Y120,AA120,AC120,AE120,AG120,AI120,AK120,AM120,AO120,AQ120,AS120)</f>
        <v>100</v>
      </c>
      <c r="J120" s="43">
        <f>SUM(P120,R120,T120,V120,X120,Z120,AB120,AD120,AF120,AH120,AJ120,AL120,AN120,AP120,AR120)</f>
        <v>100</v>
      </c>
      <c r="K120" s="44"/>
      <c r="L120" s="6"/>
      <c r="M120" s="6"/>
      <c r="N120" s="14"/>
      <c r="O120" s="122"/>
      <c r="P120" s="27">
        <v>100</v>
      </c>
      <c r="Q120" s="27">
        <v>100</v>
      </c>
      <c r="R120" s="51">
        <v>0</v>
      </c>
      <c r="S120" s="51">
        <v>0</v>
      </c>
      <c r="T120" s="51">
        <v>0</v>
      </c>
      <c r="U120" s="51">
        <v>0</v>
      </c>
      <c r="V120" s="51">
        <v>0</v>
      </c>
      <c r="W120" s="51">
        <v>0</v>
      </c>
      <c r="X120" s="51">
        <v>0</v>
      </c>
      <c r="Y120" s="51">
        <v>0</v>
      </c>
      <c r="Z120" s="48">
        <v>0</v>
      </c>
      <c r="AA120" s="48">
        <v>0</v>
      </c>
      <c r="AB120" s="48">
        <v>0</v>
      </c>
      <c r="AC120" s="48">
        <v>0</v>
      </c>
      <c r="AD120" s="55">
        <v>0</v>
      </c>
      <c r="AE120" s="213">
        <v>0</v>
      </c>
      <c r="AF120" s="212">
        <v>0</v>
      </c>
      <c r="AG120" s="121">
        <v>0</v>
      </c>
      <c r="AH120" s="51">
        <v>0</v>
      </c>
      <c r="AI120" s="51">
        <v>0</v>
      </c>
      <c r="AJ120" s="51">
        <v>0</v>
      </c>
      <c r="AK120" s="51">
        <v>0</v>
      </c>
      <c r="AL120" s="14"/>
      <c r="AM120" s="122"/>
      <c r="AN120" s="51">
        <v>0</v>
      </c>
      <c r="AO120" s="51">
        <v>0</v>
      </c>
      <c r="AP120" s="51">
        <v>0</v>
      </c>
      <c r="AQ120" s="47"/>
      <c r="AR120" s="51">
        <v>0</v>
      </c>
      <c r="AS120" s="51">
        <v>0</v>
      </c>
    </row>
    <row r="121" ht="58.5" customHeight="1" hidden="1">
      <c r="A121" t="s" s="220">
        <v>899</v>
      </c>
      <c r="B121" t="s" s="74">
        <v>136</v>
      </c>
      <c r="C121" t="s" s="130">
        <v>833</v>
      </c>
      <c r="D121" t="s" s="209">
        <v>713</v>
      </c>
      <c r="E121" t="s" s="217">
        <v>900</v>
      </c>
      <c r="F121" t="s" s="210">
        <v>714</v>
      </c>
      <c r="G121" s="211"/>
      <c r="H121" s="42">
        <f>SUM(J121,N121)</f>
        <v>0</v>
      </c>
      <c r="I121" s="207">
        <f>SUM(Q121,S121,U121,W121,Y121,AA121,AC121,AE121,AG121,AI121,AK121,AM121,AO121,AQ121,AS121)</f>
        <v>0</v>
      </c>
      <c r="J121" s="43">
        <f>SUM(P121,R121,T121,V121,X121,Z121,AB121,AD121,AF121,AH121,AJ121,AL121,AN121,AP121,AR121)</f>
        <v>0</v>
      </c>
      <c r="K121" s="44"/>
      <c r="L121" s="6"/>
      <c r="M121" s="6"/>
      <c r="N121" s="14"/>
      <c r="O121" s="122"/>
      <c r="P121" s="27">
        <v>0</v>
      </c>
      <c r="Q121" s="27">
        <v>0</v>
      </c>
      <c r="R121" s="51">
        <v>0</v>
      </c>
      <c r="S121" s="51">
        <v>0</v>
      </c>
      <c r="T121" s="51">
        <v>0</v>
      </c>
      <c r="U121" s="47"/>
      <c r="V121" s="51">
        <v>0</v>
      </c>
      <c r="W121" s="51">
        <v>0</v>
      </c>
      <c r="X121" s="51">
        <v>0</v>
      </c>
      <c r="Y121" s="51">
        <v>0</v>
      </c>
      <c r="Z121" s="48">
        <v>0</v>
      </c>
      <c r="AA121" s="48">
        <v>0</v>
      </c>
      <c r="AB121" s="48">
        <v>0</v>
      </c>
      <c r="AC121" s="48">
        <v>0</v>
      </c>
      <c r="AD121" s="55">
        <v>0</v>
      </c>
      <c r="AE121" s="213">
        <v>0</v>
      </c>
      <c r="AF121" s="212">
        <v>0</v>
      </c>
      <c r="AG121" s="121">
        <v>0</v>
      </c>
      <c r="AH121" s="51">
        <v>0</v>
      </c>
      <c r="AI121" s="51">
        <v>0</v>
      </c>
      <c r="AJ121" s="51">
        <v>0</v>
      </c>
      <c r="AK121" s="51">
        <v>0</v>
      </c>
      <c r="AL121" s="14"/>
      <c r="AM121" s="122"/>
      <c r="AN121" s="51">
        <v>0</v>
      </c>
      <c r="AO121" s="51">
        <v>0</v>
      </c>
      <c r="AP121" s="51">
        <v>0</v>
      </c>
      <c r="AQ121" s="47"/>
      <c r="AR121" s="51">
        <v>0</v>
      </c>
      <c r="AS121" s="51">
        <v>0</v>
      </c>
    </row>
    <row r="122" ht="39" customHeight="1" hidden="1">
      <c r="A122" t="s" s="130">
        <v>901</v>
      </c>
      <c r="B122" t="s" s="52">
        <v>137</v>
      </c>
      <c r="C122" t="s" s="130">
        <v>833</v>
      </c>
      <c r="D122" t="s" s="209">
        <v>713</v>
      </c>
      <c r="E122" t="s" s="217">
        <v>902</v>
      </c>
      <c r="F122" t="s" s="210">
        <v>714</v>
      </c>
      <c r="G122" s="211"/>
      <c r="H122" s="42">
        <f>SUM(J122,N122)</f>
        <v>10000</v>
      </c>
      <c r="I122" s="207">
        <f>SUM(Q122,S122,U122,W122,Y122,AA122,AC122,AE122,AG122,AI122,AK122,AM122,AO122,AQ122,AS122)</f>
        <v>3960</v>
      </c>
      <c r="J122" s="43">
        <f>SUM(P122,R122,T122,V122,X122,Z122,AB122,AD122,AF122,AH122,AJ122,AL122,AN122,AP122,AR122)</f>
        <v>10000</v>
      </c>
      <c r="K122" s="44"/>
      <c r="L122" s="6"/>
      <c r="M122" s="6"/>
      <c r="N122" s="14"/>
      <c r="O122" s="122"/>
      <c r="P122" s="27">
        <v>10000</v>
      </c>
      <c r="Q122" s="27">
        <v>3960</v>
      </c>
      <c r="R122" s="51">
        <v>0</v>
      </c>
      <c r="S122" s="51">
        <v>0</v>
      </c>
      <c r="T122" s="51">
        <v>0</v>
      </c>
      <c r="U122" s="51">
        <v>0</v>
      </c>
      <c r="V122" s="51">
        <v>0</v>
      </c>
      <c r="W122" s="51">
        <v>0</v>
      </c>
      <c r="X122" s="51">
        <v>0</v>
      </c>
      <c r="Y122" s="51">
        <v>0</v>
      </c>
      <c r="Z122" s="48">
        <v>0</v>
      </c>
      <c r="AA122" s="48">
        <v>0</v>
      </c>
      <c r="AB122" s="48">
        <v>0</v>
      </c>
      <c r="AC122" s="48">
        <v>0</v>
      </c>
      <c r="AD122" s="55">
        <v>0</v>
      </c>
      <c r="AE122" s="213">
        <v>0</v>
      </c>
      <c r="AF122" s="212">
        <v>0</v>
      </c>
      <c r="AG122" s="121">
        <v>0</v>
      </c>
      <c r="AH122" s="51">
        <v>0</v>
      </c>
      <c r="AI122" s="51">
        <v>0</v>
      </c>
      <c r="AJ122" s="51">
        <v>0</v>
      </c>
      <c r="AK122" s="51">
        <v>0</v>
      </c>
      <c r="AL122" s="14"/>
      <c r="AM122" s="122"/>
      <c r="AN122" s="51">
        <v>0</v>
      </c>
      <c r="AO122" s="51">
        <v>0</v>
      </c>
      <c r="AP122" s="51">
        <v>0</v>
      </c>
      <c r="AQ122" s="47"/>
      <c r="AR122" s="51">
        <v>0</v>
      </c>
      <c r="AS122" s="51">
        <v>0</v>
      </c>
    </row>
    <row r="123" ht="19.5" customHeight="1" hidden="1">
      <c r="A123" t="s" s="88">
        <v>903</v>
      </c>
      <c r="B123" t="s" s="67">
        <v>138</v>
      </c>
      <c r="C123" s="228"/>
      <c r="D123" s="228"/>
      <c r="E123" s="189"/>
      <c r="F123" s="182">
        <v>0</v>
      </c>
      <c r="G123" s="183"/>
      <c r="H123" s="42">
        <f>SUM(J123,N123)</f>
        <v>0</v>
      </c>
      <c r="I123" s="207">
        <f>SUM(Q123,S123,U123,W123,Y123,AA123,AC123,AE123,AG123,AI123,AK123,AM123,AO123,AQ123,AS123)</f>
        <v>0</v>
      </c>
      <c r="J123" s="43">
        <f>SUM(P123,R123,T123,V123,X123,Z123,AB123,AD123,AF123,AH123,AJ123,AL123,AN123,AP123,AR123)</f>
        <v>0</v>
      </c>
      <c r="K123" s="44"/>
      <c r="L123" s="6"/>
      <c r="M123" s="6"/>
      <c r="N123" s="14"/>
      <c r="O123" s="122"/>
      <c r="P123" s="46"/>
      <c r="Q123" s="46"/>
      <c r="R123" s="47"/>
      <c r="S123" s="47"/>
      <c r="T123" s="47"/>
      <c r="U123" s="47"/>
      <c r="V123" s="47"/>
      <c r="W123" s="47"/>
      <c r="X123" s="47"/>
      <c r="Y123" s="47"/>
      <c r="Z123" s="48">
        <v>0</v>
      </c>
      <c r="AA123" s="48">
        <v>0</v>
      </c>
      <c r="AB123" s="49"/>
      <c r="AC123" s="49"/>
      <c r="AD123" s="50"/>
      <c r="AE123" s="50"/>
      <c r="AF123" s="14"/>
      <c r="AG123" s="122"/>
      <c r="AH123" s="51">
        <v>0</v>
      </c>
      <c r="AI123" s="51">
        <v>0</v>
      </c>
      <c r="AJ123" s="47"/>
      <c r="AK123" s="47"/>
      <c r="AL123" s="14"/>
      <c r="AM123" s="122"/>
      <c r="AN123" s="47"/>
      <c r="AO123" s="47"/>
      <c r="AP123" s="47"/>
      <c r="AQ123" s="47"/>
      <c r="AR123" s="51">
        <v>0</v>
      </c>
      <c r="AS123" s="51">
        <v>0</v>
      </c>
    </row>
    <row r="124" ht="31.5" customHeight="1" hidden="1">
      <c r="A124" t="s" s="88">
        <v>904</v>
      </c>
      <c r="B124" t="s" s="67">
        <v>139</v>
      </c>
      <c r="C124" s="228"/>
      <c r="D124" s="228"/>
      <c r="E124" s="189"/>
      <c r="F124" s="182">
        <v>0</v>
      </c>
      <c r="G124" s="183"/>
      <c r="H124" s="42">
        <f>SUM(J124,N124)</f>
        <v>0</v>
      </c>
      <c r="I124" s="207">
        <f>SUM(Q124,S124,U124,W124,Y124,AA124,AC124,AE124,AG124,AI124,AK124,AM124,AO124,AQ124,AS124)</f>
        <v>0</v>
      </c>
      <c r="J124" s="43">
        <f>SUM(P124,R124,T124,V124,X124,Z124,AB124,AD124,AF124,AH124,AJ124,AL124,AN124,AP124,AR124)</f>
        <v>0</v>
      </c>
      <c r="K124" s="44"/>
      <c r="L124" s="6"/>
      <c r="M124" s="6"/>
      <c r="N124" s="14"/>
      <c r="O124" s="122"/>
      <c r="P124" s="46"/>
      <c r="Q124" s="46"/>
      <c r="R124" s="47"/>
      <c r="S124" s="47"/>
      <c r="T124" s="47"/>
      <c r="U124" s="47"/>
      <c r="V124" s="47"/>
      <c r="W124" s="47"/>
      <c r="X124" s="47"/>
      <c r="Y124" s="47"/>
      <c r="Z124" s="48">
        <v>0</v>
      </c>
      <c r="AA124" s="48">
        <v>0</v>
      </c>
      <c r="AB124" s="49"/>
      <c r="AC124" s="49"/>
      <c r="AD124" s="50"/>
      <c r="AE124" s="50"/>
      <c r="AF124" s="14"/>
      <c r="AG124" s="122"/>
      <c r="AH124" s="51">
        <v>0</v>
      </c>
      <c r="AI124" s="51">
        <v>0</v>
      </c>
      <c r="AJ124" s="47"/>
      <c r="AK124" s="47"/>
      <c r="AL124" s="14"/>
      <c r="AM124" s="122"/>
      <c r="AN124" s="47"/>
      <c r="AO124" s="47"/>
      <c r="AP124" s="47"/>
      <c r="AQ124" s="47"/>
      <c r="AR124" s="51">
        <v>0</v>
      </c>
      <c r="AS124" s="51">
        <v>0</v>
      </c>
    </row>
    <row r="125" ht="31.5" customHeight="1" hidden="1">
      <c r="A125" t="s" s="59">
        <v>905</v>
      </c>
      <c r="B125" t="s" s="21">
        <v>140</v>
      </c>
      <c r="C125" t="s" s="59">
        <v>833</v>
      </c>
      <c r="D125" t="s" s="190">
        <v>713</v>
      </c>
      <c r="E125" t="s" s="216">
        <v>906</v>
      </c>
      <c r="F125" t="s" s="192">
        <v>714</v>
      </c>
      <c r="G125" s="193"/>
      <c r="H125" s="194">
        <f>SUM(J125,N125)</f>
        <v>13200</v>
      </c>
      <c r="I125" s="195">
        <f>SUM(Q125,S125,U125,W125,Y125,AA125,AC125,AE125,AG125,AI125,AK125,AM125,AO125,AQ125,AS125)</f>
        <v>0</v>
      </c>
      <c r="J125" s="23">
        <f>SUM(P125,R125,T125,V125,X125,Z125,AB125,AD125,AF125,AH125,AJ125,AL125,AN125,AP125,AR125)</f>
        <v>13200</v>
      </c>
      <c r="K125" s="36"/>
      <c r="L125" s="196"/>
      <c r="M125" s="196"/>
      <c r="N125" s="196"/>
      <c r="O125" s="197"/>
      <c r="P125" s="27">
        <v>8000</v>
      </c>
      <c r="Q125" s="27">
        <v>0</v>
      </c>
      <c r="R125" s="28">
        <v>0</v>
      </c>
      <c r="S125" s="28">
        <v>0</v>
      </c>
      <c r="T125" s="28">
        <v>1000</v>
      </c>
      <c r="U125" s="28">
        <v>0</v>
      </c>
      <c r="V125" s="28">
        <v>1000</v>
      </c>
      <c r="W125" s="28">
        <v>0</v>
      </c>
      <c r="X125" s="28">
        <v>0</v>
      </c>
      <c r="Y125" s="28">
        <v>0</v>
      </c>
      <c r="Z125" s="30">
        <v>0</v>
      </c>
      <c r="AA125" s="30">
        <v>0</v>
      </c>
      <c r="AB125" s="30">
        <v>100</v>
      </c>
      <c r="AC125" s="30">
        <v>0</v>
      </c>
      <c r="AD125" s="30">
        <v>0</v>
      </c>
      <c r="AE125" s="30">
        <v>0</v>
      </c>
      <c r="AF125" s="198">
        <v>0</v>
      </c>
      <c r="AG125" s="206">
        <v>0</v>
      </c>
      <c r="AH125" s="28">
        <v>0</v>
      </c>
      <c r="AI125" s="28">
        <v>0</v>
      </c>
      <c r="AJ125" s="28">
        <v>600</v>
      </c>
      <c r="AK125" s="28">
        <v>0</v>
      </c>
      <c r="AL125" s="53">
        <v>2500</v>
      </c>
      <c r="AM125" s="53">
        <v>0</v>
      </c>
      <c r="AN125" s="28">
        <v>0</v>
      </c>
      <c r="AO125" s="28">
        <v>0</v>
      </c>
      <c r="AP125" s="28">
        <v>0</v>
      </c>
      <c r="AQ125" s="87"/>
      <c r="AR125" s="28">
        <v>0</v>
      </c>
      <c r="AS125" s="28">
        <v>0</v>
      </c>
    </row>
    <row r="126" ht="31.5" customHeight="1" hidden="1">
      <c r="A126" t="s" s="130">
        <v>907</v>
      </c>
      <c r="B126" t="s" s="52">
        <v>141</v>
      </c>
      <c r="C126" t="s" s="130">
        <v>833</v>
      </c>
      <c r="D126" t="s" s="209">
        <v>713</v>
      </c>
      <c r="E126" s="189"/>
      <c r="F126" t="s" s="210">
        <v>714</v>
      </c>
      <c r="G126" s="211"/>
      <c r="H126" s="42">
        <f>SUM(J126,N126)</f>
        <v>600</v>
      </c>
      <c r="I126" s="207">
        <f>SUM(Q126,S126,U126,W126,Y126,AA126,AC126,AE126,AG126,AI126,AK126,AM126,AO126,AQ126,AS126)</f>
        <v>0</v>
      </c>
      <c r="J126" s="43">
        <f>SUM(P126,R126,T126,V126,X126,Z126,AB126,AD126,AF126,AH126,AJ126,AL126,AN126,AP126,AR126)</f>
        <v>600</v>
      </c>
      <c r="K126" s="44"/>
      <c r="L126" s="6"/>
      <c r="M126" s="6"/>
      <c r="N126" s="14"/>
      <c r="O126" s="122"/>
      <c r="P126" s="27">
        <v>500</v>
      </c>
      <c r="Q126" s="27">
        <v>0</v>
      </c>
      <c r="R126" s="51">
        <v>0</v>
      </c>
      <c r="S126" s="51">
        <v>0</v>
      </c>
      <c r="T126" s="51">
        <v>0</v>
      </c>
      <c r="U126" s="51">
        <v>0</v>
      </c>
      <c r="V126" s="51">
        <v>100</v>
      </c>
      <c r="W126" s="51">
        <v>0</v>
      </c>
      <c r="X126" s="51">
        <v>0</v>
      </c>
      <c r="Y126" s="51">
        <v>0</v>
      </c>
      <c r="Z126" s="48">
        <v>0</v>
      </c>
      <c r="AA126" s="48">
        <v>0</v>
      </c>
      <c r="AB126" s="48">
        <v>0</v>
      </c>
      <c r="AC126" s="48">
        <v>0</v>
      </c>
      <c r="AD126" s="55">
        <v>0</v>
      </c>
      <c r="AE126" s="213">
        <v>0</v>
      </c>
      <c r="AF126" s="212">
        <v>0</v>
      </c>
      <c r="AG126" s="121">
        <v>0</v>
      </c>
      <c r="AH126" s="51">
        <v>0</v>
      </c>
      <c r="AI126" s="51">
        <v>0</v>
      </c>
      <c r="AJ126" s="51">
        <v>0</v>
      </c>
      <c r="AK126" s="51">
        <v>0</v>
      </c>
      <c r="AL126" s="14"/>
      <c r="AM126" s="122"/>
      <c r="AN126" s="51">
        <v>0</v>
      </c>
      <c r="AO126" s="51">
        <v>0</v>
      </c>
      <c r="AP126" s="51">
        <v>0</v>
      </c>
      <c r="AQ126" s="47"/>
      <c r="AR126" s="51">
        <v>0</v>
      </c>
      <c r="AS126" s="51">
        <v>0</v>
      </c>
    </row>
    <row r="127" ht="31.5" customHeight="1" hidden="1">
      <c r="A127" t="s" s="88">
        <v>908</v>
      </c>
      <c r="B127" t="s" s="67">
        <v>142</v>
      </c>
      <c r="C127" s="228"/>
      <c r="D127" s="228"/>
      <c r="E127" s="189"/>
      <c r="F127" s="182">
        <v>0</v>
      </c>
      <c r="G127" s="183"/>
      <c r="H127" s="42">
        <f>SUM(J127,N127)</f>
        <v>0</v>
      </c>
      <c r="I127" s="207">
        <f>SUM(Q127,S127,U127,W127,Y127,AA127,AC127,AE127,AG127,AI127,AK127,AM127,AO127,AQ127,AS127)</f>
        <v>0</v>
      </c>
      <c r="J127" s="43">
        <f>SUM(P127,R127,T127,V127,X127,Z127,AB127,AD127,AF127,AH127,AJ127,AL127,AN127,AP127,AR127)</f>
        <v>0</v>
      </c>
      <c r="K127" s="44"/>
      <c r="L127" s="6"/>
      <c r="M127" s="6"/>
      <c r="N127" s="14"/>
      <c r="O127" s="122"/>
      <c r="P127" s="46"/>
      <c r="Q127" s="46"/>
      <c r="R127" s="47"/>
      <c r="S127" s="47"/>
      <c r="T127" s="47"/>
      <c r="U127" s="47"/>
      <c r="V127" s="47"/>
      <c r="W127" s="47"/>
      <c r="X127" s="47"/>
      <c r="Y127" s="47"/>
      <c r="Z127" s="48">
        <v>0</v>
      </c>
      <c r="AA127" s="48">
        <v>0</v>
      </c>
      <c r="AB127" s="49"/>
      <c r="AC127" s="49"/>
      <c r="AD127" s="50"/>
      <c r="AE127" s="50"/>
      <c r="AF127" s="14"/>
      <c r="AG127" s="122"/>
      <c r="AH127" s="51">
        <v>0</v>
      </c>
      <c r="AI127" s="51">
        <v>0</v>
      </c>
      <c r="AJ127" s="47"/>
      <c r="AK127" s="47"/>
      <c r="AL127" s="14"/>
      <c r="AM127" s="122"/>
      <c r="AN127" s="47"/>
      <c r="AO127" s="47"/>
      <c r="AP127" s="47"/>
      <c r="AQ127" s="47"/>
      <c r="AR127" s="51">
        <v>0</v>
      </c>
      <c r="AS127" s="51">
        <v>0</v>
      </c>
    </row>
    <row r="128" ht="47.25" customHeight="1" hidden="1">
      <c r="A128" t="s" s="59">
        <v>909</v>
      </c>
      <c r="B128" t="s" s="21">
        <v>143</v>
      </c>
      <c r="C128" t="s" s="59">
        <v>910</v>
      </c>
      <c r="D128" t="s" s="190">
        <v>713</v>
      </c>
      <c r="E128" s="215">
        <v>1012</v>
      </c>
      <c r="F128" t="s" s="192">
        <v>714</v>
      </c>
      <c r="G128" s="193"/>
      <c r="H128" s="194">
        <f>SUM(J128,N128)</f>
        <v>21300</v>
      </c>
      <c r="I128" s="195">
        <f>SUM(Q128,S128,U128,W128,Y128,AA128,AC128,AE128,AG128,AI128,AK128,AM128,AO128,AQ128,AS128)</f>
        <v>0</v>
      </c>
      <c r="J128" s="23">
        <f>SUM(P128,R128,T128,V128,X128,Z128,AB128,AD128,AF128,AH128,AJ128,AL128,AN128,AP128,AR128)</f>
        <v>21300</v>
      </c>
      <c r="K128" s="36"/>
      <c r="L128" s="196"/>
      <c r="M128" s="196"/>
      <c r="N128" s="196"/>
      <c r="O128" s="197"/>
      <c r="P128" s="27">
        <v>15000</v>
      </c>
      <c r="Q128" s="27">
        <v>0</v>
      </c>
      <c r="R128" s="28">
        <v>0</v>
      </c>
      <c r="S128" s="28">
        <v>0</v>
      </c>
      <c r="T128" s="28">
        <v>3000</v>
      </c>
      <c r="U128" s="28">
        <v>0</v>
      </c>
      <c r="V128" s="28">
        <v>200</v>
      </c>
      <c r="W128" s="28">
        <v>0</v>
      </c>
      <c r="X128" s="28">
        <v>0</v>
      </c>
      <c r="Y128" s="28">
        <v>0</v>
      </c>
      <c r="Z128" s="30">
        <v>0</v>
      </c>
      <c r="AA128" s="30">
        <v>0</v>
      </c>
      <c r="AB128" s="30">
        <v>100</v>
      </c>
      <c r="AC128" s="30">
        <v>0</v>
      </c>
      <c r="AD128" s="30">
        <v>0</v>
      </c>
      <c r="AE128" s="30">
        <v>0</v>
      </c>
      <c r="AF128" s="198">
        <v>0</v>
      </c>
      <c r="AG128" s="206">
        <v>0</v>
      </c>
      <c r="AH128" s="28">
        <v>0</v>
      </c>
      <c r="AI128" s="28">
        <v>0</v>
      </c>
      <c r="AJ128" s="28">
        <v>1000</v>
      </c>
      <c r="AK128" s="28">
        <v>0</v>
      </c>
      <c r="AL128" s="234">
        <v>2000</v>
      </c>
      <c r="AM128" s="234">
        <v>0</v>
      </c>
      <c r="AN128" s="28">
        <v>0</v>
      </c>
      <c r="AO128" s="28">
        <v>0</v>
      </c>
      <c r="AP128" s="28">
        <v>0</v>
      </c>
      <c r="AQ128" s="87"/>
      <c r="AR128" s="28">
        <v>0</v>
      </c>
      <c r="AS128" s="28">
        <v>0</v>
      </c>
    </row>
    <row r="129" ht="31.5" customHeight="1" hidden="1">
      <c r="A129" t="s" s="59">
        <v>911</v>
      </c>
      <c r="B129" t="s" s="21">
        <v>144</v>
      </c>
      <c r="C129" t="s" s="59">
        <v>833</v>
      </c>
      <c r="D129" t="s" s="190">
        <v>713</v>
      </c>
      <c r="E129" t="s" s="216">
        <v>912</v>
      </c>
      <c r="F129" t="s" s="192">
        <v>720</v>
      </c>
      <c r="G129" s="193"/>
      <c r="H129" s="194">
        <f>SUM(J129,N129)</f>
        <v>5000</v>
      </c>
      <c r="I129" s="195">
        <f>SUM(Q129,S129,U129,W129,Y129,AA129,AC129,AE129,AG129,AI129,AK129,AM129,AO129,AQ129,AS129)</f>
        <v>3950</v>
      </c>
      <c r="J129" s="23">
        <f>SUM(P129,R129,T129,V129,X129,Z129,AB129,AD129,AF129,AH129,AJ129,AL129,AN129,AP129,AR129)</f>
        <v>5000</v>
      </c>
      <c r="K129" s="36"/>
      <c r="L129" s="196"/>
      <c r="M129" s="196"/>
      <c r="N129" s="196"/>
      <c r="O129" s="197"/>
      <c r="P129" s="27">
        <v>5000</v>
      </c>
      <c r="Q129" s="27">
        <v>3950</v>
      </c>
      <c r="R129" s="28">
        <v>0</v>
      </c>
      <c r="S129" s="28">
        <v>0</v>
      </c>
      <c r="T129" s="28">
        <v>0</v>
      </c>
      <c r="U129" s="28">
        <v>0</v>
      </c>
      <c r="V129" s="28">
        <v>0</v>
      </c>
      <c r="W129" s="28">
        <v>0</v>
      </c>
      <c r="X129" s="28">
        <v>0</v>
      </c>
      <c r="Y129" s="28">
        <v>0</v>
      </c>
      <c r="Z129" s="30">
        <v>0</v>
      </c>
      <c r="AA129" s="30">
        <v>0</v>
      </c>
      <c r="AB129" s="30">
        <v>0</v>
      </c>
      <c r="AC129" s="30">
        <v>0</v>
      </c>
      <c r="AD129" s="30">
        <v>0</v>
      </c>
      <c r="AE129" s="30">
        <v>0</v>
      </c>
      <c r="AF129" s="198">
        <v>0</v>
      </c>
      <c r="AG129" s="206">
        <v>0</v>
      </c>
      <c r="AH129" s="28">
        <v>0</v>
      </c>
      <c r="AI129" s="28">
        <v>0</v>
      </c>
      <c r="AJ129" s="28">
        <v>0</v>
      </c>
      <c r="AK129" s="28">
        <v>0</v>
      </c>
      <c r="AL129" s="202"/>
      <c r="AM129" s="197"/>
      <c r="AN129" s="28">
        <v>0</v>
      </c>
      <c r="AO129" s="28">
        <v>0</v>
      </c>
      <c r="AP129" s="28">
        <v>0</v>
      </c>
      <c r="AQ129" s="87"/>
      <c r="AR129" s="28">
        <v>0</v>
      </c>
      <c r="AS129" s="28">
        <v>0</v>
      </c>
    </row>
    <row r="130" ht="31.5" customHeight="1" hidden="1">
      <c r="A130" t="s" s="88">
        <v>913</v>
      </c>
      <c r="B130" t="s" s="67">
        <v>145</v>
      </c>
      <c r="C130" s="228"/>
      <c r="D130" s="228"/>
      <c r="E130" t="s" s="132">
        <v>914</v>
      </c>
      <c r="F130" s="182">
        <v>0</v>
      </c>
      <c r="G130" s="183"/>
      <c r="H130" s="42">
        <f>SUM(J130,N130)</f>
        <v>0</v>
      </c>
      <c r="I130" s="207">
        <f>SUM(Q130,S130,U130,W130,Y130,AA130,AC130,AE130,AG130,AI130,AK130,AM130,AO130,AQ130,AS130)</f>
        <v>0</v>
      </c>
      <c r="J130" s="43">
        <f>SUM(P130,R130,T130,V130,X130,Z130,AB130,AD130,AF130,AH130,AJ130,AL130,AN130,AP130,AR130)</f>
        <v>0</v>
      </c>
      <c r="K130" s="44"/>
      <c r="L130" s="6"/>
      <c r="M130" s="6"/>
      <c r="N130" s="14"/>
      <c r="O130" s="122"/>
      <c r="P130" s="46"/>
      <c r="Q130" s="46"/>
      <c r="R130" s="47"/>
      <c r="S130" s="47"/>
      <c r="T130" s="47"/>
      <c r="U130" s="47"/>
      <c r="V130" s="47"/>
      <c r="W130" s="47"/>
      <c r="X130" s="47"/>
      <c r="Y130" s="47"/>
      <c r="Z130" s="48">
        <v>0</v>
      </c>
      <c r="AA130" s="48">
        <v>0</v>
      </c>
      <c r="AB130" s="49"/>
      <c r="AC130" s="49"/>
      <c r="AD130" s="50"/>
      <c r="AE130" s="50"/>
      <c r="AF130" s="14"/>
      <c r="AG130" s="122"/>
      <c r="AH130" s="51">
        <v>0</v>
      </c>
      <c r="AI130" s="51">
        <v>0</v>
      </c>
      <c r="AJ130" s="47"/>
      <c r="AK130" s="47"/>
      <c r="AL130" s="14"/>
      <c r="AM130" s="122"/>
      <c r="AN130" s="47"/>
      <c r="AO130" s="47"/>
      <c r="AP130" s="47"/>
      <c r="AQ130" s="47"/>
      <c r="AR130" s="51">
        <v>0</v>
      </c>
      <c r="AS130" s="51">
        <v>0</v>
      </c>
    </row>
    <row r="131" ht="39" customHeight="1" hidden="1">
      <c r="A131" t="s" s="130">
        <v>915</v>
      </c>
      <c r="B131" t="s" s="52">
        <v>146</v>
      </c>
      <c r="C131" t="s" s="130">
        <v>833</v>
      </c>
      <c r="D131" t="s" s="209">
        <v>713</v>
      </c>
      <c r="E131" t="s" s="217">
        <v>916</v>
      </c>
      <c r="F131" t="s" s="210">
        <v>714</v>
      </c>
      <c r="G131" s="211"/>
      <c r="H131" s="42">
        <f>SUM(J131,N131)</f>
        <v>100</v>
      </c>
      <c r="I131" s="207">
        <f>SUM(Q131,S131,U131,W131,Y131,AA131,AC131,AE131,AG131,AI131,AK131,AM131,AO131,AQ131,AS131)</f>
        <v>0</v>
      </c>
      <c r="J131" s="43">
        <f>SUM(P131,R131,T131,V131,X131,Z131,AB131,AD131,AF131,AH131,AJ131,AL131,AN131,AP131,AR131)</f>
        <v>100</v>
      </c>
      <c r="K131" s="44"/>
      <c r="L131" s="6"/>
      <c r="M131" s="6"/>
      <c r="N131" s="14"/>
      <c r="O131" s="122"/>
      <c r="P131" s="27">
        <v>100</v>
      </c>
      <c r="Q131" s="27">
        <v>0</v>
      </c>
      <c r="R131" s="51">
        <v>0</v>
      </c>
      <c r="S131" s="51">
        <v>0</v>
      </c>
      <c r="T131" s="51">
        <v>0</v>
      </c>
      <c r="U131" s="51">
        <v>0</v>
      </c>
      <c r="V131" s="51">
        <v>0</v>
      </c>
      <c r="W131" s="51">
        <v>0</v>
      </c>
      <c r="X131" s="51">
        <v>0</v>
      </c>
      <c r="Y131" s="51">
        <v>0</v>
      </c>
      <c r="Z131" s="48">
        <v>0</v>
      </c>
      <c r="AA131" s="48">
        <v>0</v>
      </c>
      <c r="AB131" s="48">
        <v>0</v>
      </c>
      <c r="AC131" s="48">
        <v>0</v>
      </c>
      <c r="AD131" s="55">
        <v>0</v>
      </c>
      <c r="AE131" s="213">
        <v>0</v>
      </c>
      <c r="AF131" s="212">
        <v>0</v>
      </c>
      <c r="AG131" s="121">
        <v>0</v>
      </c>
      <c r="AH131" s="51">
        <v>0</v>
      </c>
      <c r="AI131" s="51">
        <v>0</v>
      </c>
      <c r="AJ131" s="51">
        <v>0</v>
      </c>
      <c r="AK131" s="51">
        <v>0</v>
      </c>
      <c r="AL131" s="14"/>
      <c r="AM131" s="122"/>
      <c r="AN131" s="51">
        <v>0</v>
      </c>
      <c r="AO131" s="51">
        <v>0</v>
      </c>
      <c r="AP131" s="51">
        <v>0</v>
      </c>
      <c r="AQ131" s="47"/>
      <c r="AR131" s="51">
        <v>0</v>
      </c>
      <c r="AS131" s="51">
        <v>0</v>
      </c>
    </row>
    <row r="132" ht="31.5" customHeight="1" hidden="1">
      <c r="A132" t="s" s="88">
        <v>917</v>
      </c>
      <c r="B132" t="s" s="67">
        <v>147</v>
      </c>
      <c r="C132" s="228"/>
      <c r="D132" s="228"/>
      <c r="E132" s="189"/>
      <c r="F132" s="182">
        <v>0</v>
      </c>
      <c r="G132" s="183"/>
      <c r="H132" s="42">
        <f>SUM(J132,N132)</f>
        <v>0</v>
      </c>
      <c r="I132" s="207">
        <f>SUM(Q132,S132,U132,W132,Y132,AA132,AC132,AE132,AG132,AI132,AK132,AM132,AO132,AQ132,AS132)</f>
        <v>0</v>
      </c>
      <c r="J132" s="43">
        <f>SUM(P132,R132,T132,V132,X132,Z132,AB132,AD132,AF132,AH132,AJ132,AL132,AN132,AP132,AR132)</f>
        <v>0</v>
      </c>
      <c r="K132" s="44"/>
      <c r="L132" s="6"/>
      <c r="M132" s="6"/>
      <c r="N132" s="14"/>
      <c r="O132" s="122"/>
      <c r="P132" s="46"/>
      <c r="Q132" s="46"/>
      <c r="R132" s="47"/>
      <c r="S132" s="47"/>
      <c r="T132" s="47"/>
      <c r="U132" s="47"/>
      <c r="V132" s="47"/>
      <c r="W132" s="47"/>
      <c r="X132" s="47"/>
      <c r="Y132" s="47"/>
      <c r="Z132" s="48">
        <v>0</v>
      </c>
      <c r="AA132" s="48">
        <v>0</v>
      </c>
      <c r="AB132" s="49"/>
      <c r="AC132" s="49"/>
      <c r="AD132" s="50"/>
      <c r="AE132" s="50"/>
      <c r="AF132" s="14"/>
      <c r="AG132" s="122"/>
      <c r="AH132" s="51">
        <v>0</v>
      </c>
      <c r="AI132" s="51">
        <v>0</v>
      </c>
      <c r="AJ132" s="47"/>
      <c r="AK132" s="47"/>
      <c r="AL132" s="14"/>
      <c r="AM132" s="122"/>
      <c r="AN132" s="47"/>
      <c r="AO132" s="47"/>
      <c r="AP132" s="47"/>
      <c r="AQ132" s="47"/>
      <c r="AR132" s="51">
        <v>0</v>
      </c>
      <c r="AS132" s="51">
        <v>0</v>
      </c>
    </row>
    <row r="133" ht="31.5" customHeight="1" hidden="1">
      <c r="A133" t="s" s="130">
        <v>918</v>
      </c>
      <c r="B133" t="s" s="52">
        <v>148</v>
      </c>
      <c r="C133" t="s" s="130">
        <v>833</v>
      </c>
      <c r="D133" t="s" s="209">
        <v>713</v>
      </c>
      <c r="E133" s="182">
        <v>-976</v>
      </c>
      <c r="F133" t="s" s="210">
        <v>720</v>
      </c>
      <c r="G133" s="211"/>
      <c r="H133" s="42">
        <f>SUM(J133,N133)</f>
        <v>4600</v>
      </c>
      <c r="I133" s="207">
        <f>SUM(Q133,S133,U133,W133,Y133,AA133,AC133,AE133,AG133,AI133,AK133,AM133,AO133,AQ133,AS133)</f>
        <v>100</v>
      </c>
      <c r="J133" s="43">
        <f>SUM(P133,R133,T133,V133,X133,Z133,AB133,AD133,AF133,AH133,AJ133,AL133,AN133,AP133,AR133)</f>
        <v>4600</v>
      </c>
      <c r="K133" s="44"/>
      <c r="L133" s="6"/>
      <c r="M133" s="6"/>
      <c r="N133" s="14"/>
      <c r="O133" s="122"/>
      <c r="P133" s="27">
        <v>1000</v>
      </c>
      <c r="Q133" s="27">
        <v>100</v>
      </c>
      <c r="R133" s="51">
        <v>0</v>
      </c>
      <c r="S133" s="51">
        <v>0</v>
      </c>
      <c r="T133" s="51">
        <v>1000</v>
      </c>
      <c r="U133" s="51">
        <v>0</v>
      </c>
      <c r="V133" s="51">
        <v>500</v>
      </c>
      <c r="W133" s="51">
        <v>0</v>
      </c>
      <c r="X133" s="51">
        <v>100</v>
      </c>
      <c r="Y133" s="51">
        <v>0</v>
      </c>
      <c r="Z133" s="48">
        <v>0</v>
      </c>
      <c r="AA133" s="48">
        <v>0</v>
      </c>
      <c r="AB133" s="48">
        <v>0</v>
      </c>
      <c r="AC133" s="48">
        <v>0</v>
      </c>
      <c r="AD133" s="55">
        <v>0</v>
      </c>
      <c r="AE133" s="213">
        <v>0</v>
      </c>
      <c r="AF133" s="212">
        <v>0</v>
      </c>
      <c r="AG133" s="121">
        <v>0</v>
      </c>
      <c r="AH133" s="51">
        <v>0</v>
      </c>
      <c r="AI133" s="51">
        <v>0</v>
      </c>
      <c r="AJ133" s="51">
        <v>2000</v>
      </c>
      <c r="AK133" s="51">
        <v>0</v>
      </c>
      <c r="AL133" s="14"/>
      <c r="AM133" s="122"/>
      <c r="AN133" s="51">
        <v>0</v>
      </c>
      <c r="AO133" s="51">
        <v>0</v>
      </c>
      <c r="AP133" s="51">
        <v>0</v>
      </c>
      <c r="AQ133" s="47"/>
      <c r="AR133" s="51">
        <v>0</v>
      </c>
      <c r="AS133" s="51">
        <v>0</v>
      </c>
    </row>
    <row r="134" ht="29.25" customHeight="1" hidden="1">
      <c r="A134" t="s" s="103">
        <v>919</v>
      </c>
      <c r="B134" t="s" s="10">
        <v>149</v>
      </c>
      <c r="C134" t="s" s="103">
        <v>833</v>
      </c>
      <c r="D134" t="s" s="66">
        <v>713</v>
      </c>
      <c r="E134" s="181"/>
      <c r="F134" t="s" s="101">
        <v>720</v>
      </c>
      <c r="G134" s="203"/>
      <c r="H134" s="204">
        <f>SUM(J134,N134)</f>
        <v>119480</v>
      </c>
      <c r="I134" s="205">
        <f>SUM(Q134,S134,U134,W134,Y134,AA134,AC134,AE134,AG134,AI134,AK134,AM134,AO134,AQ134,AS134)</f>
        <v>63877</v>
      </c>
      <c r="J134" s="35">
        <f>SUM(P134,R134,T134,V134,X134,Z134,AB134,AD134,AF134,AH134,AJ134,AL134,AN134,AP134,AR134)</f>
        <v>119480</v>
      </c>
      <c r="K134" s="36"/>
      <c r="L134" s="196"/>
      <c r="M134" s="196"/>
      <c r="N134" s="196"/>
      <c r="O134" s="197"/>
      <c r="P134" s="27">
        <v>20000</v>
      </c>
      <c r="Q134" s="27">
        <v>7030</v>
      </c>
      <c r="R134" s="38">
        <v>0</v>
      </c>
      <c r="S134" s="38">
        <v>0</v>
      </c>
      <c r="T134" s="38">
        <v>22000</v>
      </c>
      <c r="U134" s="38">
        <v>17707</v>
      </c>
      <c r="V134" s="38">
        <v>6000</v>
      </c>
      <c r="W134" s="38">
        <v>5000</v>
      </c>
      <c r="X134" s="38">
        <v>550</v>
      </c>
      <c r="Y134" s="38">
        <v>350</v>
      </c>
      <c r="Z134" s="40">
        <v>5500</v>
      </c>
      <c r="AA134" s="40">
        <v>1100</v>
      </c>
      <c r="AB134" s="40">
        <v>30000</v>
      </c>
      <c r="AC134" s="40">
        <v>10840</v>
      </c>
      <c r="AD134" s="40">
        <v>18050</v>
      </c>
      <c r="AE134" s="40">
        <v>13280</v>
      </c>
      <c r="AF134" s="198">
        <v>4000</v>
      </c>
      <c r="AG134" s="206">
        <v>3500</v>
      </c>
      <c r="AH134" s="38">
        <v>11380</v>
      </c>
      <c r="AI134" s="38">
        <v>5070</v>
      </c>
      <c r="AJ134" s="38">
        <v>2000</v>
      </c>
      <c r="AK134" s="38">
        <v>0</v>
      </c>
      <c r="AL134" s="202"/>
      <c r="AM134" s="197"/>
      <c r="AN134" s="38">
        <v>0</v>
      </c>
      <c r="AO134" s="38">
        <v>0</v>
      </c>
      <c r="AP134" s="38">
        <v>0</v>
      </c>
      <c r="AQ134" s="80"/>
      <c r="AR134" s="38">
        <v>0</v>
      </c>
      <c r="AS134" s="38">
        <v>0</v>
      </c>
    </row>
    <row r="135" ht="117" customHeight="1" hidden="1">
      <c r="A135" t="s" s="59">
        <v>920</v>
      </c>
      <c r="B135" t="s" s="21">
        <v>150</v>
      </c>
      <c r="C135" t="s" s="59">
        <v>921</v>
      </c>
      <c r="D135" t="s" s="190">
        <v>717</v>
      </c>
      <c r="E135" t="s" s="216">
        <v>922</v>
      </c>
      <c r="F135" t="s" s="192">
        <v>714</v>
      </c>
      <c r="G135" t="s" s="235">
        <v>923</v>
      </c>
      <c r="H135" s="194">
        <f>SUM(J135,N135)</f>
        <v>98500</v>
      </c>
      <c r="I135" s="195">
        <f>SUM(Q135,S135,U135,W135,Y135,AA135,AC135,AE135,AG135,AI135,AK135,AM135,AO135,AQ135,AS135)</f>
        <v>34565</v>
      </c>
      <c r="J135" s="23">
        <f>SUM(P135,R135,T135,V135,X135,Z135,AB135,AD135,AF135,AH135,AJ135,AL135,AN135,AP135,AR135)</f>
        <v>96500</v>
      </c>
      <c r="K135" s="36"/>
      <c r="L135" s="196"/>
      <c r="M135" s="196"/>
      <c r="N135" s="199">
        <v>2000</v>
      </c>
      <c r="O135" s="197"/>
      <c r="P135" s="27">
        <v>50000</v>
      </c>
      <c r="Q135" s="27">
        <v>11659</v>
      </c>
      <c r="R135" s="28">
        <v>20000</v>
      </c>
      <c r="S135" s="28">
        <v>8056</v>
      </c>
      <c r="T135" s="28">
        <v>12000</v>
      </c>
      <c r="U135" s="28">
        <v>4715</v>
      </c>
      <c r="V135" s="28">
        <v>12000</v>
      </c>
      <c r="W135" s="28">
        <v>7785</v>
      </c>
      <c r="X135" s="28">
        <v>2500</v>
      </c>
      <c r="Y135" s="28">
        <v>2350</v>
      </c>
      <c r="Z135" s="30">
        <v>0</v>
      </c>
      <c r="AA135" s="30">
        <v>0</v>
      </c>
      <c r="AB135" s="30">
        <v>0</v>
      </c>
      <c r="AC135" s="30">
        <v>0</v>
      </c>
      <c r="AD135" s="30">
        <v>0</v>
      </c>
      <c r="AE135" s="30">
        <v>0</v>
      </c>
      <c r="AF135" s="198">
        <v>0</v>
      </c>
      <c r="AG135" s="206">
        <v>0</v>
      </c>
      <c r="AH135" s="28">
        <v>0</v>
      </c>
      <c r="AI135" s="28">
        <v>0</v>
      </c>
      <c r="AJ135" s="28">
        <v>0</v>
      </c>
      <c r="AK135" s="28">
        <v>0</v>
      </c>
      <c r="AL135" s="202"/>
      <c r="AM135" s="197"/>
      <c r="AN135" s="28">
        <v>0</v>
      </c>
      <c r="AO135" s="28">
        <v>0</v>
      </c>
      <c r="AP135" s="28">
        <v>0</v>
      </c>
      <c r="AQ135" s="87"/>
      <c r="AR135" s="28">
        <v>0</v>
      </c>
      <c r="AS135" s="28">
        <v>0</v>
      </c>
    </row>
    <row r="136" ht="156" customHeight="1" hidden="1">
      <c r="A136" t="s" s="220">
        <v>924</v>
      </c>
      <c r="B136" t="s" s="52">
        <v>151</v>
      </c>
      <c r="C136" t="s" s="130">
        <v>833</v>
      </c>
      <c r="D136" t="s" s="209">
        <v>713</v>
      </c>
      <c r="E136" t="s" s="217">
        <v>925</v>
      </c>
      <c r="F136" t="s" s="210">
        <v>714</v>
      </c>
      <c r="G136" s="211"/>
      <c r="H136" s="42">
        <f>SUM(J136,N136)</f>
        <v>33500</v>
      </c>
      <c r="I136" s="207">
        <f>SUM(Q136,S136,U136,W136,Y136,AA136,AC136,AE136,AG136,AI136,AK136,AM136,AO136,AQ136,AS136)</f>
        <v>5705</v>
      </c>
      <c r="J136" s="43">
        <f>SUM(P136,R136,T136,V136,X136,Z136,AB136,AD136,AF136,AH136,AJ136,AL136,AN136,AP136,AR136)</f>
        <v>33500</v>
      </c>
      <c r="K136" s="44"/>
      <c r="L136" s="6"/>
      <c r="M136" s="6"/>
      <c r="N136" s="14"/>
      <c r="O136" s="122"/>
      <c r="P136" s="27">
        <v>8000</v>
      </c>
      <c r="Q136" s="27">
        <v>2365</v>
      </c>
      <c r="R136" s="51">
        <v>3000</v>
      </c>
      <c r="S136" s="51">
        <v>0</v>
      </c>
      <c r="T136" s="51">
        <v>10000</v>
      </c>
      <c r="U136" s="51">
        <v>1040</v>
      </c>
      <c r="V136" s="51">
        <v>10000</v>
      </c>
      <c r="W136" s="51">
        <v>2000</v>
      </c>
      <c r="X136" s="51">
        <v>2500</v>
      </c>
      <c r="Y136" s="51">
        <v>300</v>
      </c>
      <c r="Z136" s="48">
        <v>0</v>
      </c>
      <c r="AA136" s="48">
        <v>0</v>
      </c>
      <c r="AB136" s="48">
        <v>0</v>
      </c>
      <c r="AC136" s="48">
        <v>0</v>
      </c>
      <c r="AD136" s="55">
        <v>0</v>
      </c>
      <c r="AE136" s="213">
        <v>0</v>
      </c>
      <c r="AF136" s="212">
        <v>0</v>
      </c>
      <c r="AG136" s="121">
        <v>0</v>
      </c>
      <c r="AH136" s="51">
        <v>0</v>
      </c>
      <c r="AI136" s="51">
        <v>0</v>
      </c>
      <c r="AJ136" s="51">
        <v>0</v>
      </c>
      <c r="AK136" s="51">
        <v>0</v>
      </c>
      <c r="AL136" s="14"/>
      <c r="AM136" s="122"/>
      <c r="AN136" s="51">
        <v>0</v>
      </c>
      <c r="AO136" s="51">
        <v>0</v>
      </c>
      <c r="AP136" s="51">
        <v>0</v>
      </c>
      <c r="AQ136" s="47"/>
      <c r="AR136" s="51">
        <v>0</v>
      </c>
      <c r="AS136" s="51">
        <v>0</v>
      </c>
    </row>
    <row r="137" ht="31.5" customHeight="1" hidden="1">
      <c r="A137" t="s" s="88">
        <v>926</v>
      </c>
      <c r="B137" t="s" s="67">
        <v>152</v>
      </c>
      <c r="C137" s="228"/>
      <c r="D137" s="228"/>
      <c r="E137" s="189"/>
      <c r="F137" s="182">
        <v>0</v>
      </c>
      <c r="G137" s="183"/>
      <c r="H137" s="42">
        <f>SUM(J137,N137)</f>
        <v>0</v>
      </c>
      <c r="I137" s="207">
        <f>SUM(Q137,S137,U137,W137,Y137,AA137,AC137,AE137,AG137,AI137,AK137,AM137,AO137,AQ137,AS137)</f>
        <v>0</v>
      </c>
      <c r="J137" s="43">
        <f>SUM(P137,R137,T137,V137,X137,Z137,AB137,AD137,AF137,AH137,AJ137,AL137,AN137,AP137,AR137)</f>
        <v>0</v>
      </c>
      <c r="K137" s="44"/>
      <c r="L137" s="6"/>
      <c r="M137" s="6"/>
      <c r="N137" s="14"/>
      <c r="O137" s="15"/>
      <c r="P137" s="186"/>
      <c r="Q137" s="76"/>
      <c r="R137" s="47"/>
      <c r="S137" s="47"/>
      <c r="T137" s="47"/>
      <c r="U137" s="47"/>
      <c r="V137" s="47"/>
      <c r="W137" s="47"/>
      <c r="X137" s="47"/>
      <c r="Y137" s="47"/>
      <c r="Z137" s="48">
        <v>0</v>
      </c>
      <c r="AA137" s="48">
        <v>0</v>
      </c>
      <c r="AB137" s="49"/>
      <c r="AC137" s="49"/>
      <c r="AD137" s="50"/>
      <c r="AE137" s="50"/>
      <c r="AF137" s="14"/>
      <c r="AG137" s="122"/>
      <c r="AH137" s="51">
        <v>0</v>
      </c>
      <c r="AI137" s="51">
        <v>0</v>
      </c>
      <c r="AJ137" s="47"/>
      <c r="AK137" s="47"/>
      <c r="AL137" s="14"/>
      <c r="AM137" s="122"/>
      <c r="AN137" s="47"/>
      <c r="AO137" s="47"/>
      <c r="AP137" s="47"/>
      <c r="AQ137" s="47"/>
      <c r="AR137" s="47"/>
      <c r="AS137" s="47"/>
    </row>
    <row r="138" ht="31.5" customHeight="1" hidden="1">
      <c r="A138" t="s" s="130">
        <v>927</v>
      </c>
      <c r="B138" t="s" s="52">
        <v>153</v>
      </c>
      <c r="C138" t="s" s="130">
        <v>820</v>
      </c>
      <c r="D138" t="s" s="209">
        <v>791</v>
      </c>
      <c r="E138" t="s" s="236">
        <v>928</v>
      </c>
      <c r="F138" t="s" s="210">
        <v>720</v>
      </c>
      <c r="G138" s="211"/>
      <c r="H138" s="42">
        <f>SUM(J138,N138)</f>
        <v>379150</v>
      </c>
      <c r="I138" s="207">
        <f>SUM(Q138,S138,U138,W138,Y138,AA138,AC138,AE138,AG138,AI138,AK138,AM138,AO138,AQ138,AS138)</f>
        <v>195882</v>
      </c>
      <c r="J138" s="43">
        <f>SUM(P138,R138,T138,V138,X138,Z138,AB138,AD138,AF138,AH138,AJ138,AL138,AN138,AP138,AR138)</f>
        <v>379150</v>
      </c>
      <c r="K138" s="44"/>
      <c r="L138" s="6"/>
      <c r="M138" s="6"/>
      <c r="N138" s="14"/>
      <c r="O138" s="122"/>
      <c r="P138" s="27">
        <v>0</v>
      </c>
      <c r="Q138" s="27">
        <v>0</v>
      </c>
      <c r="R138" s="51">
        <v>5000</v>
      </c>
      <c r="S138" s="51">
        <v>4500</v>
      </c>
      <c r="T138" s="51">
        <v>20000</v>
      </c>
      <c r="U138" s="47"/>
      <c r="V138" s="51">
        <v>20000</v>
      </c>
      <c r="W138" s="51">
        <v>3300</v>
      </c>
      <c r="X138" s="51">
        <v>1050</v>
      </c>
      <c r="Y138" s="51">
        <v>953</v>
      </c>
      <c r="Z138" s="48">
        <v>125000</v>
      </c>
      <c r="AA138" s="48">
        <v>80000</v>
      </c>
      <c r="AB138" s="48">
        <v>64700</v>
      </c>
      <c r="AC138" s="48">
        <v>27117</v>
      </c>
      <c r="AD138" s="55">
        <v>56450</v>
      </c>
      <c r="AE138" s="213">
        <v>24307</v>
      </c>
      <c r="AF138" s="212">
        <v>44300</v>
      </c>
      <c r="AG138" s="121">
        <v>41080</v>
      </c>
      <c r="AH138" s="51">
        <v>42650</v>
      </c>
      <c r="AI138" s="51">
        <v>14625</v>
      </c>
      <c r="AJ138" s="51">
        <v>0</v>
      </c>
      <c r="AK138" s="51">
        <v>0</v>
      </c>
      <c r="AL138" s="14"/>
      <c r="AM138" s="122"/>
      <c r="AN138" s="51">
        <v>0</v>
      </c>
      <c r="AO138" s="51">
        <v>0</v>
      </c>
      <c r="AP138" s="51">
        <v>0</v>
      </c>
      <c r="AQ138" s="47"/>
      <c r="AR138" s="51">
        <v>0</v>
      </c>
      <c r="AS138" s="51">
        <v>0</v>
      </c>
    </row>
    <row r="139" ht="47.25" customHeight="1" hidden="1">
      <c r="A139" t="s" s="130">
        <v>929</v>
      </c>
      <c r="B139" t="s" s="52">
        <v>154</v>
      </c>
      <c r="C139" t="s" s="130">
        <v>930</v>
      </c>
      <c r="D139" t="s" s="209">
        <v>717</v>
      </c>
      <c r="E139" t="s" s="237">
        <v>931</v>
      </c>
      <c r="F139" t="s" s="210">
        <v>714</v>
      </c>
      <c r="G139" s="211"/>
      <c r="H139" s="42">
        <f>SUM(J139,N139)</f>
        <v>444025</v>
      </c>
      <c r="I139" s="207">
        <f>SUM(Q139,S139,U139,W139,Y139,AA139,AC139,AE139,AG139,AI139,AK139,AM139,AO139,AQ139,AS139)</f>
        <v>242931</v>
      </c>
      <c r="J139" s="43">
        <f>SUM(P139,R139,T139,V139,X139,Z139,AB139,AD139,AF139,AH139,AJ139,AL139,AN139,AP139,AR139)</f>
        <v>426025</v>
      </c>
      <c r="K139" s="44"/>
      <c r="L139" s="6"/>
      <c r="M139" s="6"/>
      <c r="N139" s="212">
        <v>18000</v>
      </c>
      <c r="O139" s="122"/>
      <c r="P139" s="27">
        <v>200000</v>
      </c>
      <c r="Q139" s="27">
        <v>99330</v>
      </c>
      <c r="R139" s="51">
        <v>70000</v>
      </c>
      <c r="S139" s="51">
        <v>50630</v>
      </c>
      <c r="T139" s="51">
        <v>100000</v>
      </c>
      <c r="U139" s="51">
        <v>44606</v>
      </c>
      <c r="V139" s="51">
        <v>44000</v>
      </c>
      <c r="W139" s="51">
        <v>37680</v>
      </c>
      <c r="X139" s="51">
        <v>12000</v>
      </c>
      <c r="Y139" s="51">
        <v>10660</v>
      </c>
      <c r="Z139" s="48">
        <v>0</v>
      </c>
      <c r="AA139" s="48">
        <v>0</v>
      </c>
      <c r="AB139" s="48">
        <v>0</v>
      </c>
      <c r="AC139" s="48">
        <v>0</v>
      </c>
      <c r="AD139" s="55">
        <v>0</v>
      </c>
      <c r="AE139" s="213">
        <v>0</v>
      </c>
      <c r="AF139" s="212">
        <v>0</v>
      </c>
      <c r="AG139" s="121">
        <v>0</v>
      </c>
      <c r="AH139" s="51">
        <v>0</v>
      </c>
      <c r="AI139" s="51">
        <v>0</v>
      </c>
      <c r="AJ139" s="51">
        <v>0</v>
      </c>
      <c r="AK139" s="51">
        <v>0</v>
      </c>
      <c r="AL139" s="14"/>
      <c r="AM139" s="122"/>
      <c r="AN139" s="51">
        <v>0</v>
      </c>
      <c r="AO139" s="51">
        <v>0</v>
      </c>
      <c r="AP139" s="51">
        <v>25</v>
      </c>
      <c r="AQ139" s="51">
        <v>25</v>
      </c>
      <c r="AR139" s="51">
        <v>0</v>
      </c>
      <c r="AS139" s="51">
        <v>0</v>
      </c>
    </row>
    <row r="140" ht="78" customHeight="1" hidden="1">
      <c r="A140" t="s" s="130">
        <v>932</v>
      </c>
      <c r="B140" t="s" s="52">
        <v>155</v>
      </c>
      <c r="C140" t="s" s="130">
        <v>800</v>
      </c>
      <c r="D140" t="s" s="209">
        <v>717</v>
      </c>
      <c r="E140" t="s" s="217">
        <v>933</v>
      </c>
      <c r="F140" t="s" s="210">
        <v>714</v>
      </c>
      <c r="G140" s="211"/>
      <c r="H140" s="42">
        <f>SUM(J140,N140)</f>
        <v>46300</v>
      </c>
      <c r="I140" s="207">
        <f>SUM(Q140,S140,U140,W140,Y140,AA140,AC140,AE140,AG140,AI140,AK140,AM140,AO140,AQ140,AS140)</f>
        <v>5000</v>
      </c>
      <c r="J140" s="43">
        <f>SUM(P140,R140,T140,V140,X140,Z140,AB140,AD140,AF140,AH140,AJ140,AL140,AN140,AP140,AR140)</f>
        <v>46300</v>
      </c>
      <c r="K140" s="44"/>
      <c r="L140" s="6"/>
      <c r="M140" s="6"/>
      <c r="N140" s="14"/>
      <c r="O140" s="122"/>
      <c r="P140" s="27">
        <v>0</v>
      </c>
      <c r="Q140" s="27">
        <v>0</v>
      </c>
      <c r="R140" s="51">
        <v>20000</v>
      </c>
      <c r="S140" s="51">
        <v>5000</v>
      </c>
      <c r="T140" s="51">
        <v>20000</v>
      </c>
      <c r="U140" s="51">
        <v>0</v>
      </c>
      <c r="V140" s="51">
        <v>6000</v>
      </c>
      <c r="W140" s="51">
        <v>0</v>
      </c>
      <c r="X140" s="51">
        <v>300</v>
      </c>
      <c r="Y140" s="51">
        <v>0</v>
      </c>
      <c r="Z140" s="48">
        <v>0</v>
      </c>
      <c r="AA140" s="48">
        <v>0</v>
      </c>
      <c r="AB140" s="48">
        <v>0</v>
      </c>
      <c r="AC140" s="48">
        <v>0</v>
      </c>
      <c r="AD140" s="55">
        <v>0</v>
      </c>
      <c r="AE140" s="213">
        <v>0</v>
      </c>
      <c r="AF140" s="212">
        <v>0</v>
      </c>
      <c r="AG140" s="121">
        <v>0</v>
      </c>
      <c r="AH140" s="51">
        <v>0</v>
      </c>
      <c r="AI140" s="51">
        <v>0</v>
      </c>
      <c r="AJ140" s="51">
        <v>0</v>
      </c>
      <c r="AK140" s="51">
        <v>0</v>
      </c>
      <c r="AL140" s="14"/>
      <c r="AM140" s="122"/>
      <c r="AN140" s="51">
        <v>0</v>
      </c>
      <c r="AO140" s="51">
        <v>0</v>
      </c>
      <c r="AP140" s="51">
        <v>0</v>
      </c>
      <c r="AQ140" s="47"/>
      <c r="AR140" s="51">
        <v>0</v>
      </c>
      <c r="AS140" s="51">
        <v>0</v>
      </c>
    </row>
    <row r="141" ht="47.25" customHeight="1" hidden="1">
      <c r="A141" t="s" s="218">
        <v>934</v>
      </c>
      <c r="B141" t="s" s="10">
        <v>156</v>
      </c>
      <c r="C141" t="s" s="238">
        <v>790</v>
      </c>
      <c r="D141" t="s" s="239">
        <v>791</v>
      </c>
      <c r="E141" t="s" s="219">
        <v>935</v>
      </c>
      <c r="F141" t="s" s="101">
        <v>720</v>
      </c>
      <c r="G141" s="203"/>
      <c r="H141" s="204">
        <f>SUM(J141,N141)</f>
        <v>327360</v>
      </c>
      <c r="I141" s="205">
        <f>SUM(Q141,S141,U141,W141,Y141,AA141,AC141,AE141,AG141,AI141,AK141,AM141,AO141,AQ141,AS141)</f>
        <v>205789</v>
      </c>
      <c r="J141" s="35">
        <f>SUM(P141,R141,T141,V141,X141,Z141,AB141,AD141,AF141,AH141,AJ141,AL141,AN141,AP141,AR141)</f>
        <v>327360</v>
      </c>
      <c r="K141" s="36"/>
      <c r="L141" s="196"/>
      <c r="M141" s="196"/>
      <c r="N141" s="196"/>
      <c r="O141" s="197"/>
      <c r="P141" s="27">
        <v>8000</v>
      </c>
      <c r="Q141" s="27">
        <v>0</v>
      </c>
      <c r="R141" s="38">
        <v>30000</v>
      </c>
      <c r="S141" s="38">
        <v>24926</v>
      </c>
      <c r="T141" s="38">
        <v>25000</v>
      </c>
      <c r="U141" s="38">
        <v>10800</v>
      </c>
      <c r="V141" s="38">
        <v>12000</v>
      </c>
      <c r="W141" s="38">
        <v>10760</v>
      </c>
      <c r="X141" s="38">
        <v>7500</v>
      </c>
      <c r="Y141" s="38">
        <v>6836</v>
      </c>
      <c r="Z141" s="40">
        <v>60000</v>
      </c>
      <c r="AA141" s="40">
        <v>40000</v>
      </c>
      <c r="AB141" s="40">
        <v>46050</v>
      </c>
      <c r="AC141" s="40">
        <v>30108</v>
      </c>
      <c r="AD141" s="40">
        <v>64200</v>
      </c>
      <c r="AE141" s="40">
        <v>32654</v>
      </c>
      <c r="AF141" s="198">
        <v>27000</v>
      </c>
      <c r="AG141" s="206">
        <v>22100</v>
      </c>
      <c r="AH141" s="38">
        <v>42900</v>
      </c>
      <c r="AI141" s="38">
        <v>24184</v>
      </c>
      <c r="AJ141" s="38">
        <v>60</v>
      </c>
      <c r="AK141" s="38">
        <v>0</v>
      </c>
      <c r="AL141" s="202"/>
      <c r="AM141" s="197"/>
      <c r="AN141" s="38">
        <v>150</v>
      </c>
      <c r="AO141" s="38">
        <v>111</v>
      </c>
      <c r="AP141" s="38">
        <v>0</v>
      </c>
      <c r="AQ141" s="80"/>
      <c r="AR141" s="38">
        <v>4500</v>
      </c>
      <c r="AS141" s="38">
        <v>3310</v>
      </c>
    </row>
    <row r="142" ht="156" customHeight="1" hidden="1">
      <c r="A142" t="s" s="59">
        <v>936</v>
      </c>
      <c r="B142" t="s" s="21">
        <v>157</v>
      </c>
      <c r="C142" t="s" s="59">
        <v>765</v>
      </c>
      <c r="D142" t="s" s="190">
        <v>713</v>
      </c>
      <c r="E142" t="s" s="216">
        <v>937</v>
      </c>
      <c r="F142" t="s" s="192">
        <v>714</v>
      </c>
      <c r="G142" s="193"/>
      <c r="H142" s="194">
        <f>SUM(J142,N142)</f>
        <v>109550</v>
      </c>
      <c r="I142" s="195">
        <f>SUM(Q142,S142,U142,W142,Y142,AA142,AC142,AE142,AG142,AI142,AK142,AM142,AO142,AQ142,AS142)</f>
        <v>69820</v>
      </c>
      <c r="J142" s="23">
        <f>SUM(P142,R142,T142,V142,X142,Z142,AB142,AD142,AF142,AH142,AJ142,AL142,AN142,AP142,AR142)</f>
        <v>108550</v>
      </c>
      <c r="K142" s="36"/>
      <c r="L142" s="196"/>
      <c r="M142" s="196"/>
      <c r="N142" s="199">
        <v>1000</v>
      </c>
      <c r="O142" s="197"/>
      <c r="P142" s="27">
        <v>50000</v>
      </c>
      <c r="Q142" s="27">
        <v>18990</v>
      </c>
      <c r="R142" s="28">
        <v>0</v>
      </c>
      <c r="S142" s="28">
        <v>0</v>
      </c>
      <c r="T142" s="28">
        <v>35000</v>
      </c>
      <c r="U142" s="28">
        <v>29840</v>
      </c>
      <c r="V142" s="28">
        <v>6600</v>
      </c>
      <c r="W142" s="28">
        <v>6070</v>
      </c>
      <c r="X142" s="28">
        <v>13000</v>
      </c>
      <c r="Y142" s="28">
        <v>11910</v>
      </c>
      <c r="Z142" s="30">
        <v>0</v>
      </c>
      <c r="AA142" s="30">
        <v>0</v>
      </c>
      <c r="AB142" s="30">
        <v>0</v>
      </c>
      <c r="AC142" s="30">
        <v>0</v>
      </c>
      <c r="AD142" s="30">
        <v>0</v>
      </c>
      <c r="AE142" s="30">
        <v>0</v>
      </c>
      <c r="AF142" s="198">
        <v>0</v>
      </c>
      <c r="AG142" s="206">
        <v>0</v>
      </c>
      <c r="AH142" s="28">
        <v>0</v>
      </c>
      <c r="AI142" s="28">
        <v>0</v>
      </c>
      <c r="AJ142" s="28">
        <v>3600</v>
      </c>
      <c r="AK142" s="28">
        <v>3000</v>
      </c>
      <c r="AL142" s="53">
        <v>250</v>
      </c>
      <c r="AM142" s="53">
        <v>0</v>
      </c>
      <c r="AN142" s="28">
        <v>0</v>
      </c>
      <c r="AO142" s="28">
        <v>0</v>
      </c>
      <c r="AP142" s="28">
        <v>0</v>
      </c>
      <c r="AQ142" s="87"/>
      <c r="AR142" s="28">
        <v>100</v>
      </c>
      <c r="AS142" s="28">
        <v>10</v>
      </c>
    </row>
    <row r="143" ht="39" customHeight="1" hidden="1">
      <c r="A143" t="s" s="130">
        <v>938</v>
      </c>
      <c r="B143" t="s" s="52">
        <v>158</v>
      </c>
      <c r="C143" t="s" s="130">
        <v>820</v>
      </c>
      <c r="D143" t="s" s="209">
        <v>791</v>
      </c>
      <c r="E143" t="s" s="217">
        <v>939</v>
      </c>
      <c r="F143" t="s" s="210">
        <v>720</v>
      </c>
      <c r="G143" s="211"/>
      <c r="H143" s="42">
        <f>SUM(J143,N143)</f>
        <v>322600</v>
      </c>
      <c r="I143" s="207">
        <f>SUM(Q143,S143,U143,W143,Y143,AA143,AC143,AE143,AG143,AI143,AK143,AM143,AO143,AQ143,AS143)</f>
        <v>165480</v>
      </c>
      <c r="J143" s="43">
        <f>SUM(P143,R143,T143,V143,X143,Z143,AB143,AD143,AF143,AH143,AJ143,AL143,AN143,AP143,AR143)</f>
        <v>322600</v>
      </c>
      <c r="K143" s="44"/>
      <c r="L143" s="6"/>
      <c r="M143" s="6"/>
      <c r="N143" s="14"/>
      <c r="O143" s="122"/>
      <c r="P143" s="27">
        <v>250</v>
      </c>
      <c r="Q143" s="27">
        <v>0</v>
      </c>
      <c r="R143" s="51">
        <v>10000</v>
      </c>
      <c r="S143" s="51">
        <v>9200</v>
      </c>
      <c r="T143" s="51">
        <v>20000</v>
      </c>
      <c r="U143" s="47"/>
      <c r="V143" s="51">
        <v>12000</v>
      </c>
      <c r="W143" s="51">
        <v>10490</v>
      </c>
      <c r="X143" s="51">
        <v>150</v>
      </c>
      <c r="Y143" s="51">
        <v>100</v>
      </c>
      <c r="Z143" s="48">
        <v>63500</v>
      </c>
      <c r="AA143" s="48">
        <v>28600</v>
      </c>
      <c r="AB143" s="48">
        <v>71250</v>
      </c>
      <c r="AC143" s="48">
        <v>24335</v>
      </c>
      <c r="AD143" s="55">
        <v>65600</v>
      </c>
      <c r="AE143" s="213">
        <v>32110</v>
      </c>
      <c r="AF143" s="212">
        <v>44800</v>
      </c>
      <c r="AG143" s="121">
        <v>40380</v>
      </c>
      <c r="AH143" s="51">
        <v>35000</v>
      </c>
      <c r="AI143" s="51">
        <v>20265</v>
      </c>
      <c r="AJ143" s="51">
        <v>0</v>
      </c>
      <c r="AK143" s="51">
        <v>0</v>
      </c>
      <c r="AL143" s="53">
        <v>50</v>
      </c>
      <c r="AM143" s="53">
        <v>0</v>
      </c>
      <c r="AN143" s="51">
        <v>0</v>
      </c>
      <c r="AO143" s="51">
        <v>0</v>
      </c>
      <c r="AP143" s="51">
        <v>0</v>
      </c>
      <c r="AQ143" s="47"/>
      <c r="AR143" s="51">
        <v>0</v>
      </c>
      <c r="AS143" s="51">
        <v>0</v>
      </c>
    </row>
    <row r="144" ht="39" customHeight="1" hidden="1">
      <c r="A144" t="s" s="130">
        <v>940</v>
      </c>
      <c r="B144" t="s" s="52">
        <v>159</v>
      </c>
      <c r="C144" t="s" s="130">
        <v>765</v>
      </c>
      <c r="D144" t="s" s="209">
        <v>713</v>
      </c>
      <c r="E144" t="s" s="217">
        <v>939</v>
      </c>
      <c r="F144" t="s" s="210">
        <v>720</v>
      </c>
      <c r="G144" s="211"/>
      <c r="H144" s="42">
        <f>SUM(J144,N144)</f>
        <v>5914780</v>
      </c>
      <c r="I144" s="207">
        <f>SUM(Q144,S144,U144,W144,Y144,AA144,AC144,AE144,AG144,AI144,AK144,AM144,AO144,AQ144,AS144)</f>
        <v>4493720</v>
      </c>
      <c r="J144" s="43">
        <f>SUM(P144,R144,T144,V144,X144,Z144,AB144,AD144,AF144,AH144,AJ144,AL144,AN144,AP144,AR144)</f>
        <v>5914780</v>
      </c>
      <c r="K144" s="44"/>
      <c r="L144" s="6"/>
      <c r="M144" s="6"/>
      <c r="N144" s="14"/>
      <c r="O144" s="122"/>
      <c r="P144" s="27">
        <v>600000</v>
      </c>
      <c r="Q144" s="27">
        <v>378260</v>
      </c>
      <c r="R144" s="51">
        <v>100000</v>
      </c>
      <c r="S144" s="51">
        <v>87300</v>
      </c>
      <c r="T144" s="51">
        <v>350000</v>
      </c>
      <c r="U144" s="51">
        <v>293000</v>
      </c>
      <c r="V144" s="51">
        <v>460000</v>
      </c>
      <c r="W144" s="51">
        <v>442300</v>
      </c>
      <c r="X144" s="51">
        <v>300000</v>
      </c>
      <c r="Y144" s="51">
        <v>289090</v>
      </c>
      <c r="Z144" s="48">
        <v>975000</v>
      </c>
      <c r="AA144" s="48">
        <v>868000</v>
      </c>
      <c r="AB144" s="48">
        <v>871500</v>
      </c>
      <c r="AC144" s="48">
        <v>594640</v>
      </c>
      <c r="AD144" s="55">
        <v>1049000</v>
      </c>
      <c r="AE144" s="213">
        <v>612490</v>
      </c>
      <c r="AF144" s="212">
        <v>412000</v>
      </c>
      <c r="AG144" s="121">
        <v>360000</v>
      </c>
      <c r="AH144" s="51">
        <v>586000</v>
      </c>
      <c r="AI144" s="51">
        <v>391660</v>
      </c>
      <c r="AJ144" s="51">
        <v>11280</v>
      </c>
      <c r="AK144" s="51">
        <v>9400</v>
      </c>
      <c r="AL144" s="53">
        <v>30000</v>
      </c>
      <c r="AM144" s="53">
        <v>25000</v>
      </c>
      <c r="AN144" s="51">
        <v>5000</v>
      </c>
      <c r="AO144" s="51">
        <v>4710</v>
      </c>
      <c r="AP144" s="51">
        <v>25000</v>
      </c>
      <c r="AQ144" s="51">
        <v>19000</v>
      </c>
      <c r="AR144" s="51">
        <v>140000</v>
      </c>
      <c r="AS144" s="51">
        <v>118870</v>
      </c>
    </row>
    <row r="145" ht="97.5" customHeight="1" hidden="1">
      <c r="A145" t="s" s="59">
        <v>941</v>
      </c>
      <c r="B145" t="s" s="52">
        <v>160</v>
      </c>
      <c r="C145" t="s" s="59">
        <v>716</v>
      </c>
      <c r="D145" t="s" s="190">
        <v>717</v>
      </c>
      <c r="E145" t="s" s="216">
        <v>942</v>
      </c>
      <c r="F145" t="s" s="192">
        <v>714</v>
      </c>
      <c r="G145" s="193"/>
      <c r="H145" s="194">
        <f>SUM(J145,N145)</f>
        <v>56250</v>
      </c>
      <c r="I145" s="195">
        <f>SUM(Q145,S145,U145,W145,Y145,AA145,AC145,AE145,AG145,AI145,AK145,AM145,AO145,AQ145,AS145)</f>
        <v>2844</v>
      </c>
      <c r="J145" s="23">
        <f>SUM(P145,R145,T145,V145,X145,Z145,AB145,AD145,AF145,AH145,AJ145,AL145,AN145,AP145,AR145)</f>
        <v>56250</v>
      </c>
      <c r="K145" s="36"/>
      <c r="L145" s="196"/>
      <c r="M145" s="196"/>
      <c r="N145" s="196"/>
      <c r="O145" s="197"/>
      <c r="P145" s="27">
        <v>25000</v>
      </c>
      <c r="Q145" s="27">
        <v>837</v>
      </c>
      <c r="R145" s="28">
        <v>200</v>
      </c>
      <c r="S145" s="28">
        <v>0</v>
      </c>
      <c r="T145" s="28">
        <v>25000</v>
      </c>
      <c r="U145" s="28">
        <v>1227</v>
      </c>
      <c r="V145" s="28">
        <v>5000</v>
      </c>
      <c r="W145" s="28">
        <v>580</v>
      </c>
      <c r="X145" s="28">
        <v>1000</v>
      </c>
      <c r="Y145" s="28">
        <v>200</v>
      </c>
      <c r="Z145" s="30">
        <v>0</v>
      </c>
      <c r="AA145" s="30">
        <v>0</v>
      </c>
      <c r="AB145" s="30">
        <v>0</v>
      </c>
      <c r="AC145" s="30">
        <v>0</v>
      </c>
      <c r="AD145" s="30">
        <v>0</v>
      </c>
      <c r="AE145" s="30">
        <v>0</v>
      </c>
      <c r="AF145" s="198">
        <v>0</v>
      </c>
      <c r="AG145" s="206">
        <v>0</v>
      </c>
      <c r="AH145" s="28">
        <v>0</v>
      </c>
      <c r="AI145" s="28">
        <v>0</v>
      </c>
      <c r="AJ145" s="28">
        <v>0</v>
      </c>
      <c r="AK145" s="28">
        <v>0</v>
      </c>
      <c r="AL145" s="53">
        <v>50</v>
      </c>
      <c r="AM145" s="234">
        <v>0</v>
      </c>
      <c r="AN145" s="28">
        <v>0</v>
      </c>
      <c r="AO145" s="28">
        <v>0</v>
      </c>
      <c r="AP145" s="28">
        <v>0</v>
      </c>
      <c r="AQ145" s="87"/>
      <c r="AR145" s="28">
        <v>0</v>
      </c>
      <c r="AS145" s="28">
        <v>0</v>
      </c>
    </row>
    <row r="146" ht="47.25" customHeight="1" hidden="1">
      <c r="A146" t="s" s="88">
        <v>943</v>
      </c>
      <c r="B146" t="s" s="67">
        <v>161</v>
      </c>
      <c r="C146" s="228"/>
      <c r="D146" s="228"/>
      <c r="E146" s="189"/>
      <c r="F146" s="182">
        <v>0</v>
      </c>
      <c r="G146" s="183"/>
      <c r="H146" s="42">
        <f>SUM(J146,N146)</f>
        <v>0</v>
      </c>
      <c r="I146" s="207">
        <f>SUM(Q146,S146,U146,W146,Y146,AA146,AC146,AE146,AG146,AI146,AK146,AM146,AO146,AQ146,AS146)</f>
        <v>0</v>
      </c>
      <c r="J146" s="43">
        <f>SUM(P146,R146,T146,V146,X146,Z146,AB146,AD146,AF146,AH146,AJ146,AL146,AN146,AP146,AR146)</f>
        <v>0</v>
      </c>
      <c r="K146" s="44"/>
      <c r="L146" s="6"/>
      <c r="M146" s="6"/>
      <c r="N146" s="14"/>
      <c r="O146" s="122"/>
      <c r="P146" s="46"/>
      <c r="Q146" s="46"/>
      <c r="R146" s="47"/>
      <c r="S146" s="47"/>
      <c r="T146" s="47"/>
      <c r="U146" s="47"/>
      <c r="V146" s="47"/>
      <c r="W146" s="47"/>
      <c r="X146" s="47"/>
      <c r="Y146" s="47"/>
      <c r="Z146" s="48">
        <v>0</v>
      </c>
      <c r="AA146" s="48">
        <v>0</v>
      </c>
      <c r="AB146" s="49"/>
      <c r="AC146" s="49"/>
      <c r="AD146" s="50"/>
      <c r="AE146" s="50"/>
      <c r="AF146" s="14"/>
      <c r="AG146" s="122"/>
      <c r="AH146" s="51">
        <v>0</v>
      </c>
      <c r="AI146" s="51">
        <v>0</v>
      </c>
      <c r="AJ146" s="47"/>
      <c r="AK146" s="47"/>
      <c r="AL146" s="14"/>
      <c r="AM146" s="122"/>
      <c r="AN146" s="47"/>
      <c r="AO146" s="47"/>
      <c r="AP146" s="47"/>
      <c r="AQ146" s="47"/>
      <c r="AR146" s="51">
        <v>0</v>
      </c>
      <c r="AS146" s="51">
        <v>0</v>
      </c>
    </row>
    <row r="147" ht="31.5" customHeight="1" hidden="1">
      <c r="A147" t="s" s="130">
        <v>944</v>
      </c>
      <c r="B147" t="s" s="52">
        <v>162</v>
      </c>
      <c r="C147" t="s" s="130">
        <v>716</v>
      </c>
      <c r="D147" t="s" s="209">
        <v>717</v>
      </c>
      <c r="E147" t="s" s="217">
        <v>945</v>
      </c>
      <c r="F147" t="s" s="210">
        <v>714</v>
      </c>
      <c r="G147" s="211"/>
      <c r="H147" s="42">
        <f>SUM(J147,N147)</f>
        <v>750</v>
      </c>
      <c r="I147" s="207">
        <f>SUM(Q147,S147,U147,W147,Y147,AA147,AC147,AE147,AG147,AI147,AK147,AM147,AO147,AQ147,AS147)</f>
        <v>371</v>
      </c>
      <c r="J147" s="43">
        <f>SUM(P147,R147,T147,V147,X147,Z147,AB147,AD147,AF147,AH147,AJ147,AL147,AN147,AP147,AR147)</f>
        <v>750</v>
      </c>
      <c r="K147" s="44"/>
      <c r="L147" s="6"/>
      <c r="M147" s="6"/>
      <c r="N147" s="14"/>
      <c r="O147" s="122"/>
      <c r="P147" s="27">
        <v>50</v>
      </c>
      <c r="Q147" s="27">
        <v>0</v>
      </c>
      <c r="R147" s="51">
        <v>300</v>
      </c>
      <c r="S147" s="51">
        <v>150</v>
      </c>
      <c r="T147" s="51">
        <v>200</v>
      </c>
      <c r="U147" s="51">
        <v>160</v>
      </c>
      <c r="V147" s="51">
        <v>200</v>
      </c>
      <c r="W147" s="51">
        <v>61</v>
      </c>
      <c r="X147" s="51">
        <v>0</v>
      </c>
      <c r="Y147" s="51">
        <v>0</v>
      </c>
      <c r="Z147" s="48">
        <v>0</v>
      </c>
      <c r="AA147" s="48">
        <v>0</v>
      </c>
      <c r="AB147" s="48">
        <v>0</v>
      </c>
      <c r="AC147" s="48">
        <v>0</v>
      </c>
      <c r="AD147" s="55">
        <v>0</v>
      </c>
      <c r="AE147" s="213">
        <v>0</v>
      </c>
      <c r="AF147" s="212">
        <v>0</v>
      </c>
      <c r="AG147" s="121">
        <v>0</v>
      </c>
      <c r="AH147" s="51">
        <v>0</v>
      </c>
      <c r="AI147" s="51">
        <v>0</v>
      </c>
      <c r="AJ147" s="51">
        <v>0</v>
      </c>
      <c r="AK147" s="51">
        <v>0</v>
      </c>
      <c r="AL147" s="14"/>
      <c r="AM147" s="122"/>
      <c r="AN147" s="51">
        <v>0</v>
      </c>
      <c r="AO147" s="51">
        <v>0</v>
      </c>
      <c r="AP147" s="51">
        <v>0</v>
      </c>
      <c r="AQ147" s="47"/>
      <c r="AR147" s="51">
        <v>0</v>
      </c>
      <c r="AS147" s="51">
        <v>0</v>
      </c>
    </row>
    <row r="148" ht="31.5" customHeight="1" hidden="1">
      <c r="A148" t="s" s="130">
        <v>946</v>
      </c>
      <c r="B148" t="s" s="52">
        <v>163</v>
      </c>
      <c r="C148" t="s" s="130">
        <v>716</v>
      </c>
      <c r="D148" t="s" s="209">
        <v>717</v>
      </c>
      <c r="E148" t="s" s="217">
        <v>947</v>
      </c>
      <c r="F148" t="s" s="210">
        <v>714</v>
      </c>
      <c r="G148" s="211"/>
      <c r="H148" s="42">
        <f>SUM(J148,N148)</f>
        <v>2750</v>
      </c>
      <c r="I148" s="207">
        <f>SUM(Q148,S148,U148,W148,Y148,AA148,AC148,AE148,AG148,AI148,AK148,AM148,AO148,AQ148,AS148)</f>
        <v>2684</v>
      </c>
      <c r="J148" s="43">
        <f>SUM(P148,R148,T148,V148,X148,Z148,AB148,AD148,AF148,AH148,AJ148,AL148,AN148,AP148,AR148)</f>
        <v>2750</v>
      </c>
      <c r="K148" s="44"/>
      <c r="L148" s="6"/>
      <c r="M148" s="6"/>
      <c r="N148" s="14"/>
      <c r="O148" s="122"/>
      <c r="P148" s="27">
        <v>2000</v>
      </c>
      <c r="Q148" s="27">
        <v>2164</v>
      </c>
      <c r="R148" s="51">
        <v>250</v>
      </c>
      <c r="S148" s="51">
        <v>207</v>
      </c>
      <c r="T148" s="51">
        <v>250</v>
      </c>
      <c r="U148" s="51">
        <v>200</v>
      </c>
      <c r="V148" s="51">
        <v>250</v>
      </c>
      <c r="W148" s="51">
        <v>113</v>
      </c>
      <c r="X148" s="51">
        <v>0</v>
      </c>
      <c r="Y148" s="51">
        <v>0</v>
      </c>
      <c r="Z148" s="48">
        <v>0</v>
      </c>
      <c r="AA148" s="48">
        <v>0</v>
      </c>
      <c r="AB148" s="48">
        <v>0</v>
      </c>
      <c r="AC148" s="48">
        <v>0</v>
      </c>
      <c r="AD148" s="55">
        <v>0</v>
      </c>
      <c r="AE148" s="213">
        <v>0</v>
      </c>
      <c r="AF148" s="212">
        <v>0</v>
      </c>
      <c r="AG148" s="121">
        <v>0</v>
      </c>
      <c r="AH148" s="51">
        <v>0</v>
      </c>
      <c r="AI148" s="51">
        <v>0</v>
      </c>
      <c r="AJ148" s="51">
        <v>0</v>
      </c>
      <c r="AK148" s="51">
        <v>0</v>
      </c>
      <c r="AL148" s="14"/>
      <c r="AM148" s="122"/>
      <c r="AN148" s="51">
        <v>0</v>
      </c>
      <c r="AO148" s="51">
        <v>0</v>
      </c>
      <c r="AP148" s="51">
        <v>0</v>
      </c>
      <c r="AQ148" s="47"/>
      <c r="AR148" s="51">
        <v>0</v>
      </c>
      <c r="AS148" s="51">
        <v>0</v>
      </c>
    </row>
    <row r="149" ht="136.5" customHeight="1" hidden="1">
      <c r="A149" t="s" s="59">
        <v>948</v>
      </c>
      <c r="B149" t="s" s="21">
        <v>164</v>
      </c>
      <c r="C149" t="s" s="59">
        <v>949</v>
      </c>
      <c r="D149" t="s" s="190">
        <v>717</v>
      </c>
      <c r="E149" t="s" s="216">
        <v>950</v>
      </c>
      <c r="F149" t="s" s="192">
        <v>714</v>
      </c>
      <c r="G149" s="193"/>
      <c r="H149" s="194">
        <f>SUM(J149,N149)</f>
        <v>42300</v>
      </c>
      <c r="I149" s="195">
        <f>SUM(Q149,S149,U149,W149,Y149,AA149,AC149,AE149,AG149,AI149,AK149,AM149,AO149,AQ149,AS149)</f>
        <v>52679</v>
      </c>
      <c r="J149" s="23">
        <f>SUM(P149,R149,T149,V149,X149,Z149,AB149,AD149,AF149,AH149,AJ149,AL149,AN149,AP149,AR149)</f>
        <v>41700</v>
      </c>
      <c r="K149" s="36"/>
      <c r="L149" s="196"/>
      <c r="M149" s="196"/>
      <c r="N149" s="199">
        <v>600</v>
      </c>
      <c r="O149" s="197"/>
      <c r="P149" s="27">
        <v>10000</v>
      </c>
      <c r="Q149" s="27">
        <v>24730</v>
      </c>
      <c r="R149" s="28">
        <v>15000</v>
      </c>
      <c r="S149" s="28">
        <v>14510</v>
      </c>
      <c r="T149" s="28">
        <v>12000</v>
      </c>
      <c r="U149" s="28">
        <v>9041</v>
      </c>
      <c r="V149" s="28">
        <v>4000</v>
      </c>
      <c r="W149" s="28">
        <v>3730</v>
      </c>
      <c r="X149" s="28">
        <v>700</v>
      </c>
      <c r="Y149" s="28">
        <v>668</v>
      </c>
      <c r="Z149" s="30">
        <v>0</v>
      </c>
      <c r="AA149" s="30">
        <v>0</v>
      </c>
      <c r="AB149" s="30">
        <v>0</v>
      </c>
      <c r="AC149" s="30">
        <v>0</v>
      </c>
      <c r="AD149" s="30">
        <v>0</v>
      </c>
      <c r="AE149" s="30">
        <v>0</v>
      </c>
      <c r="AF149" s="198">
        <v>0</v>
      </c>
      <c r="AG149" s="206">
        <v>0</v>
      </c>
      <c r="AH149" s="28">
        <v>0</v>
      </c>
      <c r="AI149" s="28">
        <v>0</v>
      </c>
      <c r="AJ149" s="28">
        <v>0</v>
      </c>
      <c r="AK149" s="28">
        <v>0</v>
      </c>
      <c r="AL149" s="202"/>
      <c r="AM149" s="197"/>
      <c r="AN149" s="28">
        <v>0</v>
      </c>
      <c r="AO149" s="28">
        <v>0</v>
      </c>
      <c r="AP149" s="28">
        <v>0</v>
      </c>
      <c r="AQ149" s="87"/>
      <c r="AR149" s="28">
        <v>0</v>
      </c>
      <c r="AS149" s="28">
        <v>0</v>
      </c>
    </row>
    <row r="150" ht="31.5" customHeight="1" hidden="1">
      <c r="A150" t="s" s="130">
        <v>951</v>
      </c>
      <c r="B150" t="s" s="52">
        <v>165</v>
      </c>
      <c r="C150" t="s" s="130">
        <v>790</v>
      </c>
      <c r="D150" t="s" s="209">
        <v>791</v>
      </c>
      <c r="E150" s="240">
        <v>1051</v>
      </c>
      <c r="F150" t="s" s="210">
        <v>714</v>
      </c>
      <c r="G150" s="211"/>
      <c r="H150" s="42">
        <f>SUM(J150,N150)</f>
        <v>0</v>
      </c>
      <c r="I150" s="207">
        <f>SUM(Q150,S150,U150,W150,Y150,AA150,AC150,AE150,AG150,AI150,AK150,AM150,AO150,AQ150,AS150)</f>
        <v>0</v>
      </c>
      <c r="J150" s="43">
        <f>SUM(P150,R150,T150,V150,X150,Z150,AB150,AD150,AF150,AH150,AJ150,AL150,AN150,AP150,AR150)</f>
        <v>0</v>
      </c>
      <c r="K150" s="44"/>
      <c r="L150" s="6"/>
      <c r="M150" s="6"/>
      <c r="N150" s="14"/>
      <c r="O150" s="122"/>
      <c r="P150" s="27">
        <v>0</v>
      </c>
      <c r="Q150" s="27">
        <v>0</v>
      </c>
      <c r="R150" s="51">
        <v>0</v>
      </c>
      <c r="S150" s="51">
        <v>0</v>
      </c>
      <c r="T150" s="47"/>
      <c r="U150" s="47"/>
      <c r="V150" s="51">
        <v>0</v>
      </c>
      <c r="W150" s="51">
        <v>0</v>
      </c>
      <c r="X150" s="51">
        <v>0</v>
      </c>
      <c r="Y150" s="51">
        <v>0</v>
      </c>
      <c r="Z150" s="48">
        <v>0</v>
      </c>
      <c r="AA150" s="48">
        <v>0</v>
      </c>
      <c r="AB150" s="48">
        <v>0</v>
      </c>
      <c r="AC150" s="48">
        <v>0</v>
      </c>
      <c r="AD150" s="55">
        <v>0</v>
      </c>
      <c r="AE150" s="213">
        <v>0</v>
      </c>
      <c r="AF150" s="212">
        <v>0</v>
      </c>
      <c r="AG150" s="121">
        <v>0</v>
      </c>
      <c r="AH150" s="51">
        <v>0</v>
      </c>
      <c r="AI150" s="51">
        <v>0</v>
      </c>
      <c r="AJ150" s="51">
        <v>0</v>
      </c>
      <c r="AK150" s="51">
        <v>0</v>
      </c>
      <c r="AL150" s="14"/>
      <c r="AM150" s="122"/>
      <c r="AN150" s="51">
        <v>0</v>
      </c>
      <c r="AO150" s="51">
        <v>0</v>
      </c>
      <c r="AP150" s="51">
        <v>0</v>
      </c>
      <c r="AQ150" s="47"/>
      <c r="AR150" s="51">
        <v>0</v>
      </c>
      <c r="AS150" s="51">
        <v>0</v>
      </c>
    </row>
    <row r="151" ht="19.5" customHeight="1" hidden="1">
      <c r="A151" t="s" s="88">
        <v>952</v>
      </c>
      <c r="B151" t="s" s="67">
        <v>166</v>
      </c>
      <c r="C151" s="228"/>
      <c r="D151" s="228"/>
      <c r="E151" s="189"/>
      <c r="F151" s="182">
        <v>0</v>
      </c>
      <c r="G151" s="183"/>
      <c r="H151" s="42">
        <f>SUM(J151,N151)</f>
        <v>0</v>
      </c>
      <c r="I151" s="207">
        <f>SUM(Q151,S151,U151,W151,Y151,AA151,AC151,AE151,AG151,AI151,AK151,AM151,AO151,AQ151,AS151)</f>
        <v>0</v>
      </c>
      <c r="J151" s="43">
        <f>SUM(P151,R151,T151,V151,X151,Z151,AB151,AD151,AF151,AH151,AJ151,AL151,AN151,AP151,AR151)</f>
        <v>0</v>
      </c>
      <c r="K151" s="44"/>
      <c r="L151" s="6"/>
      <c r="M151" s="6"/>
      <c r="N151" s="14"/>
      <c r="O151" s="122"/>
      <c r="P151" s="46"/>
      <c r="Q151" s="46"/>
      <c r="R151" s="47"/>
      <c r="S151" s="47"/>
      <c r="T151" s="47"/>
      <c r="U151" s="47"/>
      <c r="V151" s="47"/>
      <c r="W151" s="47"/>
      <c r="X151" s="47"/>
      <c r="Y151" s="47"/>
      <c r="Z151" s="48">
        <v>0</v>
      </c>
      <c r="AA151" s="48">
        <v>0</v>
      </c>
      <c r="AB151" s="49"/>
      <c r="AC151" s="49"/>
      <c r="AD151" s="50"/>
      <c r="AE151" s="50"/>
      <c r="AF151" s="14"/>
      <c r="AG151" s="122"/>
      <c r="AH151" s="51">
        <v>0</v>
      </c>
      <c r="AI151" s="51">
        <v>0</v>
      </c>
      <c r="AJ151" s="47"/>
      <c r="AK151" s="47"/>
      <c r="AL151" s="14"/>
      <c r="AM151" s="122"/>
      <c r="AN151" s="47"/>
      <c r="AO151" s="47"/>
      <c r="AP151" s="47"/>
      <c r="AQ151" s="47"/>
      <c r="AR151" s="51">
        <v>0</v>
      </c>
      <c r="AS151" s="51">
        <v>0</v>
      </c>
    </row>
    <row r="152" ht="19.5" customHeight="1" hidden="1">
      <c r="A152" t="s" s="130">
        <v>953</v>
      </c>
      <c r="B152" t="s" s="52">
        <v>167</v>
      </c>
      <c r="C152" t="s" s="130">
        <v>954</v>
      </c>
      <c r="D152" t="s" s="209">
        <v>713</v>
      </c>
      <c r="E152" s="189"/>
      <c r="F152" t="s" s="210">
        <v>714</v>
      </c>
      <c r="G152" s="211"/>
      <c r="H152" s="42">
        <f>SUM(J152,N152)</f>
        <v>23350</v>
      </c>
      <c r="I152" s="207">
        <f>SUM(Q152,S152,U152,W152,Y152,AA152,AC152,AE152,AG152,AI152,AK152,AM152,AO152,AQ152,AS152)</f>
        <v>11540</v>
      </c>
      <c r="J152" s="43">
        <f>SUM(P152,R152,T152,V152,X152,Z152,AB152,AD152,AF152,AH152,AJ152,AL152,AN152,AP152,AR152)</f>
        <v>23350</v>
      </c>
      <c r="K152" s="44"/>
      <c r="L152" s="6"/>
      <c r="M152" s="6"/>
      <c r="N152" s="14"/>
      <c r="O152" s="122"/>
      <c r="P152" s="27">
        <v>4000</v>
      </c>
      <c r="Q152" s="27">
        <v>3200</v>
      </c>
      <c r="R152" s="51">
        <v>0</v>
      </c>
      <c r="S152" s="51">
        <v>0</v>
      </c>
      <c r="T152" s="51">
        <v>3000</v>
      </c>
      <c r="U152" s="51">
        <v>0</v>
      </c>
      <c r="V152" s="51">
        <v>12000</v>
      </c>
      <c r="W152" s="51">
        <v>8210</v>
      </c>
      <c r="X152" s="51">
        <v>500</v>
      </c>
      <c r="Y152" s="51">
        <v>130</v>
      </c>
      <c r="Z152" s="48">
        <v>1000</v>
      </c>
      <c r="AA152" s="48">
        <v>0</v>
      </c>
      <c r="AB152" s="48">
        <v>1550</v>
      </c>
      <c r="AC152" s="48">
        <v>0</v>
      </c>
      <c r="AD152" s="55">
        <v>0</v>
      </c>
      <c r="AE152" s="213">
        <v>0</v>
      </c>
      <c r="AF152" s="212">
        <v>1000</v>
      </c>
      <c r="AG152" s="121">
        <v>0</v>
      </c>
      <c r="AH152" s="51">
        <v>0</v>
      </c>
      <c r="AI152" s="51">
        <v>0</v>
      </c>
      <c r="AJ152" s="51">
        <v>300</v>
      </c>
      <c r="AK152" s="51">
        <v>0</v>
      </c>
      <c r="AL152" s="14"/>
      <c r="AM152" s="122"/>
      <c r="AN152" s="51">
        <v>0</v>
      </c>
      <c r="AO152" s="51">
        <v>0</v>
      </c>
      <c r="AP152" s="51">
        <v>0</v>
      </c>
      <c r="AQ152" s="47"/>
      <c r="AR152" s="51">
        <v>0</v>
      </c>
      <c r="AS152" s="51">
        <v>0</v>
      </c>
    </row>
    <row r="153" ht="362.25" customHeight="1" hidden="1">
      <c r="A153" t="s" s="241">
        <v>955</v>
      </c>
      <c r="B153" t="s" s="78">
        <v>168</v>
      </c>
      <c r="C153" t="s" s="241">
        <v>954</v>
      </c>
      <c r="D153" t="s" s="242">
        <v>713</v>
      </c>
      <c r="E153" t="s" s="243">
        <v>956</v>
      </c>
      <c r="F153" t="s" s="244">
        <v>853</v>
      </c>
      <c r="G153" s="211"/>
      <c r="H153" s="42">
        <f>SUM(J153,N153)</f>
        <v>1100</v>
      </c>
      <c r="I153" s="207">
        <f>SUM(Q153,S153,U153,W153,Y153,AA153,AC153,AE153,AG153,AI153,AK153,AM153,AO153,AQ153,AS153)</f>
        <v>0</v>
      </c>
      <c r="J153" s="43">
        <f>SUM(P153,R153,T153,V153,X153,Z153,AB153,AD153,AF153,AH153,AJ153,AL153,AN153,AP153,AR153)</f>
        <v>1100</v>
      </c>
      <c r="K153" s="44"/>
      <c r="L153" s="6"/>
      <c r="M153" s="6"/>
      <c r="N153" s="14"/>
      <c r="O153" s="122"/>
      <c r="P153" s="27">
        <v>0</v>
      </c>
      <c r="Q153" s="27">
        <v>0</v>
      </c>
      <c r="R153" s="51">
        <v>0</v>
      </c>
      <c r="S153" s="51">
        <v>0</v>
      </c>
      <c r="T153" s="51">
        <v>600</v>
      </c>
      <c r="U153" s="51">
        <v>0</v>
      </c>
      <c r="V153" s="51">
        <v>500</v>
      </c>
      <c r="W153" s="51">
        <v>0</v>
      </c>
      <c r="X153" s="51">
        <v>0</v>
      </c>
      <c r="Y153" s="51">
        <v>0</v>
      </c>
      <c r="Z153" s="48">
        <v>0</v>
      </c>
      <c r="AA153" s="48">
        <v>0</v>
      </c>
      <c r="AB153" s="48">
        <v>0</v>
      </c>
      <c r="AC153" s="48">
        <v>0</v>
      </c>
      <c r="AD153" s="55">
        <v>0</v>
      </c>
      <c r="AE153" s="213">
        <v>0</v>
      </c>
      <c r="AF153" s="212">
        <v>0</v>
      </c>
      <c r="AG153" s="121">
        <v>0</v>
      </c>
      <c r="AH153" s="51">
        <v>0</v>
      </c>
      <c r="AI153" s="51">
        <v>0</v>
      </c>
      <c r="AJ153" s="51">
        <v>0</v>
      </c>
      <c r="AK153" s="51">
        <v>0</v>
      </c>
      <c r="AL153" s="14"/>
      <c r="AM153" s="122"/>
      <c r="AN153" s="51">
        <v>0</v>
      </c>
      <c r="AO153" s="51">
        <v>0</v>
      </c>
      <c r="AP153" s="51">
        <v>0</v>
      </c>
      <c r="AQ153" s="47"/>
      <c r="AR153" s="51">
        <v>0</v>
      </c>
      <c r="AS153" s="51">
        <v>0</v>
      </c>
    </row>
    <row r="154" ht="346.5" customHeight="1" hidden="1">
      <c r="A154" t="s" s="103">
        <v>957</v>
      </c>
      <c r="B154" t="s" s="10">
        <v>169</v>
      </c>
      <c r="C154" t="s" s="103">
        <v>954</v>
      </c>
      <c r="D154" t="s" s="66">
        <v>713</v>
      </c>
      <c r="E154" t="s" s="245">
        <v>958</v>
      </c>
      <c r="F154" t="s" s="101">
        <v>853</v>
      </c>
      <c r="G154" s="203"/>
      <c r="H154" s="204">
        <f>SUM(J154,N154)</f>
        <v>500</v>
      </c>
      <c r="I154" s="205">
        <f>SUM(Q154,S154,U154,W154,Y154,AA154,AC154,AE154,AG154,AI154,AK154,AM154,AO154,AQ154,AS154)</f>
        <v>0</v>
      </c>
      <c r="J154" s="35">
        <f>SUM(P154,R154,T154,V154,X154,Z154,AB154,AD154,AF154,AH154,AJ154,AL154,AN154,AP154,AR154)</f>
        <v>500</v>
      </c>
      <c r="K154" s="36"/>
      <c r="L154" s="196"/>
      <c r="M154" s="196"/>
      <c r="N154" s="196"/>
      <c r="O154" s="197"/>
      <c r="P154" s="27">
        <v>200</v>
      </c>
      <c r="Q154" s="27">
        <v>0</v>
      </c>
      <c r="R154" s="38">
        <v>0</v>
      </c>
      <c r="S154" s="38">
        <v>0</v>
      </c>
      <c r="T154" s="38">
        <v>300</v>
      </c>
      <c r="U154" s="38">
        <v>0</v>
      </c>
      <c r="V154" s="38">
        <v>0</v>
      </c>
      <c r="W154" s="38">
        <v>0</v>
      </c>
      <c r="X154" s="38">
        <v>0</v>
      </c>
      <c r="Y154" s="38">
        <v>0</v>
      </c>
      <c r="Z154" s="79"/>
      <c r="AA154" s="79"/>
      <c r="AB154" s="40">
        <v>0</v>
      </c>
      <c r="AC154" s="40">
        <v>0</v>
      </c>
      <c r="AD154" s="40">
        <v>0</v>
      </c>
      <c r="AE154" s="40">
        <v>0</v>
      </c>
      <c r="AF154" s="198">
        <v>0</v>
      </c>
      <c r="AG154" s="206">
        <v>0</v>
      </c>
      <c r="AH154" s="38">
        <v>0</v>
      </c>
      <c r="AI154" s="38">
        <v>0</v>
      </c>
      <c r="AJ154" s="38">
        <v>0</v>
      </c>
      <c r="AK154" s="80"/>
      <c r="AL154" s="202"/>
      <c r="AM154" s="197"/>
      <c r="AN154" s="80"/>
      <c r="AO154" s="80"/>
      <c r="AP154" s="38">
        <v>0</v>
      </c>
      <c r="AQ154" s="80"/>
      <c r="AR154" s="80"/>
      <c r="AS154" s="80"/>
    </row>
    <row r="155" ht="19.5" customHeight="1" hidden="1">
      <c r="A155" t="s" s="130">
        <v>959</v>
      </c>
      <c r="B155" t="s" s="52">
        <v>170</v>
      </c>
      <c r="C155" t="s" s="130">
        <v>954</v>
      </c>
      <c r="D155" t="s" s="209">
        <v>713</v>
      </c>
      <c r="E155" s="189"/>
      <c r="F155" t="s" s="210">
        <v>714</v>
      </c>
      <c r="G155" s="211"/>
      <c r="H155" s="42">
        <f>SUM(J155,N155)</f>
        <v>600</v>
      </c>
      <c r="I155" s="207">
        <f>SUM(Q155,S155,U155,W155,Y155,AA155,AC155,AE155,AG155,AI155,AK155,AM155,AO155,AQ155,AS155)</f>
        <v>0</v>
      </c>
      <c r="J155" s="43">
        <f>SUM(P155,R155,T155,V155,X155,Z155,AB155,AD155,AF155,AH155,AJ155,AL155,AN155,AP155,AR155)</f>
        <v>600</v>
      </c>
      <c r="K155" s="44"/>
      <c r="L155" s="6"/>
      <c r="M155" s="6"/>
      <c r="N155" s="14"/>
      <c r="O155" s="122"/>
      <c r="P155" s="27">
        <v>500</v>
      </c>
      <c r="Q155" s="27">
        <v>0</v>
      </c>
      <c r="R155" s="51">
        <v>0</v>
      </c>
      <c r="S155" s="51">
        <v>0</v>
      </c>
      <c r="T155" s="51">
        <v>0</v>
      </c>
      <c r="U155" s="51">
        <v>0</v>
      </c>
      <c r="V155" s="51">
        <v>100</v>
      </c>
      <c r="W155" s="51">
        <v>0</v>
      </c>
      <c r="X155" s="51">
        <v>0</v>
      </c>
      <c r="Y155" s="51">
        <v>0</v>
      </c>
      <c r="Z155" s="48">
        <v>0</v>
      </c>
      <c r="AA155" s="48">
        <v>0</v>
      </c>
      <c r="AB155" s="48">
        <v>0</v>
      </c>
      <c r="AC155" s="48">
        <v>0</v>
      </c>
      <c r="AD155" s="55">
        <v>0</v>
      </c>
      <c r="AE155" s="213">
        <v>0</v>
      </c>
      <c r="AF155" s="212">
        <v>0</v>
      </c>
      <c r="AG155" s="121">
        <v>0</v>
      </c>
      <c r="AH155" s="51">
        <v>0</v>
      </c>
      <c r="AI155" s="51">
        <v>0</v>
      </c>
      <c r="AJ155" s="51">
        <v>0</v>
      </c>
      <c r="AK155" s="51">
        <v>0</v>
      </c>
      <c r="AL155" s="14"/>
      <c r="AM155" s="122"/>
      <c r="AN155" s="51">
        <v>0</v>
      </c>
      <c r="AO155" s="51">
        <v>0</v>
      </c>
      <c r="AP155" s="51">
        <v>0</v>
      </c>
      <c r="AQ155" s="47"/>
      <c r="AR155" s="51">
        <v>0</v>
      </c>
      <c r="AS155" s="51">
        <v>0</v>
      </c>
    </row>
    <row r="156" ht="31.5" customHeight="1" hidden="1">
      <c r="A156" t="s" s="130">
        <v>960</v>
      </c>
      <c r="B156" t="s" s="52">
        <v>171</v>
      </c>
      <c r="C156" t="s" s="130">
        <v>961</v>
      </c>
      <c r="D156" t="s" s="209">
        <v>713</v>
      </c>
      <c r="E156" s="182">
        <v>1012</v>
      </c>
      <c r="F156" t="s" s="210">
        <v>720</v>
      </c>
      <c r="G156" s="211"/>
      <c r="H156" s="42">
        <f>SUM(J156,N156)</f>
        <v>41000</v>
      </c>
      <c r="I156" s="207">
        <f>SUM(Q156,S156,U156,W156,Y156,AA156,AC156,AE156,AG156,AI156,AK156,AM156,AO156,AQ156,AS156)</f>
        <v>16010</v>
      </c>
      <c r="J156" s="43">
        <f>SUM(P156,R156,T156,V156,X156,Z156,AB156,AD156,AF156,AH156,AJ156,AL156,AN156,AP156,AR156)</f>
        <v>41000</v>
      </c>
      <c r="K156" s="44"/>
      <c r="L156" s="6"/>
      <c r="M156" s="6"/>
      <c r="N156" s="14"/>
      <c r="O156" s="122"/>
      <c r="P156" s="27">
        <v>10000</v>
      </c>
      <c r="Q156" s="27">
        <v>8010</v>
      </c>
      <c r="R156" s="51">
        <v>0</v>
      </c>
      <c r="S156" s="51">
        <v>0</v>
      </c>
      <c r="T156" s="51">
        <v>5000</v>
      </c>
      <c r="U156" s="51">
        <v>2000</v>
      </c>
      <c r="V156" s="51">
        <v>6000</v>
      </c>
      <c r="W156" s="51">
        <v>1000</v>
      </c>
      <c r="X156" s="51">
        <v>0</v>
      </c>
      <c r="Y156" s="51">
        <v>0</v>
      </c>
      <c r="Z156" s="48">
        <v>0</v>
      </c>
      <c r="AA156" s="48">
        <v>0</v>
      </c>
      <c r="AB156" s="48">
        <v>0</v>
      </c>
      <c r="AC156" s="48">
        <v>0</v>
      </c>
      <c r="AD156" s="55">
        <v>0</v>
      </c>
      <c r="AE156" s="213">
        <v>0</v>
      </c>
      <c r="AF156" s="212">
        <v>0</v>
      </c>
      <c r="AG156" s="121">
        <v>0</v>
      </c>
      <c r="AH156" s="51">
        <v>0</v>
      </c>
      <c r="AI156" s="51">
        <v>0</v>
      </c>
      <c r="AJ156" s="51">
        <v>10000</v>
      </c>
      <c r="AK156" s="51">
        <v>2000</v>
      </c>
      <c r="AL156" s="73">
        <v>10000</v>
      </c>
      <c r="AM156" s="73">
        <v>3000</v>
      </c>
      <c r="AN156" s="51">
        <v>0</v>
      </c>
      <c r="AO156" s="51">
        <v>0</v>
      </c>
      <c r="AP156" s="51">
        <v>0</v>
      </c>
      <c r="AQ156" s="47"/>
      <c r="AR156" s="51">
        <v>0</v>
      </c>
      <c r="AS156" s="51">
        <v>0</v>
      </c>
    </row>
    <row r="157" ht="136.5" customHeight="1" hidden="1">
      <c r="A157" t="s" s="103">
        <v>962</v>
      </c>
      <c r="B157" t="s" s="10">
        <v>172</v>
      </c>
      <c r="C157" t="s" s="103">
        <v>716</v>
      </c>
      <c r="D157" t="s" s="66">
        <v>717</v>
      </c>
      <c r="E157" t="s" s="219">
        <v>963</v>
      </c>
      <c r="F157" t="s" s="101">
        <v>714</v>
      </c>
      <c r="G157" s="203"/>
      <c r="H157" s="204">
        <f>SUM(J157,N157)</f>
        <v>5715</v>
      </c>
      <c r="I157" s="205">
        <f>SUM(Q157,S157,U157,W157,Y157,AA157,AC157,AE157,AG157,AI157,AK157,AM157,AO157,AQ157,AS157)</f>
        <v>740</v>
      </c>
      <c r="J157" s="35">
        <f>SUM(P157,R157,T157,V157,X157,Z157,AB157,AD157,AF157,AH157,AJ157,AL157,AN157,AP157,AR157)</f>
        <v>5715</v>
      </c>
      <c r="K157" s="36"/>
      <c r="L157" s="196"/>
      <c r="M157" s="196"/>
      <c r="N157" s="196"/>
      <c r="O157" s="197"/>
      <c r="P157" s="27">
        <v>4000</v>
      </c>
      <c r="Q157" s="27">
        <v>320</v>
      </c>
      <c r="R157" s="38">
        <v>1000</v>
      </c>
      <c r="S157" s="38">
        <v>360</v>
      </c>
      <c r="T157" s="38">
        <v>100</v>
      </c>
      <c r="U157" s="38">
        <v>20</v>
      </c>
      <c r="V157" s="38">
        <v>600</v>
      </c>
      <c r="W157" s="38">
        <v>30</v>
      </c>
      <c r="X157" s="38">
        <v>15</v>
      </c>
      <c r="Y157" s="38">
        <v>10</v>
      </c>
      <c r="Z157" s="40">
        <v>0</v>
      </c>
      <c r="AA157" s="40">
        <v>0</v>
      </c>
      <c r="AB157" s="40">
        <v>0</v>
      </c>
      <c r="AC157" s="40">
        <v>0</v>
      </c>
      <c r="AD157" s="40">
        <v>0</v>
      </c>
      <c r="AE157" s="40">
        <v>0</v>
      </c>
      <c r="AF157" s="198">
        <v>0</v>
      </c>
      <c r="AG157" s="206">
        <v>0</v>
      </c>
      <c r="AH157" s="38">
        <v>0</v>
      </c>
      <c r="AI157" s="38">
        <v>0</v>
      </c>
      <c r="AJ157" s="38">
        <v>0</v>
      </c>
      <c r="AK157" s="38">
        <v>0</v>
      </c>
      <c r="AL157" s="202"/>
      <c r="AM157" s="197"/>
      <c r="AN157" s="38">
        <v>0</v>
      </c>
      <c r="AO157" s="38">
        <v>0</v>
      </c>
      <c r="AP157" s="38">
        <v>0</v>
      </c>
      <c r="AQ157" s="80"/>
      <c r="AR157" s="38">
        <v>0</v>
      </c>
      <c r="AS157" s="38">
        <v>0</v>
      </c>
    </row>
    <row r="158" ht="19.5" customHeight="1" hidden="1">
      <c r="A158" t="s" s="130">
        <v>964</v>
      </c>
      <c r="B158" t="s" s="52">
        <v>173</v>
      </c>
      <c r="C158" t="s" s="130">
        <v>954</v>
      </c>
      <c r="D158" t="s" s="209">
        <v>713</v>
      </c>
      <c r="E158" s="189"/>
      <c r="F158" t="s" s="210">
        <v>714</v>
      </c>
      <c r="G158" s="211"/>
      <c r="H158" s="42">
        <f>SUM(J158,N158)</f>
        <v>5250</v>
      </c>
      <c r="I158" s="207">
        <f>SUM(Q158,S158,U158,W158,Y158,AA158,AC158,AE158,AG158,AI158,AK158,AM158,AO158,AQ158,AS158)</f>
        <v>340</v>
      </c>
      <c r="J158" s="43">
        <f>SUM(P158,R158,T158,V158,X158,Z158,AB158,AD158,AF158,AH158,AJ158,AL158,AN158,AP158,AR158)</f>
        <v>5250</v>
      </c>
      <c r="K158" s="44"/>
      <c r="L158" s="6"/>
      <c r="M158" s="6"/>
      <c r="N158" s="14"/>
      <c r="O158" s="122"/>
      <c r="P158" s="27">
        <v>400</v>
      </c>
      <c r="Q158" s="27">
        <v>320</v>
      </c>
      <c r="R158" s="51">
        <v>0</v>
      </c>
      <c r="S158" s="51">
        <v>0</v>
      </c>
      <c r="T158" s="51">
        <v>0</v>
      </c>
      <c r="U158" s="51">
        <v>0</v>
      </c>
      <c r="V158" s="51">
        <v>600</v>
      </c>
      <c r="W158" s="51">
        <v>20</v>
      </c>
      <c r="X158" s="51">
        <v>0</v>
      </c>
      <c r="Y158" s="51">
        <v>0</v>
      </c>
      <c r="Z158" s="48">
        <v>500</v>
      </c>
      <c r="AA158" s="48">
        <v>0</v>
      </c>
      <c r="AB158" s="48">
        <v>750</v>
      </c>
      <c r="AC158" s="48">
        <v>0</v>
      </c>
      <c r="AD158" s="55">
        <v>0</v>
      </c>
      <c r="AE158" s="213">
        <v>0</v>
      </c>
      <c r="AF158" s="212">
        <v>3000</v>
      </c>
      <c r="AG158" s="121">
        <v>0</v>
      </c>
      <c r="AH158" s="51">
        <v>0</v>
      </c>
      <c r="AI158" s="51">
        <v>0</v>
      </c>
      <c r="AJ158" s="51">
        <v>0</v>
      </c>
      <c r="AK158" s="51">
        <v>0</v>
      </c>
      <c r="AL158" s="14"/>
      <c r="AM158" s="122"/>
      <c r="AN158" s="51">
        <v>0</v>
      </c>
      <c r="AO158" s="51">
        <v>0</v>
      </c>
      <c r="AP158" s="51">
        <v>0</v>
      </c>
      <c r="AQ158" s="47"/>
      <c r="AR158" s="51">
        <v>0</v>
      </c>
      <c r="AS158" s="51">
        <v>0</v>
      </c>
    </row>
    <row r="159" ht="31.5" customHeight="1" hidden="1">
      <c r="A159" t="s" s="214">
        <v>965</v>
      </c>
      <c r="B159" t="s" s="21">
        <v>174</v>
      </c>
      <c r="C159" t="s" s="59">
        <v>966</v>
      </c>
      <c r="D159" t="s" s="190">
        <v>717</v>
      </c>
      <c r="E159" t="s" s="216">
        <v>967</v>
      </c>
      <c r="F159" t="s" s="192">
        <v>714</v>
      </c>
      <c r="G159" s="193"/>
      <c r="H159" s="194">
        <f>SUM(J159,N159)</f>
        <v>2370</v>
      </c>
      <c r="I159" s="195">
        <f>SUM(Q159,S159,U159,W159,Y159,AA159,AC159,AE159,AG159,AI159,AK159,AM159,AO159,AQ159,AS159)</f>
        <v>50</v>
      </c>
      <c r="J159" s="23">
        <f>SUM(P159,R159,T159,V159,X159,Z159,AB159,AD159,AF159,AH159,AJ159,AL159,AN159,AP159,AR159)</f>
        <v>2370</v>
      </c>
      <c r="K159" s="36"/>
      <c r="L159" s="196"/>
      <c r="M159" s="196"/>
      <c r="N159" s="196"/>
      <c r="O159" s="197"/>
      <c r="P159" s="27">
        <v>2000</v>
      </c>
      <c r="Q159" s="27">
        <v>40</v>
      </c>
      <c r="R159" s="28">
        <v>100</v>
      </c>
      <c r="S159" s="28">
        <v>0</v>
      </c>
      <c r="T159" s="28">
        <v>70</v>
      </c>
      <c r="U159" s="28">
        <v>5</v>
      </c>
      <c r="V159" s="28">
        <v>200</v>
      </c>
      <c r="W159" s="28">
        <v>5</v>
      </c>
      <c r="X159" s="28">
        <v>0</v>
      </c>
      <c r="Y159" s="28">
        <v>0</v>
      </c>
      <c r="Z159" s="30">
        <v>0</v>
      </c>
      <c r="AA159" s="30">
        <v>0</v>
      </c>
      <c r="AB159" s="30">
        <v>0</v>
      </c>
      <c r="AC159" s="30">
        <v>0</v>
      </c>
      <c r="AD159" s="30">
        <v>0</v>
      </c>
      <c r="AE159" s="30">
        <v>0</v>
      </c>
      <c r="AF159" s="198">
        <v>0</v>
      </c>
      <c r="AG159" s="206">
        <v>0</v>
      </c>
      <c r="AH159" s="28">
        <v>0</v>
      </c>
      <c r="AI159" s="28">
        <v>0</v>
      </c>
      <c r="AJ159" s="28">
        <v>0</v>
      </c>
      <c r="AK159" s="28">
        <v>0</v>
      </c>
      <c r="AL159" s="202"/>
      <c r="AM159" s="197"/>
      <c r="AN159" s="28">
        <v>0</v>
      </c>
      <c r="AO159" s="28">
        <v>0</v>
      </c>
      <c r="AP159" s="28">
        <v>0</v>
      </c>
      <c r="AQ159" s="87"/>
      <c r="AR159" s="28">
        <v>0</v>
      </c>
      <c r="AS159" s="28">
        <v>0</v>
      </c>
    </row>
    <row r="160" ht="31.5" customHeight="1" hidden="1">
      <c r="A160" t="s" s="59">
        <v>968</v>
      </c>
      <c r="B160" t="s" s="21">
        <v>175</v>
      </c>
      <c r="C160" t="s" s="59">
        <v>954</v>
      </c>
      <c r="D160" t="s" s="190">
        <v>713</v>
      </c>
      <c r="E160" s="215">
        <v>1012</v>
      </c>
      <c r="F160" t="s" s="192">
        <v>714</v>
      </c>
      <c r="G160" s="193"/>
      <c r="H160" s="194">
        <f>SUM(J160,N160)</f>
        <v>8700</v>
      </c>
      <c r="I160" s="195">
        <f>SUM(Q160,S160,U160,W160,Y160,AA160,AC160,AE160,AG160,AI160,AK160,AM160,AO160,AQ160,AS160)</f>
        <v>5260</v>
      </c>
      <c r="J160" s="23">
        <f>SUM(P160,R160,T160,V160,X160,Z160,AB160,AD160,AF160,AH160,AJ160,AL160,AN160,AP160,AR160)</f>
        <v>8700</v>
      </c>
      <c r="K160" s="36"/>
      <c r="L160" s="196"/>
      <c r="M160" s="196"/>
      <c r="N160" s="196"/>
      <c r="O160" s="197"/>
      <c r="P160" s="27">
        <v>7000</v>
      </c>
      <c r="Q160" s="27">
        <v>3760</v>
      </c>
      <c r="R160" s="28">
        <v>0</v>
      </c>
      <c r="S160" s="28">
        <v>0</v>
      </c>
      <c r="T160" s="28">
        <v>0</v>
      </c>
      <c r="U160" s="28">
        <v>0</v>
      </c>
      <c r="V160" s="28">
        <v>200</v>
      </c>
      <c r="W160" s="28">
        <v>0</v>
      </c>
      <c r="X160" s="28">
        <v>1500</v>
      </c>
      <c r="Y160" s="28">
        <v>1500</v>
      </c>
      <c r="Z160" s="30">
        <v>0</v>
      </c>
      <c r="AA160" s="30">
        <v>0</v>
      </c>
      <c r="AB160" s="30">
        <v>0</v>
      </c>
      <c r="AC160" s="30">
        <v>0</v>
      </c>
      <c r="AD160" s="30">
        <v>0</v>
      </c>
      <c r="AE160" s="30">
        <v>0</v>
      </c>
      <c r="AF160" s="198">
        <v>0</v>
      </c>
      <c r="AG160" s="206">
        <v>0</v>
      </c>
      <c r="AH160" s="28">
        <v>0</v>
      </c>
      <c r="AI160" s="28">
        <v>0</v>
      </c>
      <c r="AJ160" s="28">
        <v>0</v>
      </c>
      <c r="AK160" s="28">
        <v>0</v>
      </c>
      <c r="AL160" s="202"/>
      <c r="AM160" s="197"/>
      <c r="AN160" s="28">
        <v>0</v>
      </c>
      <c r="AO160" s="28">
        <v>0</v>
      </c>
      <c r="AP160" s="28">
        <v>0</v>
      </c>
      <c r="AQ160" s="87"/>
      <c r="AR160" s="28">
        <v>0</v>
      </c>
      <c r="AS160" s="28">
        <v>0</v>
      </c>
    </row>
    <row r="161" ht="47.25" customHeight="1" hidden="1">
      <c r="A161" t="s" s="220">
        <v>969</v>
      </c>
      <c r="B161" t="s" s="52">
        <v>176</v>
      </c>
      <c r="C161" t="s" s="130">
        <v>800</v>
      </c>
      <c r="D161" t="s" s="209">
        <v>717</v>
      </c>
      <c r="E161" s="189"/>
      <c r="F161" t="s" s="210">
        <v>714</v>
      </c>
      <c r="G161" s="211"/>
      <c r="H161" s="42">
        <f>SUM(J161,N161)</f>
        <v>100</v>
      </c>
      <c r="I161" s="207">
        <f>SUM(Q161,S161,U161,W161,Y161,AA161,AC161,AE161,AG161,AI161,AK161,AM161,AO161,AQ161,AS161)</f>
        <v>0</v>
      </c>
      <c r="J161" s="43">
        <f>SUM(P161,R161,T161,V161,X161,Z161,AB161,AD161,AF161,AH161,AJ161,AL161,AN161,AP161,AR161)</f>
        <v>100</v>
      </c>
      <c r="K161" s="44"/>
      <c r="L161" s="6"/>
      <c r="M161" s="6"/>
      <c r="N161" s="14"/>
      <c r="O161" s="122"/>
      <c r="P161" s="27">
        <v>100</v>
      </c>
      <c r="Q161" s="27">
        <v>0</v>
      </c>
      <c r="R161" s="51">
        <v>0</v>
      </c>
      <c r="S161" s="51">
        <v>0</v>
      </c>
      <c r="T161" s="51">
        <v>0</v>
      </c>
      <c r="U161" s="51">
        <v>0</v>
      </c>
      <c r="V161" s="51">
        <v>0</v>
      </c>
      <c r="W161" s="51">
        <v>0</v>
      </c>
      <c r="X161" s="51">
        <v>0</v>
      </c>
      <c r="Y161" s="51">
        <v>0</v>
      </c>
      <c r="Z161" s="48">
        <v>0</v>
      </c>
      <c r="AA161" s="48">
        <v>0</v>
      </c>
      <c r="AB161" s="48">
        <v>0</v>
      </c>
      <c r="AC161" s="48">
        <v>0</v>
      </c>
      <c r="AD161" s="55">
        <v>0</v>
      </c>
      <c r="AE161" s="213">
        <v>0</v>
      </c>
      <c r="AF161" s="212">
        <v>0</v>
      </c>
      <c r="AG161" s="121">
        <v>0</v>
      </c>
      <c r="AH161" s="51">
        <v>0</v>
      </c>
      <c r="AI161" s="51">
        <v>0</v>
      </c>
      <c r="AJ161" s="51">
        <v>0</v>
      </c>
      <c r="AK161" s="51">
        <v>0</v>
      </c>
      <c r="AL161" s="14"/>
      <c r="AM161" s="122"/>
      <c r="AN161" s="51">
        <v>0</v>
      </c>
      <c r="AO161" s="51">
        <v>0</v>
      </c>
      <c r="AP161" s="51">
        <v>0</v>
      </c>
      <c r="AQ161" s="47"/>
      <c r="AR161" s="51">
        <v>0</v>
      </c>
      <c r="AS161" s="51">
        <v>0</v>
      </c>
    </row>
    <row r="162" ht="31.5" customHeight="1" hidden="1">
      <c r="A162" t="s" s="130">
        <v>970</v>
      </c>
      <c r="B162" t="s" s="52">
        <v>177</v>
      </c>
      <c r="C162" t="s" s="130">
        <v>971</v>
      </c>
      <c r="D162" t="s" s="209">
        <v>791</v>
      </c>
      <c r="E162" s="189"/>
      <c r="F162" t="s" s="210">
        <v>714</v>
      </c>
      <c r="G162" s="211"/>
      <c r="H162" s="42">
        <f>SUM(J162,N162)</f>
        <v>530</v>
      </c>
      <c r="I162" s="207">
        <f>SUM(Q162,S162,U162,W162,Y162,AA162,AC162,AE162,AG162,AI162,AK162,AM162,AO162,AQ162,AS162)</f>
        <v>74</v>
      </c>
      <c r="J162" s="43">
        <f>SUM(P162,R162,T162,V162,X162,Z162,AB162,AD162,AF162,AH162,AJ162,AL162,AN162,AP162,AR162)</f>
        <v>530</v>
      </c>
      <c r="K162" s="44"/>
      <c r="L162" s="6"/>
      <c r="M162" s="6"/>
      <c r="N162" s="14"/>
      <c r="O162" s="122"/>
      <c r="P162" s="27">
        <v>20</v>
      </c>
      <c r="Q162" s="27">
        <v>0</v>
      </c>
      <c r="R162" s="51">
        <v>100</v>
      </c>
      <c r="S162" s="51">
        <v>44</v>
      </c>
      <c r="T162" s="51">
        <v>400</v>
      </c>
      <c r="U162" s="51">
        <v>0</v>
      </c>
      <c r="V162" s="51">
        <v>10</v>
      </c>
      <c r="W162" s="51">
        <v>30</v>
      </c>
      <c r="X162" s="51">
        <v>0</v>
      </c>
      <c r="Y162" s="51">
        <v>0</v>
      </c>
      <c r="Z162" s="48">
        <v>0</v>
      </c>
      <c r="AA162" s="48">
        <v>0</v>
      </c>
      <c r="AB162" s="48">
        <v>0</v>
      </c>
      <c r="AC162" s="48">
        <v>0</v>
      </c>
      <c r="AD162" s="55">
        <v>0</v>
      </c>
      <c r="AE162" s="213">
        <v>0</v>
      </c>
      <c r="AF162" s="212">
        <v>0</v>
      </c>
      <c r="AG162" s="121">
        <v>0</v>
      </c>
      <c r="AH162" s="51">
        <v>0</v>
      </c>
      <c r="AI162" s="51">
        <v>0</v>
      </c>
      <c r="AJ162" s="51">
        <v>0</v>
      </c>
      <c r="AK162" s="51">
        <v>0</v>
      </c>
      <c r="AL162" s="14"/>
      <c r="AM162" s="122"/>
      <c r="AN162" s="51">
        <v>0</v>
      </c>
      <c r="AO162" s="51">
        <v>0</v>
      </c>
      <c r="AP162" s="51">
        <v>0</v>
      </c>
      <c r="AQ162" s="47"/>
      <c r="AR162" s="51">
        <v>0</v>
      </c>
      <c r="AS162" s="51">
        <v>0</v>
      </c>
    </row>
    <row r="163" ht="156" customHeight="1" hidden="1">
      <c r="A163" t="s" s="59">
        <v>972</v>
      </c>
      <c r="B163" t="s" s="21">
        <v>178</v>
      </c>
      <c r="C163" t="s" s="59">
        <v>790</v>
      </c>
      <c r="D163" t="s" s="190">
        <v>791</v>
      </c>
      <c r="E163" t="s" s="216">
        <v>973</v>
      </c>
      <c r="F163" t="s" s="192">
        <v>714</v>
      </c>
      <c r="G163" s="193"/>
      <c r="H163" s="194">
        <f>SUM(J163,N163)</f>
        <v>670</v>
      </c>
      <c r="I163" s="195">
        <f>SUM(Q163,S163,U163,W163,Y163,AA163,AC163,AE163,AG163,AI163,AK163,AM163,AO163,AQ163,AS163)</f>
        <v>0</v>
      </c>
      <c r="J163" s="23">
        <f>SUM(P163,R163,T163,V163,X163,Z163,AB163,AD163,AF163,AH163,AJ163,AL163,AN163,AP163,AR163)</f>
        <v>670</v>
      </c>
      <c r="K163" s="36"/>
      <c r="L163" s="196"/>
      <c r="M163" s="196"/>
      <c r="N163" s="196"/>
      <c r="O163" s="197"/>
      <c r="P163" s="27">
        <v>500</v>
      </c>
      <c r="Q163" s="27">
        <v>0</v>
      </c>
      <c r="R163" s="28">
        <v>100</v>
      </c>
      <c r="S163" s="28">
        <v>0</v>
      </c>
      <c r="T163" s="28">
        <v>50</v>
      </c>
      <c r="U163" s="28">
        <v>0</v>
      </c>
      <c r="V163" s="28">
        <v>20</v>
      </c>
      <c r="W163" s="28">
        <v>0</v>
      </c>
      <c r="X163" s="28">
        <v>0</v>
      </c>
      <c r="Y163" s="28">
        <v>0</v>
      </c>
      <c r="Z163" s="30">
        <v>0</v>
      </c>
      <c r="AA163" s="30">
        <v>0</v>
      </c>
      <c r="AB163" s="30">
        <v>0</v>
      </c>
      <c r="AC163" s="30">
        <v>0</v>
      </c>
      <c r="AD163" s="30">
        <v>0</v>
      </c>
      <c r="AE163" s="30">
        <v>0</v>
      </c>
      <c r="AF163" s="198">
        <v>0</v>
      </c>
      <c r="AG163" s="206">
        <v>0</v>
      </c>
      <c r="AH163" s="28">
        <v>0</v>
      </c>
      <c r="AI163" s="28">
        <v>0</v>
      </c>
      <c r="AJ163" s="28">
        <v>0</v>
      </c>
      <c r="AK163" s="28">
        <v>0</v>
      </c>
      <c r="AL163" s="202"/>
      <c r="AM163" s="197"/>
      <c r="AN163" s="28">
        <v>0</v>
      </c>
      <c r="AO163" s="28">
        <v>0</v>
      </c>
      <c r="AP163" s="28">
        <v>0</v>
      </c>
      <c r="AQ163" s="87"/>
      <c r="AR163" s="28">
        <v>0</v>
      </c>
      <c r="AS163" s="28">
        <v>0</v>
      </c>
    </row>
    <row r="164" ht="39" customHeight="1" hidden="1">
      <c r="A164" t="s" s="130">
        <v>974</v>
      </c>
      <c r="B164" t="s" s="71">
        <v>179</v>
      </c>
      <c r="C164" t="s" s="130">
        <v>954</v>
      </c>
      <c r="D164" t="s" s="209">
        <v>713</v>
      </c>
      <c r="E164" t="s" s="217">
        <v>975</v>
      </c>
      <c r="F164" t="s" s="210">
        <v>714</v>
      </c>
      <c r="G164" s="211"/>
      <c r="H164" s="42">
        <f>SUM(J164,N164)</f>
        <v>1000</v>
      </c>
      <c r="I164" s="207">
        <f>SUM(Q164,S164,U164,W164,Y164,AA164,AC164,AE164,AG164,AI164,AK164,AM164,AO164,AQ164,AS164)</f>
        <v>0</v>
      </c>
      <c r="J164" s="43">
        <f>SUM(P164,R164,T164,V164,X164,Z164,AB164,AD164,AF164,AH164,AJ164,AL164,AN164,AP164,AR164)</f>
        <v>1000</v>
      </c>
      <c r="K164" s="44"/>
      <c r="L164" s="6"/>
      <c r="M164" s="6"/>
      <c r="N164" s="14"/>
      <c r="O164" s="122"/>
      <c r="P164" s="27">
        <v>1000</v>
      </c>
      <c r="Q164" s="27">
        <v>0</v>
      </c>
      <c r="R164" s="51">
        <v>0</v>
      </c>
      <c r="S164" s="51">
        <v>0</v>
      </c>
      <c r="T164" s="51">
        <v>0</v>
      </c>
      <c r="U164" s="51">
        <v>0</v>
      </c>
      <c r="V164" s="51">
        <v>0</v>
      </c>
      <c r="W164" s="51">
        <v>0</v>
      </c>
      <c r="X164" s="51">
        <v>0</v>
      </c>
      <c r="Y164" s="51">
        <v>0</v>
      </c>
      <c r="Z164" s="48">
        <v>0</v>
      </c>
      <c r="AA164" s="48">
        <v>0</v>
      </c>
      <c r="AB164" s="48">
        <v>0</v>
      </c>
      <c r="AC164" s="48">
        <v>0</v>
      </c>
      <c r="AD164" s="55">
        <v>0</v>
      </c>
      <c r="AE164" s="213">
        <v>0</v>
      </c>
      <c r="AF164" s="212">
        <v>0</v>
      </c>
      <c r="AG164" s="121">
        <v>0</v>
      </c>
      <c r="AH164" s="51">
        <v>0</v>
      </c>
      <c r="AI164" s="51">
        <v>0</v>
      </c>
      <c r="AJ164" s="51">
        <v>0</v>
      </c>
      <c r="AK164" s="51">
        <v>0</v>
      </c>
      <c r="AL164" s="14"/>
      <c r="AM164" s="122"/>
      <c r="AN164" s="51">
        <v>0</v>
      </c>
      <c r="AO164" s="51">
        <v>0</v>
      </c>
      <c r="AP164" s="51">
        <v>0</v>
      </c>
      <c r="AQ164" s="47"/>
      <c r="AR164" s="51">
        <v>0</v>
      </c>
      <c r="AS164" s="51">
        <v>0</v>
      </c>
    </row>
    <row r="165" ht="47.25" customHeight="1" hidden="1">
      <c r="A165" t="s" s="241">
        <v>976</v>
      </c>
      <c r="B165" t="s" s="78">
        <v>180</v>
      </c>
      <c r="C165" t="s" s="241">
        <v>954</v>
      </c>
      <c r="D165" t="s" s="242">
        <v>713</v>
      </c>
      <c r="E165" t="s" s="229">
        <v>977</v>
      </c>
      <c r="F165" t="s" s="244">
        <v>853</v>
      </c>
      <c r="G165" s="211"/>
      <c r="H165" s="42">
        <f>SUM(J165,N165)</f>
        <v>500</v>
      </c>
      <c r="I165" s="207">
        <f>SUM(Q165,S165,U165,W165,Y165,AA165,AC165,AE165,AG165,AI165,AK165,AM165,AO165,AQ165,AS165)</f>
        <v>0</v>
      </c>
      <c r="J165" s="43">
        <f>SUM(P165,R165,T165,V165,X165,Z165,AB165,AD165,AF165,AH165,AJ165,AL165,AN165,AP165,AR165)</f>
        <v>500</v>
      </c>
      <c r="K165" s="44"/>
      <c r="L165" s="6"/>
      <c r="M165" s="6"/>
      <c r="N165" s="14"/>
      <c r="O165" s="122"/>
      <c r="P165" s="27">
        <v>500</v>
      </c>
      <c r="Q165" s="27">
        <v>0</v>
      </c>
      <c r="R165" s="51">
        <v>0</v>
      </c>
      <c r="S165" s="51">
        <v>0</v>
      </c>
      <c r="T165" s="51">
        <v>0</v>
      </c>
      <c r="U165" s="51">
        <v>0</v>
      </c>
      <c r="V165" s="51">
        <v>0</v>
      </c>
      <c r="W165" s="51">
        <v>0</v>
      </c>
      <c r="X165" s="51">
        <v>0</v>
      </c>
      <c r="Y165" s="51">
        <v>0</v>
      </c>
      <c r="Z165" s="48">
        <v>0</v>
      </c>
      <c r="AA165" s="48">
        <v>0</v>
      </c>
      <c r="AB165" s="48">
        <v>0</v>
      </c>
      <c r="AC165" s="48">
        <v>0</v>
      </c>
      <c r="AD165" s="55">
        <v>0</v>
      </c>
      <c r="AE165" s="213">
        <v>0</v>
      </c>
      <c r="AF165" s="212">
        <v>0</v>
      </c>
      <c r="AG165" s="121">
        <v>0</v>
      </c>
      <c r="AH165" s="51">
        <v>0</v>
      </c>
      <c r="AI165" s="51">
        <v>0</v>
      </c>
      <c r="AJ165" s="51">
        <v>0</v>
      </c>
      <c r="AK165" s="51">
        <v>0</v>
      </c>
      <c r="AL165" s="14"/>
      <c r="AM165" s="122"/>
      <c r="AN165" s="51">
        <v>0</v>
      </c>
      <c r="AO165" s="51">
        <v>0</v>
      </c>
      <c r="AP165" s="51">
        <v>0</v>
      </c>
      <c r="AQ165" s="47"/>
      <c r="AR165" s="51">
        <v>0</v>
      </c>
      <c r="AS165" s="51">
        <v>0</v>
      </c>
    </row>
    <row r="166" ht="19.5" customHeight="1" hidden="1">
      <c r="A166" t="s" s="88">
        <v>978</v>
      </c>
      <c r="B166" t="s" s="67">
        <v>181</v>
      </c>
      <c r="C166" s="228"/>
      <c r="D166" s="228"/>
      <c r="E166" s="189"/>
      <c r="F166" s="182">
        <v>0</v>
      </c>
      <c r="G166" s="183"/>
      <c r="H166" s="42">
        <f>SUM(J166,N166)</f>
        <v>0</v>
      </c>
      <c r="I166" s="207">
        <f>SUM(Q166,S166,U166,W166,Y166,AA166,AC166,AE166,AG166,AI166,AK166,AM166,AO166,AQ166,AS166)</f>
        <v>0</v>
      </c>
      <c r="J166" s="43">
        <f>SUM(P166,R166,T166,V166,X166,Z166,AB166,AD166,AF166,AH166,AJ166,AL166,AN166,AP166,AR166)</f>
        <v>0</v>
      </c>
      <c r="K166" s="44"/>
      <c r="L166" s="6"/>
      <c r="M166" s="6"/>
      <c r="N166" s="14"/>
      <c r="O166" s="122"/>
      <c r="P166" s="46"/>
      <c r="Q166" s="46"/>
      <c r="R166" s="47"/>
      <c r="S166" s="47"/>
      <c r="T166" s="47"/>
      <c r="U166" s="47"/>
      <c r="V166" s="47"/>
      <c r="W166" s="47"/>
      <c r="X166" s="47"/>
      <c r="Y166" s="47"/>
      <c r="Z166" s="48">
        <v>0</v>
      </c>
      <c r="AA166" s="48">
        <v>0</v>
      </c>
      <c r="AB166" s="49"/>
      <c r="AC166" s="49"/>
      <c r="AD166" s="50"/>
      <c r="AE166" s="50"/>
      <c r="AF166" s="14"/>
      <c r="AG166" s="122"/>
      <c r="AH166" s="51">
        <v>0</v>
      </c>
      <c r="AI166" s="51">
        <v>0</v>
      </c>
      <c r="AJ166" s="47"/>
      <c r="AK166" s="47"/>
      <c r="AL166" s="14"/>
      <c r="AM166" s="122"/>
      <c r="AN166" s="47"/>
      <c r="AO166" s="47"/>
      <c r="AP166" s="47"/>
      <c r="AQ166" s="47"/>
      <c r="AR166" s="51">
        <v>0</v>
      </c>
      <c r="AS166" s="51">
        <v>0</v>
      </c>
    </row>
    <row r="167" ht="47.25" customHeight="1" hidden="1">
      <c r="A167" t="s" s="130">
        <v>979</v>
      </c>
      <c r="B167" t="s" s="52">
        <v>182</v>
      </c>
      <c r="C167" t="s" s="130">
        <v>954</v>
      </c>
      <c r="D167" t="s" s="209">
        <v>713</v>
      </c>
      <c r="E167" s="189"/>
      <c r="F167" t="s" s="210">
        <v>714</v>
      </c>
      <c r="G167" s="211"/>
      <c r="H167" s="42">
        <f>SUM(J167,N167)</f>
        <v>400</v>
      </c>
      <c r="I167" s="207">
        <f>SUM(Q167,S167,U167,W167,Y167,AA167,AC167,AE167,AG167,AI167,AK167,AM167,AO167,AQ167,AS167)</f>
        <v>90</v>
      </c>
      <c r="J167" s="43">
        <f>SUM(P167,R167,T167,V167,X167,Z167,AB167,AD167,AF167,AH167,AJ167,AL167,AN167,AP167,AR167)</f>
        <v>400</v>
      </c>
      <c r="K167" s="44"/>
      <c r="L167" s="6"/>
      <c r="M167" s="6"/>
      <c r="N167" s="14"/>
      <c r="O167" s="122"/>
      <c r="P167" s="27">
        <v>100</v>
      </c>
      <c r="Q167" s="27">
        <v>90</v>
      </c>
      <c r="R167" s="51">
        <v>0</v>
      </c>
      <c r="S167" s="51">
        <v>0</v>
      </c>
      <c r="T167" s="51">
        <v>0</v>
      </c>
      <c r="U167" s="51">
        <v>0</v>
      </c>
      <c r="V167" s="51">
        <v>300</v>
      </c>
      <c r="W167" s="51">
        <v>0</v>
      </c>
      <c r="X167" s="51">
        <v>0</v>
      </c>
      <c r="Y167" s="51">
        <v>0</v>
      </c>
      <c r="Z167" s="48">
        <v>0</v>
      </c>
      <c r="AA167" s="48">
        <v>0</v>
      </c>
      <c r="AB167" s="48">
        <v>0</v>
      </c>
      <c r="AC167" s="48">
        <v>0</v>
      </c>
      <c r="AD167" s="55">
        <v>0</v>
      </c>
      <c r="AE167" s="213">
        <v>0</v>
      </c>
      <c r="AF167" s="212">
        <v>0</v>
      </c>
      <c r="AG167" s="121">
        <v>0</v>
      </c>
      <c r="AH167" s="51">
        <v>0</v>
      </c>
      <c r="AI167" s="51">
        <v>0</v>
      </c>
      <c r="AJ167" s="51">
        <v>0</v>
      </c>
      <c r="AK167" s="51">
        <v>0</v>
      </c>
      <c r="AL167" s="14"/>
      <c r="AM167" s="122"/>
      <c r="AN167" s="51">
        <v>0</v>
      </c>
      <c r="AO167" s="51">
        <v>0</v>
      </c>
      <c r="AP167" s="51">
        <v>0</v>
      </c>
      <c r="AQ167" s="47"/>
      <c r="AR167" s="51">
        <v>0</v>
      </c>
      <c r="AS167" s="51">
        <v>0</v>
      </c>
    </row>
    <row r="168" ht="39" customHeight="1" hidden="1">
      <c r="A168" t="s" s="103">
        <v>980</v>
      </c>
      <c r="B168" t="s" s="10">
        <v>183</v>
      </c>
      <c r="C168" t="s" s="103">
        <v>954</v>
      </c>
      <c r="D168" t="s" s="66">
        <v>713</v>
      </c>
      <c r="E168" t="s" s="219">
        <v>981</v>
      </c>
      <c r="F168" t="s" s="101">
        <v>714</v>
      </c>
      <c r="G168" s="203"/>
      <c r="H168" s="204">
        <f>SUM(J168,N168)</f>
        <v>1100</v>
      </c>
      <c r="I168" s="205">
        <f>SUM(Q168,S168,U168,W168,Y168,AA168,AC168,AE168,AG168,AI168,AK168,AM168,AO168,AQ168,AS168)</f>
        <v>100</v>
      </c>
      <c r="J168" s="35">
        <f>SUM(P168,R168,T168,V168,X168,Z168,AB168,AD168,AF168,AH168,AJ168,AL168,AN168,AP168,AR168)</f>
        <v>1100</v>
      </c>
      <c r="K168" s="36"/>
      <c r="L168" s="196"/>
      <c r="M168" s="196"/>
      <c r="N168" s="196"/>
      <c r="O168" s="197"/>
      <c r="P168" s="27">
        <v>100</v>
      </c>
      <c r="Q168" s="27">
        <v>100</v>
      </c>
      <c r="R168" s="38">
        <v>0</v>
      </c>
      <c r="S168" s="38">
        <v>0</v>
      </c>
      <c r="T168" s="38">
        <v>1000</v>
      </c>
      <c r="U168" s="38">
        <v>0</v>
      </c>
      <c r="V168" s="38">
        <v>0</v>
      </c>
      <c r="W168" s="38">
        <v>0</v>
      </c>
      <c r="X168" s="38">
        <v>0</v>
      </c>
      <c r="Y168" s="38">
        <v>0</v>
      </c>
      <c r="Z168" s="40">
        <v>0</v>
      </c>
      <c r="AA168" s="40">
        <v>0</v>
      </c>
      <c r="AB168" s="40">
        <v>0</v>
      </c>
      <c r="AC168" s="40">
        <v>0</v>
      </c>
      <c r="AD168" s="40">
        <v>0</v>
      </c>
      <c r="AE168" s="40">
        <v>0</v>
      </c>
      <c r="AF168" s="198">
        <v>0</v>
      </c>
      <c r="AG168" s="206">
        <v>0</v>
      </c>
      <c r="AH168" s="38">
        <v>0</v>
      </c>
      <c r="AI168" s="38">
        <v>0</v>
      </c>
      <c r="AJ168" s="38">
        <v>0</v>
      </c>
      <c r="AK168" s="38">
        <v>0</v>
      </c>
      <c r="AL168" s="202"/>
      <c r="AM168" s="197"/>
      <c r="AN168" s="38">
        <v>0</v>
      </c>
      <c r="AO168" s="38">
        <v>0</v>
      </c>
      <c r="AP168" s="38">
        <v>0</v>
      </c>
      <c r="AQ168" s="80"/>
      <c r="AR168" s="38">
        <v>0</v>
      </c>
      <c r="AS168" s="38">
        <v>0</v>
      </c>
    </row>
    <row r="169" ht="31.5" customHeight="1" hidden="1">
      <c r="A169" t="s" s="83">
        <v>982</v>
      </c>
      <c r="B169" t="s" s="67">
        <v>184</v>
      </c>
      <c r="C169" s="228"/>
      <c r="D169" s="228"/>
      <c r="E169" s="189"/>
      <c r="F169" s="182">
        <v>0</v>
      </c>
      <c r="G169" s="183"/>
      <c r="H169" s="42">
        <f>SUM(J169,N169)</f>
        <v>0</v>
      </c>
      <c r="I169" s="207">
        <f>SUM(Q169,S169,U169,W169,Y169,AA169,AC169,AE169,AG169,AI169,AK169,AM169,AO169,AQ169,AS169)</f>
        <v>0</v>
      </c>
      <c r="J169" s="43">
        <f>SUM(P169,R169,T169,V169,X169,Z169,AB169,AD169,AF169,AH169,AJ169,AL169,AN169,AP169,AR169)</f>
        <v>0</v>
      </c>
      <c r="K169" s="44"/>
      <c r="L169" s="6"/>
      <c r="M169" s="6"/>
      <c r="N169" s="14"/>
      <c r="O169" s="122"/>
      <c r="P169" s="46"/>
      <c r="Q169" s="46"/>
      <c r="R169" s="47"/>
      <c r="S169" s="47"/>
      <c r="T169" s="47"/>
      <c r="U169" s="47"/>
      <c r="V169" s="47"/>
      <c r="W169" s="47"/>
      <c r="X169" s="47"/>
      <c r="Y169" s="47"/>
      <c r="Z169" s="48">
        <v>0</v>
      </c>
      <c r="AA169" s="48">
        <v>0</v>
      </c>
      <c r="AB169" s="49"/>
      <c r="AC169" s="49"/>
      <c r="AD169" s="50"/>
      <c r="AE169" s="50"/>
      <c r="AF169" s="14"/>
      <c r="AG169" s="122"/>
      <c r="AH169" s="51">
        <v>0</v>
      </c>
      <c r="AI169" s="51">
        <v>0</v>
      </c>
      <c r="AJ169" s="47"/>
      <c r="AK169" s="47"/>
      <c r="AL169" s="14"/>
      <c r="AM169" s="122"/>
      <c r="AN169" s="47"/>
      <c r="AO169" s="47"/>
      <c r="AP169" s="47"/>
      <c r="AQ169" s="47"/>
      <c r="AR169" s="51">
        <v>0</v>
      </c>
      <c r="AS169" s="51">
        <v>0</v>
      </c>
    </row>
    <row r="170" ht="19.5" customHeight="1" hidden="1">
      <c r="A170" t="s" s="59">
        <v>983</v>
      </c>
      <c r="B170" t="s" s="21">
        <v>185</v>
      </c>
      <c r="C170" t="s" s="59">
        <v>954</v>
      </c>
      <c r="D170" s="246"/>
      <c r="E170" t="s" s="216">
        <v>906</v>
      </c>
      <c r="F170" t="s" s="192">
        <v>714</v>
      </c>
      <c r="G170" s="193"/>
      <c r="H170" s="194">
        <f>SUM(J170,N170)</f>
        <v>4600</v>
      </c>
      <c r="I170" s="195">
        <f>SUM(Q170,S170,U170,W170,Y170,AA170,AC170,AE170,AG170,AI170,AK170,AM170,AO170,AQ170,AS170)</f>
        <v>0</v>
      </c>
      <c r="J170" s="23">
        <f>SUM(P170,R170,T170,V170,X170,Z170,AB170,AD170,AF170,AH170,AJ170,AL170,AN170,AP170,AR170)</f>
        <v>4600</v>
      </c>
      <c r="K170" s="36"/>
      <c r="L170" s="196"/>
      <c r="M170" s="196"/>
      <c r="N170" s="196"/>
      <c r="O170" s="197"/>
      <c r="P170" s="27">
        <v>1000</v>
      </c>
      <c r="Q170" s="27">
        <v>0</v>
      </c>
      <c r="R170" s="28">
        <v>0</v>
      </c>
      <c r="S170" s="28">
        <v>0</v>
      </c>
      <c r="T170" s="28">
        <v>1500</v>
      </c>
      <c r="U170" s="28">
        <v>0</v>
      </c>
      <c r="V170" s="28">
        <v>100</v>
      </c>
      <c r="W170" s="28">
        <v>0</v>
      </c>
      <c r="X170" s="28">
        <v>0</v>
      </c>
      <c r="Y170" s="28">
        <v>0</v>
      </c>
      <c r="Z170" s="30">
        <v>0</v>
      </c>
      <c r="AA170" s="30">
        <v>0</v>
      </c>
      <c r="AB170" s="30">
        <v>0</v>
      </c>
      <c r="AC170" s="30">
        <v>0</v>
      </c>
      <c r="AD170" s="30">
        <v>0</v>
      </c>
      <c r="AE170" s="30">
        <v>0</v>
      </c>
      <c r="AF170" s="198">
        <v>0</v>
      </c>
      <c r="AG170" s="206">
        <v>0</v>
      </c>
      <c r="AH170" s="28">
        <v>0</v>
      </c>
      <c r="AI170" s="28">
        <v>0</v>
      </c>
      <c r="AJ170" s="28">
        <v>0</v>
      </c>
      <c r="AK170" s="28">
        <v>0</v>
      </c>
      <c r="AL170" s="234">
        <v>2000</v>
      </c>
      <c r="AM170" s="234">
        <v>0</v>
      </c>
      <c r="AN170" s="28">
        <v>0</v>
      </c>
      <c r="AO170" s="28">
        <v>0</v>
      </c>
      <c r="AP170" s="28">
        <v>0</v>
      </c>
      <c r="AQ170" s="87"/>
      <c r="AR170" s="28">
        <v>0</v>
      </c>
      <c r="AS170" s="28">
        <v>0</v>
      </c>
    </row>
    <row r="171" ht="156" customHeight="1" hidden="1">
      <c r="A171" t="s" s="130">
        <v>984</v>
      </c>
      <c r="B171" t="s" s="52">
        <v>186</v>
      </c>
      <c r="C171" t="s" s="130">
        <v>985</v>
      </c>
      <c r="D171" t="s" s="209">
        <v>717</v>
      </c>
      <c r="E171" t="s" s="217">
        <v>986</v>
      </c>
      <c r="F171" s="247"/>
      <c r="G171" s="211"/>
      <c r="H171" s="42">
        <f>SUM(J171,N171)</f>
        <v>0</v>
      </c>
      <c r="I171" s="207">
        <f>SUM(Q171,S171,U171,W171,Y171,AA171,AC171,AE171,AG171,AI171,AK171,AM171,AO171,AQ171,AS171)</f>
        <v>0</v>
      </c>
      <c r="J171" s="43">
        <f>SUM(P171,R171,T171,V171,X171,Z171,AB171,AD171,AF171,AH171,AJ171,AL171,AN171,AP171,AR171)</f>
        <v>0</v>
      </c>
      <c r="K171" s="44"/>
      <c r="L171" s="6"/>
      <c r="M171" s="6"/>
      <c r="N171" s="14"/>
      <c r="O171" s="122"/>
      <c r="P171" s="27">
        <v>0</v>
      </c>
      <c r="Q171" s="27">
        <v>0</v>
      </c>
      <c r="R171" s="51">
        <v>0</v>
      </c>
      <c r="S171" s="51">
        <v>0</v>
      </c>
      <c r="T171" s="51">
        <v>0</v>
      </c>
      <c r="U171" s="51">
        <v>0</v>
      </c>
      <c r="V171" s="51">
        <v>0</v>
      </c>
      <c r="W171" s="51">
        <v>0</v>
      </c>
      <c r="X171" s="51">
        <v>0</v>
      </c>
      <c r="Y171" s="51">
        <v>0</v>
      </c>
      <c r="Z171" s="48">
        <v>0</v>
      </c>
      <c r="AA171" s="48">
        <v>0</v>
      </c>
      <c r="AB171" s="48">
        <v>0</v>
      </c>
      <c r="AC171" s="48">
        <v>0</v>
      </c>
      <c r="AD171" s="55">
        <v>0</v>
      </c>
      <c r="AE171" s="213">
        <v>0</v>
      </c>
      <c r="AF171" s="212">
        <v>0</v>
      </c>
      <c r="AG171" s="121">
        <v>0</v>
      </c>
      <c r="AH171" s="51">
        <v>0</v>
      </c>
      <c r="AI171" s="51">
        <v>0</v>
      </c>
      <c r="AJ171" s="51">
        <v>0</v>
      </c>
      <c r="AK171" s="51">
        <v>0</v>
      </c>
      <c r="AL171" s="14"/>
      <c r="AM171" s="122"/>
      <c r="AN171" s="51">
        <v>0</v>
      </c>
      <c r="AO171" s="51">
        <v>0</v>
      </c>
      <c r="AP171" s="51">
        <v>0</v>
      </c>
      <c r="AQ171" s="47"/>
      <c r="AR171" s="51">
        <v>0</v>
      </c>
      <c r="AS171" s="51">
        <v>0</v>
      </c>
    </row>
    <row r="172" ht="31.5" customHeight="1" hidden="1">
      <c r="A172" t="s" s="83">
        <v>987</v>
      </c>
      <c r="B172" t="s" s="67">
        <v>187</v>
      </c>
      <c r="C172" s="228"/>
      <c r="D172" s="228"/>
      <c r="E172" s="189"/>
      <c r="F172" s="182">
        <v>0</v>
      </c>
      <c r="G172" s="183"/>
      <c r="H172" s="42">
        <f>SUM(J172,N172)</f>
        <v>0</v>
      </c>
      <c r="I172" s="207">
        <f>SUM(Q172,S172,U172,W172,Y172,AA172,AC172,AE172,AG172,AI172,AK172,AM172,AO172,AQ172,AS172)</f>
        <v>0</v>
      </c>
      <c r="J172" s="43">
        <f>SUM(P172,R172,T172,V172,X172,Z172,AB172,AD172,AF172,AH172,AJ172,AL172,AN172,AP172,AR172)</f>
        <v>0</v>
      </c>
      <c r="K172" s="44"/>
      <c r="L172" s="6"/>
      <c r="M172" s="6"/>
      <c r="N172" s="14"/>
      <c r="O172" s="122"/>
      <c r="P172" s="46"/>
      <c r="Q172" s="46"/>
      <c r="R172" s="47"/>
      <c r="S172" s="47"/>
      <c r="T172" s="47"/>
      <c r="U172" s="47"/>
      <c r="V172" s="47"/>
      <c r="W172" s="47"/>
      <c r="X172" s="47"/>
      <c r="Y172" s="47"/>
      <c r="Z172" s="48">
        <v>0</v>
      </c>
      <c r="AA172" s="48">
        <v>0</v>
      </c>
      <c r="AB172" s="49"/>
      <c r="AC172" s="49"/>
      <c r="AD172" s="50"/>
      <c r="AE172" s="50"/>
      <c r="AF172" s="14"/>
      <c r="AG172" s="122"/>
      <c r="AH172" s="51">
        <v>0</v>
      </c>
      <c r="AI172" s="51">
        <v>0</v>
      </c>
      <c r="AJ172" s="47"/>
      <c r="AK172" s="47"/>
      <c r="AL172" s="14"/>
      <c r="AM172" s="122"/>
      <c r="AN172" s="47"/>
      <c r="AO172" s="47"/>
      <c r="AP172" s="47"/>
      <c r="AQ172" s="47"/>
      <c r="AR172" s="51">
        <v>0</v>
      </c>
      <c r="AS172" s="51">
        <v>0</v>
      </c>
    </row>
    <row r="173" ht="19.5" customHeight="1" hidden="1">
      <c r="A173" t="s" s="83">
        <v>988</v>
      </c>
      <c r="B173" t="s" s="82">
        <v>188</v>
      </c>
      <c r="C173" s="228"/>
      <c r="D173" s="228"/>
      <c r="E173" s="189"/>
      <c r="F173" s="182">
        <v>0</v>
      </c>
      <c r="G173" s="183"/>
      <c r="H173" s="42">
        <f>SUM(J173,N173)</f>
        <v>0</v>
      </c>
      <c r="I173" s="207">
        <f>SUM(Q173,S173,U173,W173,Y173,AA173,AC173,AE173,AG173,AI173,AK173,AM173,AO173,AQ173,AS173)</f>
        <v>0</v>
      </c>
      <c r="J173" s="43">
        <f>SUM(P173,R173,T173,V173,X173,Z173,AB173,AD173,AF173,AH173,AJ173,AL173,AN173,AP173,AR173)</f>
        <v>0</v>
      </c>
      <c r="K173" s="44"/>
      <c r="L173" s="6"/>
      <c r="M173" s="6"/>
      <c r="N173" s="14"/>
      <c r="O173" s="122"/>
      <c r="P173" s="46"/>
      <c r="Q173" s="46"/>
      <c r="R173" s="47"/>
      <c r="S173" s="47"/>
      <c r="T173" s="47"/>
      <c r="U173" s="47"/>
      <c r="V173" s="47"/>
      <c r="W173" s="47"/>
      <c r="X173" s="47"/>
      <c r="Y173" s="47"/>
      <c r="Z173" s="48">
        <v>0</v>
      </c>
      <c r="AA173" s="48">
        <v>0</v>
      </c>
      <c r="AB173" s="49"/>
      <c r="AC173" s="49"/>
      <c r="AD173" s="50"/>
      <c r="AE173" s="50"/>
      <c r="AF173" s="14"/>
      <c r="AG173" s="122"/>
      <c r="AH173" s="51">
        <v>0</v>
      </c>
      <c r="AI173" s="51">
        <v>0</v>
      </c>
      <c r="AJ173" s="47"/>
      <c r="AK173" s="47"/>
      <c r="AL173" s="14"/>
      <c r="AM173" s="122"/>
      <c r="AN173" s="47"/>
      <c r="AO173" s="47"/>
      <c r="AP173" s="47"/>
      <c r="AQ173" s="47"/>
      <c r="AR173" s="51">
        <v>0</v>
      </c>
      <c r="AS173" s="51">
        <v>0</v>
      </c>
    </row>
    <row r="174" ht="156" customHeight="1" hidden="1">
      <c r="A174" t="s" s="103">
        <v>989</v>
      </c>
      <c r="B174" t="s" s="10">
        <v>189</v>
      </c>
      <c r="C174" t="s" s="103">
        <v>954</v>
      </c>
      <c r="D174" t="s" s="66">
        <v>713</v>
      </c>
      <c r="E174" t="s" s="129">
        <v>990</v>
      </c>
      <c r="F174" t="s" s="101">
        <v>714</v>
      </c>
      <c r="G174" s="203"/>
      <c r="H174" s="204">
        <f>SUM(J174,N174)</f>
        <v>1000</v>
      </c>
      <c r="I174" s="205">
        <f>SUM(Q174,S174,U174,W174,Y174,AA174,AC174,AE174,AG174,AI174,AK174,AM174,AO174,AQ174,AS174)</f>
        <v>0</v>
      </c>
      <c r="J174" s="35">
        <f>SUM(P174,R174,T174,V174,X174,Z174,AB174,AD174,AF174,AH174,AJ174,AL174,AN174,AP174,AR174)</f>
        <v>1000</v>
      </c>
      <c r="K174" s="36"/>
      <c r="L174" s="196"/>
      <c r="M174" s="196"/>
      <c r="N174" s="196"/>
      <c r="O174" s="197"/>
      <c r="P174" s="27">
        <v>1000</v>
      </c>
      <c r="Q174" s="27">
        <v>0</v>
      </c>
      <c r="R174" s="38">
        <v>0</v>
      </c>
      <c r="S174" s="38">
        <v>0</v>
      </c>
      <c r="T174" s="38">
        <v>0</v>
      </c>
      <c r="U174" s="38">
        <v>0</v>
      </c>
      <c r="V174" s="38">
        <v>0</v>
      </c>
      <c r="W174" s="38">
        <v>0</v>
      </c>
      <c r="X174" s="38">
        <v>0</v>
      </c>
      <c r="Y174" s="38">
        <v>0</v>
      </c>
      <c r="Z174" s="40">
        <v>0</v>
      </c>
      <c r="AA174" s="40">
        <v>0</v>
      </c>
      <c r="AB174" s="40">
        <v>0</v>
      </c>
      <c r="AC174" s="40">
        <v>0</v>
      </c>
      <c r="AD174" s="40">
        <v>0</v>
      </c>
      <c r="AE174" s="40">
        <v>0</v>
      </c>
      <c r="AF174" s="198">
        <v>0</v>
      </c>
      <c r="AG174" s="206">
        <v>0</v>
      </c>
      <c r="AH174" s="38">
        <v>0</v>
      </c>
      <c r="AI174" s="38">
        <v>0</v>
      </c>
      <c r="AJ174" s="38">
        <v>0</v>
      </c>
      <c r="AK174" s="38">
        <v>0</v>
      </c>
      <c r="AL174" s="202"/>
      <c r="AM174" s="197"/>
      <c r="AN174" s="38">
        <v>0</v>
      </c>
      <c r="AO174" s="38">
        <v>0</v>
      </c>
      <c r="AP174" s="38">
        <v>0</v>
      </c>
      <c r="AQ174" s="80"/>
      <c r="AR174" s="38">
        <v>0</v>
      </c>
      <c r="AS174" s="38">
        <v>0</v>
      </c>
    </row>
    <row r="175" ht="19.5" customHeight="1" hidden="1">
      <c r="A175" t="s" s="83">
        <v>991</v>
      </c>
      <c r="B175" t="s" s="82">
        <v>190</v>
      </c>
      <c r="C175" s="228"/>
      <c r="D175" s="228"/>
      <c r="E175" s="189"/>
      <c r="F175" s="182">
        <v>0</v>
      </c>
      <c r="G175" s="183"/>
      <c r="H175" s="42">
        <f>SUM(J175,N175)</f>
        <v>0</v>
      </c>
      <c r="I175" s="207">
        <f>SUM(Q175,S175,U175,W175,Y175,AA175,AC175,AE175,AG175,AI175,AK175,AM175,AO175,AQ175,AS175)</f>
        <v>0</v>
      </c>
      <c r="J175" s="43">
        <f>SUM(P175,R175,T175,V175,X175,Z175,AB175,AD175,AF175,AH175,AJ175,AL175,AN175,AP175,AR175)</f>
        <v>0</v>
      </c>
      <c r="K175" s="44"/>
      <c r="L175" s="6"/>
      <c r="M175" s="6"/>
      <c r="N175" s="14"/>
      <c r="O175" s="122"/>
      <c r="P175" s="46"/>
      <c r="Q175" s="46"/>
      <c r="R175" s="47"/>
      <c r="S175" s="47"/>
      <c r="T175" s="47"/>
      <c r="U175" s="47"/>
      <c r="V175" s="47"/>
      <c r="W175" s="47"/>
      <c r="X175" s="47"/>
      <c r="Y175" s="47"/>
      <c r="Z175" s="48">
        <v>0</v>
      </c>
      <c r="AA175" s="48">
        <v>0</v>
      </c>
      <c r="AB175" s="49"/>
      <c r="AC175" s="49"/>
      <c r="AD175" s="50"/>
      <c r="AE175" s="50"/>
      <c r="AF175" s="14"/>
      <c r="AG175" s="122"/>
      <c r="AH175" s="51">
        <v>0</v>
      </c>
      <c r="AI175" s="51">
        <v>0</v>
      </c>
      <c r="AJ175" s="47"/>
      <c r="AK175" s="47"/>
      <c r="AL175" s="14"/>
      <c r="AM175" s="122"/>
      <c r="AN175" s="47"/>
      <c r="AO175" s="47"/>
      <c r="AP175" s="47"/>
      <c r="AQ175" s="47"/>
      <c r="AR175" s="51">
        <v>0</v>
      </c>
      <c r="AS175" s="51">
        <v>0</v>
      </c>
    </row>
    <row r="176" ht="156" customHeight="1" hidden="1">
      <c r="A176" t="s" s="103">
        <v>992</v>
      </c>
      <c r="B176" t="s" s="10">
        <v>191</v>
      </c>
      <c r="C176" t="s" s="218">
        <v>954</v>
      </c>
      <c r="D176" t="s" s="248">
        <v>713</v>
      </c>
      <c r="E176" t="s" s="219">
        <v>993</v>
      </c>
      <c r="F176" t="s" s="101">
        <v>714</v>
      </c>
      <c r="G176" s="203"/>
      <c r="H176" s="204">
        <f>SUM(J176,N176)</f>
        <v>300</v>
      </c>
      <c r="I176" s="205">
        <f>SUM(Q176,S176,U176,W176,Y176,AA176,AC176,AE176,AG176,AI176,AK176,AM176,AO176,AQ176,AS176)</f>
        <v>0</v>
      </c>
      <c r="J176" s="35">
        <f>SUM(P176,R176,T176,V176,X176,Z176,AB176,AD176,AF176,AH176,AJ176,AL176,AN176,AP176,AR176)</f>
        <v>300</v>
      </c>
      <c r="K176" s="36"/>
      <c r="L176" s="196"/>
      <c r="M176" s="196"/>
      <c r="N176" s="196"/>
      <c r="O176" s="197"/>
      <c r="P176" s="27">
        <v>300</v>
      </c>
      <c r="Q176" s="27">
        <v>0</v>
      </c>
      <c r="R176" s="38">
        <v>0</v>
      </c>
      <c r="S176" s="38">
        <v>0</v>
      </c>
      <c r="T176" s="38">
        <v>0</v>
      </c>
      <c r="U176" s="38">
        <v>0</v>
      </c>
      <c r="V176" s="38">
        <v>0</v>
      </c>
      <c r="W176" s="38">
        <v>0</v>
      </c>
      <c r="X176" s="38">
        <v>0</v>
      </c>
      <c r="Y176" s="38">
        <v>0</v>
      </c>
      <c r="Z176" s="40">
        <v>0</v>
      </c>
      <c r="AA176" s="40">
        <v>0</v>
      </c>
      <c r="AB176" s="40">
        <v>0</v>
      </c>
      <c r="AC176" s="40">
        <v>0</v>
      </c>
      <c r="AD176" s="40">
        <v>0</v>
      </c>
      <c r="AE176" s="40">
        <v>0</v>
      </c>
      <c r="AF176" s="198">
        <v>0</v>
      </c>
      <c r="AG176" s="206">
        <v>0</v>
      </c>
      <c r="AH176" s="38">
        <v>0</v>
      </c>
      <c r="AI176" s="38">
        <v>0</v>
      </c>
      <c r="AJ176" s="38">
        <v>0</v>
      </c>
      <c r="AK176" s="38">
        <v>0</v>
      </c>
      <c r="AL176" s="202"/>
      <c r="AM176" s="197"/>
      <c r="AN176" s="38">
        <v>0</v>
      </c>
      <c r="AO176" s="38">
        <v>0</v>
      </c>
      <c r="AP176" s="38">
        <v>0</v>
      </c>
      <c r="AQ176" s="80"/>
      <c r="AR176" s="38">
        <v>0</v>
      </c>
      <c r="AS176" s="38">
        <v>0</v>
      </c>
    </row>
    <row r="177" ht="19.5" customHeight="1" hidden="1">
      <c r="A177" t="s" s="83">
        <v>994</v>
      </c>
      <c r="B177" t="s" s="82">
        <v>192</v>
      </c>
      <c r="C177" s="249"/>
      <c r="D177" s="249"/>
      <c r="E177" s="189"/>
      <c r="F177" s="182">
        <v>0</v>
      </c>
      <c r="G177" s="183"/>
      <c r="H177" s="42">
        <f>SUM(J177,N177)</f>
        <v>0</v>
      </c>
      <c r="I177" s="207">
        <f>SUM(Q177,S177,U177,W177,Y177,AA177,AC177,AE177,AG177,AI177,AK177,AM177,AO177,AQ177,AS177)</f>
        <v>0</v>
      </c>
      <c r="J177" s="43">
        <f>SUM(P177,R177,T177,V177,X177,Z177,AB177,AD177,AF177,AH177,AJ177,AL177,AN177,AP177,AR177)</f>
        <v>0</v>
      </c>
      <c r="K177" s="44"/>
      <c r="L177" s="6"/>
      <c r="M177" s="6"/>
      <c r="N177" s="14"/>
      <c r="O177" s="122"/>
      <c r="P177" s="46"/>
      <c r="Q177" s="46"/>
      <c r="R177" s="47"/>
      <c r="S177" s="47"/>
      <c r="T177" s="47"/>
      <c r="U177" s="47"/>
      <c r="V177" s="47"/>
      <c r="W177" s="47"/>
      <c r="X177" s="47"/>
      <c r="Y177" s="47"/>
      <c r="Z177" s="48">
        <v>0</v>
      </c>
      <c r="AA177" s="48">
        <v>0</v>
      </c>
      <c r="AB177" s="49"/>
      <c r="AC177" s="49"/>
      <c r="AD177" s="50"/>
      <c r="AE177" s="50"/>
      <c r="AF177" s="14"/>
      <c r="AG177" s="122"/>
      <c r="AH177" s="51">
        <v>0</v>
      </c>
      <c r="AI177" s="51">
        <v>0</v>
      </c>
      <c r="AJ177" s="47"/>
      <c r="AK177" s="47"/>
      <c r="AL177" s="14"/>
      <c r="AM177" s="122"/>
      <c r="AN177" s="47"/>
      <c r="AO177" s="47"/>
      <c r="AP177" s="47"/>
      <c r="AQ177" s="47"/>
      <c r="AR177" s="51">
        <v>0</v>
      </c>
      <c r="AS177" s="51">
        <v>0</v>
      </c>
    </row>
    <row r="178" ht="19.5" customHeight="1" hidden="1">
      <c r="A178" t="s" s="83">
        <v>995</v>
      </c>
      <c r="B178" t="s" s="67">
        <v>193</v>
      </c>
      <c r="C178" s="250"/>
      <c r="D178" s="250"/>
      <c r="E178" s="189"/>
      <c r="F178" s="182">
        <v>0</v>
      </c>
      <c r="G178" s="183"/>
      <c r="H178" s="42">
        <f>SUM(J178,N178)</f>
        <v>0</v>
      </c>
      <c r="I178" s="207">
        <f>SUM(Q178,S178,U178,W178,Y178,AA178,AC178,AE178,AG178,AI178,AK178,AM178,AO178,AQ178,AS178)</f>
        <v>0</v>
      </c>
      <c r="J178" s="43">
        <f>SUM(P178,R178,T178,V178,X178,Z178,AB178,AD178,AF178,AH178,AJ178,AL178,AN178,AP178,AR178)</f>
        <v>0</v>
      </c>
      <c r="K178" s="44"/>
      <c r="L178" s="6"/>
      <c r="M178" s="6"/>
      <c r="N178" s="14"/>
      <c r="O178" s="122"/>
      <c r="P178" s="46"/>
      <c r="Q178" s="46"/>
      <c r="R178" s="47"/>
      <c r="S178" s="47"/>
      <c r="T178" s="47"/>
      <c r="U178" s="47"/>
      <c r="V178" s="47"/>
      <c r="W178" s="47"/>
      <c r="X178" s="47"/>
      <c r="Y178" s="47"/>
      <c r="Z178" s="48">
        <v>0</v>
      </c>
      <c r="AA178" s="48">
        <v>0</v>
      </c>
      <c r="AB178" s="49"/>
      <c r="AC178" s="49"/>
      <c r="AD178" s="50"/>
      <c r="AE178" s="50"/>
      <c r="AF178" s="14"/>
      <c r="AG178" s="122"/>
      <c r="AH178" s="51">
        <v>0</v>
      </c>
      <c r="AI178" s="51">
        <v>0</v>
      </c>
      <c r="AJ178" s="47"/>
      <c r="AK178" s="47"/>
      <c r="AL178" s="14"/>
      <c r="AM178" s="122"/>
      <c r="AN178" s="47"/>
      <c r="AO178" s="47"/>
      <c r="AP178" s="47"/>
      <c r="AQ178" s="47"/>
      <c r="AR178" s="51">
        <v>0</v>
      </c>
      <c r="AS178" s="51">
        <v>0</v>
      </c>
    </row>
    <row r="179" ht="63" customHeight="1" hidden="1">
      <c r="A179" t="s" s="130">
        <v>996</v>
      </c>
      <c r="B179" t="s" s="52">
        <v>194</v>
      </c>
      <c r="C179" t="s" s="130">
        <v>954</v>
      </c>
      <c r="D179" t="s" s="209">
        <v>713</v>
      </c>
      <c r="E179" t="s" s="236">
        <v>997</v>
      </c>
      <c r="F179" t="s" s="210">
        <v>714</v>
      </c>
      <c r="G179" s="211"/>
      <c r="H179" s="42">
        <f>SUM(J179,N179)</f>
        <v>100</v>
      </c>
      <c r="I179" s="207">
        <f>SUM(Q179,S179,U179,W179,Y179,AA179,AC179,AE179,AG179,AI179,AK179,AM179,AO179,AQ179,AS179)</f>
        <v>0</v>
      </c>
      <c r="J179" s="43">
        <f>SUM(P179,R179,T179,V179,X179,Z179,AB179,AD179,AF179,AH179,AJ179,AL179,AN179,AP179,AR179)</f>
        <v>100</v>
      </c>
      <c r="K179" s="44"/>
      <c r="L179" s="6"/>
      <c r="M179" s="6"/>
      <c r="N179" s="14"/>
      <c r="O179" s="122"/>
      <c r="P179" s="27">
        <v>0</v>
      </c>
      <c r="Q179" s="27">
        <v>0</v>
      </c>
      <c r="R179" s="51">
        <v>0</v>
      </c>
      <c r="S179" s="51">
        <v>0</v>
      </c>
      <c r="T179" s="51">
        <v>0</v>
      </c>
      <c r="U179" s="51">
        <v>0</v>
      </c>
      <c r="V179" s="51">
        <v>100</v>
      </c>
      <c r="W179" s="51">
        <v>0</v>
      </c>
      <c r="X179" s="51">
        <v>0</v>
      </c>
      <c r="Y179" s="51">
        <v>0</v>
      </c>
      <c r="Z179" s="48">
        <v>0</v>
      </c>
      <c r="AA179" s="48">
        <v>0</v>
      </c>
      <c r="AB179" s="48">
        <v>0</v>
      </c>
      <c r="AC179" s="48">
        <v>0</v>
      </c>
      <c r="AD179" s="55">
        <v>0</v>
      </c>
      <c r="AE179" s="213">
        <v>0</v>
      </c>
      <c r="AF179" s="212">
        <v>0</v>
      </c>
      <c r="AG179" s="121">
        <v>0</v>
      </c>
      <c r="AH179" s="51">
        <v>0</v>
      </c>
      <c r="AI179" s="51">
        <v>0</v>
      </c>
      <c r="AJ179" s="51">
        <v>0</v>
      </c>
      <c r="AK179" s="51">
        <v>0</v>
      </c>
      <c r="AL179" s="14"/>
      <c r="AM179" s="122"/>
      <c r="AN179" s="51">
        <v>0</v>
      </c>
      <c r="AO179" s="51">
        <v>0</v>
      </c>
      <c r="AP179" s="51">
        <v>0</v>
      </c>
      <c r="AQ179" s="47"/>
      <c r="AR179" s="51">
        <v>0</v>
      </c>
      <c r="AS179" s="51">
        <v>0</v>
      </c>
    </row>
    <row r="180" ht="19.5" customHeight="1" hidden="1">
      <c r="A180" t="s" s="83">
        <v>998</v>
      </c>
      <c r="B180" t="s" s="83">
        <v>195</v>
      </c>
      <c r="C180" s="228"/>
      <c r="D180" s="228"/>
      <c r="E180" s="189"/>
      <c r="F180" s="182">
        <v>0</v>
      </c>
      <c r="G180" s="183"/>
      <c r="H180" s="42">
        <f>SUM(J180,N180)</f>
        <v>0</v>
      </c>
      <c r="I180" s="207">
        <f>SUM(Q180,S180,U180,W180,Y180,AA180,AC180,AE180,AG180,AI180,AK180,AM180,AO180,AQ180,AS180)</f>
        <v>0</v>
      </c>
      <c r="J180" s="43">
        <f>SUM(P180,R180,T180,V180,X180,Z180,AB180,AD180,AF180,AH180,AJ180,AL180,AN180,AP180,AR180)</f>
        <v>0</v>
      </c>
      <c r="K180" s="44"/>
      <c r="L180" s="6"/>
      <c r="M180" s="6"/>
      <c r="N180" s="14"/>
      <c r="O180" s="122"/>
      <c r="P180" s="46"/>
      <c r="Q180" s="46"/>
      <c r="R180" s="47"/>
      <c r="S180" s="47"/>
      <c r="T180" s="47"/>
      <c r="U180" s="47"/>
      <c r="V180" s="47"/>
      <c r="W180" s="47"/>
      <c r="X180" s="47"/>
      <c r="Y180" s="47"/>
      <c r="Z180" s="48">
        <v>0</v>
      </c>
      <c r="AA180" s="48">
        <v>0</v>
      </c>
      <c r="AB180" s="49"/>
      <c r="AC180" s="49"/>
      <c r="AD180" s="50"/>
      <c r="AE180" s="50"/>
      <c r="AF180" s="14"/>
      <c r="AG180" s="122"/>
      <c r="AH180" s="51">
        <v>0</v>
      </c>
      <c r="AI180" s="51">
        <v>0</v>
      </c>
      <c r="AJ180" s="47"/>
      <c r="AK180" s="47"/>
      <c r="AL180" s="14"/>
      <c r="AM180" s="122"/>
      <c r="AN180" s="47"/>
      <c r="AO180" s="47"/>
      <c r="AP180" s="47"/>
      <c r="AQ180" s="47"/>
      <c r="AR180" s="51">
        <v>0</v>
      </c>
      <c r="AS180" s="51">
        <v>0</v>
      </c>
    </row>
    <row r="181" ht="409.5" customHeight="1" hidden="1">
      <c r="A181" t="s" s="130">
        <v>999</v>
      </c>
      <c r="B181" t="s" s="52">
        <v>196</v>
      </c>
      <c r="C181" t="s" s="130">
        <v>1000</v>
      </c>
      <c r="D181" t="s" s="209">
        <v>713</v>
      </c>
      <c r="E181" t="s" s="132">
        <v>1001</v>
      </c>
      <c r="F181" t="s" s="210">
        <v>720</v>
      </c>
      <c r="G181" s="211"/>
      <c r="H181" s="42">
        <f>SUM(J181,N181)</f>
        <v>0</v>
      </c>
      <c r="I181" s="207">
        <f>SUM(Q181,S181,U181,W181,Y181,AA181,AC181,AE181,AG181,AI181,AK181,AM181,AO181,AQ181,AS181)</f>
        <v>0</v>
      </c>
      <c r="J181" s="43">
        <f>SUM(P181,R181,T181,V181,X181,Z181,AB181,AD181,AF181,AH181,AJ181,AL181,AN181,AP181,AR181)</f>
        <v>0</v>
      </c>
      <c r="K181" s="44"/>
      <c r="L181" s="6"/>
      <c r="M181" s="6"/>
      <c r="N181" s="14"/>
      <c r="O181" s="122"/>
      <c r="P181" s="27">
        <v>0</v>
      </c>
      <c r="Q181" s="27">
        <v>0</v>
      </c>
      <c r="R181" s="51">
        <v>0</v>
      </c>
      <c r="S181" s="51">
        <v>0</v>
      </c>
      <c r="T181" s="51">
        <v>0</v>
      </c>
      <c r="U181" s="51">
        <v>0</v>
      </c>
      <c r="V181" s="51">
        <v>0</v>
      </c>
      <c r="W181" s="51">
        <v>0</v>
      </c>
      <c r="X181" s="51">
        <v>0</v>
      </c>
      <c r="Y181" s="51">
        <v>0</v>
      </c>
      <c r="Z181" s="48">
        <v>0</v>
      </c>
      <c r="AA181" s="48">
        <v>0</v>
      </c>
      <c r="AB181" s="48">
        <v>0</v>
      </c>
      <c r="AC181" s="48">
        <v>0</v>
      </c>
      <c r="AD181" s="55">
        <v>0</v>
      </c>
      <c r="AE181" s="213">
        <v>0</v>
      </c>
      <c r="AF181" s="212">
        <v>0</v>
      </c>
      <c r="AG181" s="121">
        <v>0</v>
      </c>
      <c r="AH181" s="51">
        <v>0</v>
      </c>
      <c r="AI181" s="51">
        <v>0</v>
      </c>
      <c r="AJ181" s="51">
        <v>0</v>
      </c>
      <c r="AK181" s="51">
        <v>0</v>
      </c>
      <c r="AL181" s="14"/>
      <c r="AM181" s="122"/>
      <c r="AN181" s="51">
        <v>0</v>
      </c>
      <c r="AO181" s="51">
        <v>0</v>
      </c>
      <c r="AP181" s="51">
        <v>0</v>
      </c>
      <c r="AQ181" s="47"/>
      <c r="AR181" s="51">
        <v>0</v>
      </c>
      <c r="AS181" s="51">
        <v>0</v>
      </c>
    </row>
    <row r="182" ht="78.75" customHeight="1" hidden="1">
      <c r="A182" s="227">
        <v>5</v>
      </c>
      <c r="B182" t="s" s="10">
        <v>197</v>
      </c>
      <c r="C182" s="180"/>
      <c r="D182" s="180"/>
      <c r="E182" t="s" s="251">
        <v>1002</v>
      </c>
      <c r="F182" s="182">
        <v>0</v>
      </c>
      <c r="G182" s="183"/>
      <c r="H182" s="42">
        <f>SUM(J182,N182)</f>
        <v>0</v>
      </c>
      <c r="I182" s="207">
        <f>SUM(Q182,S182,U182,W182,Y182,AA182,AC182,AE182,AG182,AI182,AK182,AM182,AO182,AQ182,AS182)</f>
        <v>0</v>
      </c>
      <c r="J182" s="43">
        <f>SUM(P182,R182,T182,V182,X182,Z182,AB182,AD182,AF182,AH182,AJ182,AL182,AN182,AP182,AR182)</f>
        <v>0</v>
      </c>
      <c r="K182" s="44"/>
      <c r="L182" s="6"/>
      <c r="M182" s="6"/>
      <c r="N182" s="14"/>
      <c r="O182" s="122"/>
      <c r="P182" s="46"/>
      <c r="Q182" s="46"/>
      <c r="R182" s="47"/>
      <c r="S182" s="47"/>
      <c r="T182" s="47"/>
      <c r="U182" s="47"/>
      <c r="V182" s="47"/>
      <c r="W182" s="47"/>
      <c r="X182" s="47"/>
      <c r="Y182" s="47"/>
      <c r="Z182" s="48">
        <v>0</v>
      </c>
      <c r="AA182" s="48">
        <v>0</v>
      </c>
      <c r="AB182" s="49"/>
      <c r="AC182" s="49"/>
      <c r="AD182" s="55">
        <v>0</v>
      </c>
      <c r="AE182" s="213">
        <v>0</v>
      </c>
      <c r="AF182" s="14"/>
      <c r="AG182" s="122"/>
      <c r="AH182" s="51">
        <v>0</v>
      </c>
      <c r="AI182" s="51">
        <v>0</v>
      </c>
      <c r="AJ182" s="47"/>
      <c r="AK182" s="47"/>
      <c r="AL182" s="14"/>
      <c r="AM182" s="122"/>
      <c r="AN182" s="47"/>
      <c r="AO182" s="47"/>
      <c r="AP182" s="47"/>
      <c r="AQ182" s="47"/>
      <c r="AR182" s="51">
        <v>0</v>
      </c>
      <c r="AS182" s="51">
        <v>0</v>
      </c>
    </row>
    <row r="183" ht="78.75" customHeight="1" hidden="1">
      <c r="A183" t="s" s="88">
        <v>1003</v>
      </c>
      <c r="B183" t="s" s="84">
        <v>198</v>
      </c>
      <c r="C183" s="228"/>
      <c r="D183" s="228"/>
      <c r="E183" s="189"/>
      <c r="F183" s="182">
        <v>0</v>
      </c>
      <c r="G183" s="183"/>
      <c r="H183" s="42">
        <f>SUM(J183,N183)</f>
        <v>0</v>
      </c>
      <c r="I183" s="207">
        <f>SUM(Q183,S183,U183,W183,Y183,AA183,AC183,AE183,AG183,AI183,AK183,AM183,AO183,AQ183,AS183)</f>
        <v>0</v>
      </c>
      <c r="J183" s="43">
        <f>SUM(P183,R183,T183,V183,X183,Z183,AB183,AD183,AF183,AH183,AJ183,AL183,AN183,AP183,AR183)</f>
        <v>0</v>
      </c>
      <c r="K183" s="44"/>
      <c r="L183" s="6"/>
      <c r="M183" s="6"/>
      <c r="N183" s="14"/>
      <c r="O183" s="122"/>
      <c r="P183" s="46"/>
      <c r="Q183" s="46"/>
      <c r="R183" s="47"/>
      <c r="S183" s="47"/>
      <c r="T183" s="47"/>
      <c r="U183" s="47"/>
      <c r="V183" s="47"/>
      <c r="W183" s="47"/>
      <c r="X183" s="47"/>
      <c r="Y183" s="47"/>
      <c r="Z183" s="48">
        <v>0</v>
      </c>
      <c r="AA183" s="48">
        <v>0</v>
      </c>
      <c r="AB183" s="49"/>
      <c r="AC183" s="49"/>
      <c r="AD183" s="50"/>
      <c r="AE183" s="50"/>
      <c r="AF183" s="14"/>
      <c r="AG183" s="122"/>
      <c r="AH183" s="51">
        <v>0</v>
      </c>
      <c r="AI183" s="51">
        <v>0</v>
      </c>
      <c r="AJ183" s="47"/>
      <c r="AK183" s="47"/>
      <c r="AL183" s="14"/>
      <c r="AM183" s="122"/>
      <c r="AN183" s="47"/>
      <c r="AO183" s="47"/>
      <c r="AP183" s="51">
        <v>0</v>
      </c>
      <c r="AQ183" s="47"/>
      <c r="AR183" s="51">
        <v>0</v>
      </c>
      <c r="AS183" s="51">
        <v>0</v>
      </c>
    </row>
    <row r="184" ht="19.5" customHeight="1" hidden="1">
      <c r="A184" t="s" s="88">
        <v>1004</v>
      </c>
      <c r="B184" t="s" s="67">
        <v>199</v>
      </c>
      <c r="C184" s="228"/>
      <c r="D184" s="228"/>
      <c r="E184" s="189"/>
      <c r="F184" s="182">
        <v>0</v>
      </c>
      <c r="G184" s="183"/>
      <c r="H184" s="42">
        <f>SUM(J184,N184)</f>
        <v>0</v>
      </c>
      <c r="I184" s="207">
        <f>SUM(Q184,S184,U184,W184,Y184,AA184,AC184,AE184,AG184,AI184,AK184,AM184,AO184,AQ184,AS184)</f>
        <v>0</v>
      </c>
      <c r="J184" s="43">
        <f>SUM(P184,R184,T184,V184,X184,Z184,AB184,AD184,AF184,AH184,AJ184,AL184,AN184,AP184,AR184)</f>
        <v>0</v>
      </c>
      <c r="K184" s="44"/>
      <c r="L184" s="6"/>
      <c r="M184" s="6"/>
      <c r="N184" s="14"/>
      <c r="O184" s="122"/>
      <c r="P184" s="46"/>
      <c r="Q184" s="46"/>
      <c r="R184" s="47"/>
      <c r="S184" s="47"/>
      <c r="T184" s="47"/>
      <c r="U184" s="47"/>
      <c r="V184" s="47"/>
      <c r="W184" s="47"/>
      <c r="X184" s="47"/>
      <c r="Y184" s="47"/>
      <c r="Z184" s="48">
        <v>0</v>
      </c>
      <c r="AA184" s="48">
        <v>0</v>
      </c>
      <c r="AB184" s="49"/>
      <c r="AC184" s="49"/>
      <c r="AD184" s="50"/>
      <c r="AE184" s="50"/>
      <c r="AF184" s="14"/>
      <c r="AG184" s="122"/>
      <c r="AH184" s="51">
        <v>0</v>
      </c>
      <c r="AI184" s="51">
        <v>0</v>
      </c>
      <c r="AJ184" s="47"/>
      <c r="AK184" s="47"/>
      <c r="AL184" s="14"/>
      <c r="AM184" s="122"/>
      <c r="AN184" s="47"/>
      <c r="AO184" s="47"/>
      <c r="AP184" s="47"/>
      <c r="AQ184" s="47"/>
      <c r="AR184" s="51">
        <v>0</v>
      </c>
      <c r="AS184" s="51">
        <v>0</v>
      </c>
    </row>
    <row r="185" ht="31.5" customHeight="1" hidden="1">
      <c r="A185" t="s" s="130">
        <v>1005</v>
      </c>
      <c r="B185" t="s" s="52">
        <v>200</v>
      </c>
      <c r="C185" t="s" s="130">
        <v>910</v>
      </c>
      <c r="D185" t="s" s="209">
        <v>801</v>
      </c>
      <c r="E185" t="s" s="132">
        <v>1006</v>
      </c>
      <c r="F185" t="s" s="210">
        <v>720</v>
      </c>
      <c r="G185" s="211"/>
      <c r="H185" s="42">
        <f>SUM(J185,N185)</f>
        <v>3720500</v>
      </c>
      <c r="I185" s="207">
        <f>SUM(Q185,S185,U185,W185,Y185,AA185,AC185,AE185,AG185,AI185,AK185,AM185,AO185,AQ185,AS185)</f>
        <v>2952340</v>
      </c>
      <c r="J185" s="43">
        <f>SUM(P185,R185,T185,V185,X185,Z185,AB185,AD185,AF185,AH185,AJ185,AL185,AN185,AP185,AR185)</f>
        <v>3720500</v>
      </c>
      <c r="K185" s="44"/>
      <c r="L185" s="6"/>
      <c r="M185" s="6"/>
      <c r="N185" s="14"/>
      <c r="O185" s="122"/>
      <c r="P185" s="27">
        <v>100000</v>
      </c>
      <c r="Q185" s="27">
        <v>85050</v>
      </c>
      <c r="R185" s="51">
        <v>62000</v>
      </c>
      <c r="S185" s="51">
        <v>56400</v>
      </c>
      <c r="T185" s="51">
        <v>150000</v>
      </c>
      <c r="U185" s="51">
        <v>77800</v>
      </c>
      <c r="V185" s="51">
        <v>200000</v>
      </c>
      <c r="W185" s="51">
        <v>197600</v>
      </c>
      <c r="X185" s="51">
        <v>170000</v>
      </c>
      <c r="Y185" s="51">
        <v>152050</v>
      </c>
      <c r="Z185" s="48">
        <v>685000</v>
      </c>
      <c r="AA185" s="48">
        <v>595000</v>
      </c>
      <c r="AB185" s="48">
        <v>638000</v>
      </c>
      <c r="AC185" s="48">
        <v>479170</v>
      </c>
      <c r="AD185" s="55">
        <v>825000</v>
      </c>
      <c r="AE185" s="213">
        <v>623200</v>
      </c>
      <c r="AF185" s="212">
        <v>220000</v>
      </c>
      <c r="AG185" s="121">
        <v>180000</v>
      </c>
      <c r="AH185" s="51">
        <v>568000</v>
      </c>
      <c r="AI185" s="51">
        <v>428460</v>
      </c>
      <c r="AJ185" s="51">
        <v>0</v>
      </c>
      <c r="AK185" s="51">
        <v>0</v>
      </c>
      <c r="AL185" s="73">
        <v>3500</v>
      </c>
      <c r="AM185" s="73">
        <v>3050</v>
      </c>
      <c r="AN185" s="51">
        <v>4000</v>
      </c>
      <c r="AO185" s="51">
        <v>3510</v>
      </c>
      <c r="AP185" s="51">
        <v>15000</v>
      </c>
      <c r="AQ185" s="51">
        <v>12940</v>
      </c>
      <c r="AR185" s="51">
        <v>80000</v>
      </c>
      <c r="AS185" s="51">
        <v>58110</v>
      </c>
    </row>
    <row r="186" ht="58.5" customHeight="1" hidden="1">
      <c r="A186" t="s" s="130">
        <v>1007</v>
      </c>
      <c r="B186" t="s" s="52">
        <v>201</v>
      </c>
      <c r="C186" t="s" s="130">
        <v>790</v>
      </c>
      <c r="D186" t="s" s="209">
        <v>801</v>
      </c>
      <c r="E186" t="s" s="132">
        <v>1008</v>
      </c>
      <c r="F186" t="s" s="210">
        <v>720</v>
      </c>
      <c r="G186" s="211"/>
      <c r="H186" s="42">
        <f>SUM(J186,N186)</f>
        <v>266955</v>
      </c>
      <c r="I186" s="207">
        <f>SUM(Q186,S186,U186,W186,Y186,AA186,AC186,AE186,AG186,AI186,AK186,AM186,AO186,AQ186,AS186)</f>
        <v>147133</v>
      </c>
      <c r="J186" s="43">
        <f>SUM(P186,R186,T186,V186,X186,Z186,AB186,AD186,AF186,AH186,AJ186,AL186,AN186,AP186,AR186)</f>
        <v>266955</v>
      </c>
      <c r="K186" s="44"/>
      <c r="L186" s="6"/>
      <c r="M186" s="6"/>
      <c r="N186" s="14"/>
      <c r="O186" s="122"/>
      <c r="P186" s="27">
        <v>3000</v>
      </c>
      <c r="Q186" s="27">
        <v>1560</v>
      </c>
      <c r="R186" s="51">
        <v>15000</v>
      </c>
      <c r="S186" s="51">
        <v>13390</v>
      </c>
      <c r="T186" s="51">
        <v>10000</v>
      </c>
      <c r="U186" s="51">
        <v>5679</v>
      </c>
      <c r="V186" s="51">
        <v>6000</v>
      </c>
      <c r="W186" s="51">
        <v>5550</v>
      </c>
      <c r="X186" s="51">
        <v>7500</v>
      </c>
      <c r="Y186" s="51">
        <v>7080</v>
      </c>
      <c r="Z186" s="48">
        <v>34300</v>
      </c>
      <c r="AA186" s="48">
        <v>29000</v>
      </c>
      <c r="AB186" s="48">
        <v>81730</v>
      </c>
      <c r="AC186" s="48">
        <v>28871</v>
      </c>
      <c r="AD186" s="55">
        <v>48500</v>
      </c>
      <c r="AE186" s="213">
        <v>21930</v>
      </c>
      <c r="AF186" s="212">
        <v>20000</v>
      </c>
      <c r="AG186" s="121">
        <v>13600</v>
      </c>
      <c r="AH186" s="51">
        <v>40200</v>
      </c>
      <c r="AI186" s="51">
        <v>19933</v>
      </c>
      <c r="AJ186" s="51">
        <v>50</v>
      </c>
      <c r="AK186" s="51">
        <v>30</v>
      </c>
      <c r="AL186" s="14"/>
      <c r="AM186" s="122"/>
      <c r="AN186" s="51">
        <v>75</v>
      </c>
      <c r="AO186" s="51">
        <v>47</v>
      </c>
      <c r="AP186" s="51">
        <v>0</v>
      </c>
      <c r="AQ186" s="47"/>
      <c r="AR186" s="51">
        <v>600</v>
      </c>
      <c r="AS186" s="51">
        <v>463</v>
      </c>
    </row>
    <row r="187" ht="253.5" customHeight="1" hidden="1">
      <c r="A187" t="s" s="130">
        <v>1009</v>
      </c>
      <c r="B187" t="s" s="52">
        <v>202</v>
      </c>
      <c r="C187" t="s" s="130">
        <v>800</v>
      </c>
      <c r="D187" t="s" s="209">
        <v>801</v>
      </c>
      <c r="E187" t="s" s="132">
        <v>1010</v>
      </c>
      <c r="F187" t="s" s="210">
        <v>714</v>
      </c>
      <c r="G187" s="211"/>
      <c r="H187" s="42">
        <f>SUM(J187,N187)</f>
        <v>449345</v>
      </c>
      <c r="I187" s="207">
        <f>SUM(Q187,S187,U187,W187,Y187,AA187,AC187,AE187,AG187,AI187,AK187,AM187,AO187,AQ187,AS187)</f>
        <v>286542</v>
      </c>
      <c r="J187" s="43">
        <f>SUM(P187,R187,T187,V187,X187,Z187,AB187,AD187,AF187,AH187,AJ187,AL187,AN187,AP187,AR187)</f>
        <v>446345</v>
      </c>
      <c r="K187" s="44"/>
      <c r="L187" s="6"/>
      <c r="M187" s="6"/>
      <c r="N187" s="212">
        <v>3000</v>
      </c>
      <c r="O187" s="122"/>
      <c r="P187" s="27">
        <v>60000</v>
      </c>
      <c r="Q187" s="27">
        <v>38120</v>
      </c>
      <c r="R187" s="51">
        <v>64000</v>
      </c>
      <c r="S187" s="51">
        <v>58180</v>
      </c>
      <c r="T187" s="51">
        <v>70000</v>
      </c>
      <c r="U187" s="51">
        <v>35500</v>
      </c>
      <c r="V187" s="51">
        <v>20000</v>
      </c>
      <c r="W187" s="51">
        <v>14000</v>
      </c>
      <c r="X187" s="51">
        <v>18000</v>
      </c>
      <c r="Y187" s="51">
        <v>17760</v>
      </c>
      <c r="Z187" s="48">
        <v>38300</v>
      </c>
      <c r="AA187" s="48">
        <v>28700</v>
      </c>
      <c r="AB187" s="48">
        <v>34330</v>
      </c>
      <c r="AC187" s="48">
        <v>13587</v>
      </c>
      <c r="AD187" s="55">
        <v>77000</v>
      </c>
      <c r="AE187" s="213">
        <v>38677</v>
      </c>
      <c r="AF187" s="212">
        <v>19000</v>
      </c>
      <c r="AG187" s="121">
        <v>14100</v>
      </c>
      <c r="AH187" s="51">
        <v>37850</v>
      </c>
      <c r="AI187" s="51">
        <v>22962</v>
      </c>
      <c r="AJ187" s="51">
        <v>0</v>
      </c>
      <c r="AK187" s="51">
        <v>0</v>
      </c>
      <c r="AL187" s="14"/>
      <c r="AM187" s="122"/>
      <c r="AN187" s="51">
        <v>365</v>
      </c>
      <c r="AO187" s="51">
        <v>365</v>
      </c>
      <c r="AP187" s="51">
        <v>7000</v>
      </c>
      <c r="AQ187" s="51">
        <v>4200</v>
      </c>
      <c r="AR187" s="51">
        <v>500</v>
      </c>
      <c r="AS187" s="51">
        <v>391</v>
      </c>
    </row>
    <row r="188" ht="63" customHeight="1" hidden="1">
      <c r="A188" t="s" s="59">
        <v>1011</v>
      </c>
      <c r="B188" t="s" s="21">
        <v>203</v>
      </c>
      <c r="C188" t="s" s="59">
        <v>954</v>
      </c>
      <c r="D188" t="s" s="190">
        <v>801</v>
      </c>
      <c r="E188" t="s" s="223">
        <v>1012</v>
      </c>
      <c r="F188" t="s" s="192">
        <v>720</v>
      </c>
      <c r="G188" s="193"/>
      <c r="H188" s="194">
        <f>SUM(J188,N188)</f>
        <v>199500</v>
      </c>
      <c r="I188" s="195">
        <f>SUM(Q188,S188,U188,W188,Y188,AA188,AC188,AE188,AG188,AI188,AK188,AM188,AO188,AQ188,AS188)</f>
        <v>84010</v>
      </c>
      <c r="J188" s="23">
        <f>SUM(P188,R188,T188,V188,X188,Z188,AB188,AD188,AF188,AH188,AJ188,AL188,AN188,AP188,AR188)</f>
        <v>199500</v>
      </c>
      <c r="K188" s="36"/>
      <c r="L188" s="196"/>
      <c r="M188" s="196"/>
      <c r="N188" s="196"/>
      <c r="O188" s="197"/>
      <c r="P188" s="27">
        <v>80000</v>
      </c>
      <c r="Q188" s="27">
        <v>30350</v>
      </c>
      <c r="R188" s="28">
        <v>10000</v>
      </c>
      <c r="S188" s="28">
        <v>8600</v>
      </c>
      <c r="T188" s="28">
        <v>20000</v>
      </c>
      <c r="U188" s="28">
        <v>10000</v>
      </c>
      <c r="V188" s="28">
        <v>40000</v>
      </c>
      <c r="W188" s="28">
        <v>17300</v>
      </c>
      <c r="X188" s="28">
        <v>36000</v>
      </c>
      <c r="Y188" s="28">
        <v>6020</v>
      </c>
      <c r="Z188" s="30">
        <v>0</v>
      </c>
      <c r="AA188" s="30">
        <v>0</v>
      </c>
      <c r="AB188" s="30">
        <v>0</v>
      </c>
      <c r="AC188" s="30">
        <v>0</v>
      </c>
      <c r="AD188" s="30">
        <v>0</v>
      </c>
      <c r="AE188" s="30">
        <v>0</v>
      </c>
      <c r="AF188" s="198">
        <v>0</v>
      </c>
      <c r="AG188" s="206">
        <v>0</v>
      </c>
      <c r="AH188" s="28">
        <v>0</v>
      </c>
      <c r="AI188" s="28">
        <v>0</v>
      </c>
      <c r="AJ188" s="28">
        <v>1500</v>
      </c>
      <c r="AK188" s="28">
        <v>3000</v>
      </c>
      <c r="AL188" s="202"/>
      <c r="AM188" s="197"/>
      <c r="AN188" s="28">
        <v>0</v>
      </c>
      <c r="AO188" s="28">
        <v>0</v>
      </c>
      <c r="AP188" s="28">
        <v>2000</v>
      </c>
      <c r="AQ188" s="28">
        <v>2000</v>
      </c>
      <c r="AR188" s="28">
        <v>10000</v>
      </c>
      <c r="AS188" s="28">
        <v>6740</v>
      </c>
    </row>
    <row r="189" ht="78.75" customHeight="1" hidden="1">
      <c r="A189" t="s" s="59">
        <v>1013</v>
      </c>
      <c r="B189" t="s" s="21">
        <v>204</v>
      </c>
      <c r="C189" t="s" s="59">
        <v>790</v>
      </c>
      <c r="D189" t="s" s="190">
        <v>801</v>
      </c>
      <c r="E189" t="s" s="223">
        <v>1012</v>
      </c>
      <c r="F189" t="s" s="192">
        <v>720</v>
      </c>
      <c r="G189" s="193"/>
      <c r="H189" s="194">
        <f>SUM(J189,N189)</f>
        <v>15030</v>
      </c>
      <c r="I189" s="195">
        <f>SUM(Q189,S189,U189,W189,Y189,AA189,AC189,AE189,AG189,AI189,AK189,AM189,AO189,AQ189,AS189)</f>
        <v>1987</v>
      </c>
      <c r="J189" s="23">
        <f>SUM(P189,R189,T189,V189,X189,Z189,AB189,AD189,AF189,AH189,AJ189,AL189,AN189,AP189,AR189)</f>
        <v>15030</v>
      </c>
      <c r="K189" s="36"/>
      <c r="L189" s="196"/>
      <c r="M189" s="196"/>
      <c r="N189" s="196"/>
      <c r="O189" s="197"/>
      <c r="P189" s="27">
        <v>1000</v>
      </c>
      <c r="Q189" s="27">
        <v>0</v>
      </c>
      <c r="R189" s="28">
        <v>6000</v>
      </c>
      <c r="S189" s="28">
        <v>450</v>
      </c>
      <c r="T189" s="28">
        <v>5000</v>
      </c>
      <c r="U189" s="28">
        <v>900</v>
      </c>
      <c r="V189" s="28">
        <v>2400</v>
      </c>
      <c r="W189" s="28">
        <v>150</v>
      </c>
      <c r="X189" s="28">
        <v>500</v>
      </c>
      <c r="Y189" s="28">
        <v>420</v>
      </c>
      <c r="Z189" s="30">
        <v>0</v>
      </c>
      <c r="AA189" s="30">
        <v>0</v>
      </c>
      <c r="AB189" s="30">
        <v>0</v>
      </c>
      <c r="AC189" s="30">
        <v>0</v>
      </c>
      <c r="AD189" s="30">
        <v>0</v>
      </c>
      <c r="AE189" s="30">
        <v>0</v>
      </c>
      <c r="AF189" s="198">
        <v>0</v>
      </c>
      <c r="AG189" s="206">
        <v>0</v>
      </c>
      <c r="AH189" s="28">
        <v>0</v>
      </c>
      <c r="AI189" s="28">
        <v>0</v>
      </c>
      <c r="AJ189" s="28">
        <v>0</v>
      </c>
      <c r="AK189" s="28">
        <v>0</v>
      </c>
      <c r="AL189" s="202"/>
      <c r="AM189" s="197"/>
      <c r="AN189" s="28">
        <v>30</v>
      </c>
      <c r="AO189" s="28">
        <v>8</v>
      </c>
      <c r="AP189" s="28">
        <v>0</v>
      </c>
      <c r="AQ189" s="87"/>
      <c r="AR189" s="28">
        <v>100</v>
      </c>
      <c r="AS189" s="28">
        <v>59</v>
      </c>
    </row>
    <row r="190" ht="63" customHeight="1" hidden="1">
      <c r="A190" t="s" s="103">
        <v>1014</v>
      </c>
      <c r="B190" t="s" s="10">
        <v>205</v>
      </c>
      <c r="C190" t="s" s="103">
        <v>800</v>
      </c>
      <c r="D190" t="s" s="66">
        <v>801</v>
      </c>
      <c r="E190" t="s" s="129">
        <v>1015</v>
      </c>
      <c r="F190" t="s" s="101">
        <v>714</v>
      </c>
      <c r="G190" s="203"/>
      <c r="H190" s="204">
        <f>SUM(J190,N190)</f>
        <v>6440</v>
      </c>
      <c r="I190" s="205">
        <f>SUM(Q190,S190,U190,W190,Y190,AA190,AC190,AE190,AG190,AI190,AK190,AM190,AO190,AQ190,AS190)</f>
        <v>999</v>
      </c>
      <c r="J190" s="35">
        <f>SUM(P190,R190,T190,V190,X190,Z190,AB190,AD190,AF190,AH190,AJ190,AL190,AN190,AP190,AR190)</f>
        <v>6440</v>
      </c>
      <c r="K190" s="36"/>
      <c r="L190" s="196"/>
      <c r="M190" s="196"/>
      <c r="N190" s="196"/>
      <c r="O190" s="197"/>
      <c r="P190" s="27">
        <v>6000</v>
      </c>
      <c r="Q190" s="27">
        <v>999</v>
      </c>
      <c r="R190" s="38">
        <v>200</v>
      </c>
      <c r="S190" s="38">
        <v>0</v>
      </c>
      <c r="T190" s="38">
        <v>0</v>
      </c>
      <c r="U190" s="38">
        <v>0</v>
      </c>
      <c r="V190" s="38">
        <v>240</v>
      </c>
      <c r="W190" s="38">
        <v>0</v>
      </c>
      <c r="X190" s="38">
        <v>0</v>
      </c>
      <c r="Y190" s="38">
        <v>0</v>
      </c>
      <c r="Z190" s="40">
        <v>0</v>
      </c>
      <c r="AA190" s="40">
        <v>0</v>
      </c>
      <c r="AB190" s="40">
        <v>0</v>
      </c>
      <c r="AC190" s="40">
        <v>0</v>
      </c>
      <c r="AD190" s="40">
        <v>0</v>
      </c>
      <c r="AE190" s="40">
        <v>0</v>
      </c>
      <c r="AF190" s="198">
        <v>0</v>
      </c>
      <c r="AG190" s="206">
        <v>0</v>
      </c>
      <c r="AH190" s="38">
        <v>0</v>
      </c>
      <c r="AI190" s="38">
        <v>0</v>
      </c>
      <c r="AJ190" s="38">
        <v>0</v>
      </c>
      <c r="AK190" s="38">
        <v>0</v>
      </c>
      <c r="AL190" s="202"/>
      <c r="AM190" s="197"/>
      <c r="AN190" s="38">
        <v>0</v>
      </c>
      <c r="AO190" s="38">
        <v>0</v>
      </c>
      <c r="AP190" s="38">
        <v>0</v>
      </c>
      <c r="AQ190" s="80"/>
      <c r="AR190" s="38">
        <v>0</v>
      </c>
      <c r="AS190" s="38">
        <v>0</v>
      </c>
    </row>
    <row r="191" ht="78" customHeight="1" hidden="1">
      <c r="A191" t="s" s="59">
        <v>1016</v>
      </c>
      <c r="B191" t="s" s="59">
        <v>206</v>
      </c>
      <c r="C191" t="s" s="59">
        <v>800</v>
      </c>
      <c r="D191" t="s" s="190">
        <v>801</v>
      </c>
      <c r="E191" t="s" s="223">
        <v>1017</v>
      </c>
      <c r="F191" t="s" s="192">
        <v>714</v>
      </c>
      <c r="G191" s="193"/>
      <c r="H191" s="194">
        <f>SUM(J191,N191)</f>
        <v>1050</v>
      </c>
      <c r="I191" s="195">
        <f>SUM(Q191,S191,U191,W191,Y191,AA191,AC191,AE191,AG191,AI191,AK191,AM191,AO191,AQ191,AS191)</f>
        <v>0</v>
      </c>
      <c r="J191" s="23">
        <f>SUM(P191,R191,T191,V191,X191,Z191,AB191,AD191,AF191,AH191,AJ191,AL191,AN191,AP191,AR191)</f>
        <v>1050</v>
      </c>
      <c r="K191" s="36"/>
      <c r="L191" s="196"/>
      <c r="M191" s="196"/>
      <c r="N191" s="196"/>
      <c r="O191" s="197"/>
      <c r="P191" s="27">
        <v>1000</v>
      </c>
      <c r="Q191" s="27">
        <v>0</v>
      </c>
      <c r="R191" s="28">
        <v>0</v>
      </c>
      <c r="S191" s="28">
        <v>0</v>
      </c>
      <c r="T191" s="28">
        <v>0</v>
      </c>
      <c r="U191" s="28">
        <v>0</v>
      </c>
      <c r="V191" s="28">
        <v>50</v>
      </c>
      <c r="W191" s="28">
        <v>0</v>
      </c>
      <c r="X191" s="28">
        <v>0</v>
      </c>
      <c r="Y191" s="28">
        <v>0</v>
      </c>
      <c r="Z191" s="30">
        <v>0</v>
      </c>
      <c r="AA191" s="30">
        <v>0</v>
      </c>
      <c r="AB191" s="30">
        <v>0</v>
      </c>
      <c r="AC191" s="30">
        <v>0</v>
      </c>
      <c r="AD191" s="30">
        <v>0</v>
      </c>
      <c r="AE191" s="30">
        <v>0</v>
      </c>
      <c r="AF191" s="198">
        <v>0</v>
      </c>
      <c r="AG191" s="206">
        <v>0</v>
      </c>
      <c r="AH191" s="28">
        <v>0</v>
      </c>
      <c r="AI191" s="28">
        <v>0</v>
      </c>
      <c r="AJ191" s="28">
        <v>0</v>
      </c>
      <c r="AK191" s="28">
        <v>0</v>
      </c>
      <c r="AL191" s="202"/>
      <c r="AM191" s="197"/>
      <c r="AN191" s="28">
        <v>0</v>
      </c>
      <c r="AO191" s="28">
        <v>0</v>
      </c>
      <c r="AP191" s="28">
        <v>0</v>
      </c>
      <c r="AQ191" s="87"/>
      <c r="AR191" s="28">
        <v>0</v>
      </c>
      <c r="AS191" s="28">
        <v>0</v>
      </c>
    </row>
    <row r="192" ht="31.5" customHeight="1" hidden="1">
      <c r="A192" t="s" s="88">
        <v>1018</v>
      </c>
      <c r="B192" t="s" s="67">
        <v>207</v>
      </c>
      <c r="C192" s="228"/>
      <c r="D192" s="228"/>
      <c r="E192" s="189"/>
      <c r="F192" s="182">
        <v>0</v>
      </c>
      <c r="G192" s="183"/>
      <c r="H192" s="42">
        <f>SUM(J192,N192)</f>
        <v>0</v>
      </c>
      <c r="I192" s="207">
        <f>SUM(Q192,S192,U192,W192,Y192,AA192,AC192,AE192,AG192,AI192,AK192,AM192,AO192,AQ192,AS192)</f>
        <v>0</v>
      </c>
      <c r="J192" s="43">
        <f>SUM(P192,R192,T192,V192,X192,Z192,AB192,AD192,AF192,AH192,AJ192,AL192,AN192,AP192,AR192)</f>
        <v>0</v>
      </c>
      <c r="K192" s="44"/>
      <c r="L192" s="6"/>
      <c r="M192" s="6"/>
      <c r="N192" s="14"/>
      <c r="O192" s="122"/>
      <c r="P192" s="46"/>
      <c r="Q192" s="46"/>
      <c r="R192" s="47"/>
      <c r="S192" s="47"/>
      <c r="T192" s="47"/>
      <c r="U192" s="47"/>
      <c r="V192" s="47"/>
      <c r="W192" s="47"/>
      <c r="X192" s="47"/>
      <c r="Y192" s="47"/>
      <c r="Z192" s="48">
        <v>0</v>
      </c>
      <c r="AA192" s="48">
        <v>0</v>
      </c>
      <c r="AB192" s="49"/>
      <c r="AC192" s="49"/>
      <c r="AD192" s="50"/>
      <c r="AE192" s="50"/>
      <c r="AF192" s="14"/>
      <c r="AG192" s="122"/>
      <c r="AH192" s="51">
        <v>0</v>
      </c>
      <c r="AI192" s="51">
        <v>0</v>
      </c>
      <c r="AJ192" s="47"/>
      <c r="AK192" s="47"/>
      <c r="AL192" s="14"/>
      <c r="AM192" s="122"/>
      <c r="AN192" s="47"/>
      <c r="AO192" s="47"/>
      <c r="AP192" s="47"/>
      <c r="AQ192" s="47"/>
      <c r="AR192" s="51">
        <v>0</v>
      </c>
      <c r="AS192" s="51">
        <v>0</v>
      </c>
    </row>
    <row r="193" ht="47.25" customHeight="1" hidden="1">
      <c r="A193" t="s" s="59">
        <v>1019</v>
      </c>
      <c r="B193" t="s" s="21">
        <v>208</v>
      </c>
      <c r="C193" t="s" s="59">
        <v>1000</v>
      </c>
      <c r="D193" t="s" s="190">
        <v>801</v>
      </c>
      <c r="E193" t="s" s="223">
        <v>1012</v>
      </c>
      <c r="F193" t="s" s="192">
        <v>720</v>
      </c>
      <c r="G193" s="193"/>
      <c r="H193" s="194">
        <f>SUM(J193,N193)</f>
        <v>1709200</v>
      </c>
      <c r="I193" s="195">
        <f>SUM(Q193,S193,U193,W193,Y193,AA193,AC193,AE193,AG193,AI193,AK193,AM193,AO193,AQ193,AS193)</f>
        <v>956700</v>
      </c>
      <c r="J193" s="23">
        <f>SUM(P193,R193,T193,V193,X193,Z193,AB193,AD193,AF193,AH193,AJ193,AL193,AN193,AP193,AR193)</f>
        <v>1709200</v>
      </c>
      <c r="K193" s="36"/>
      <c r="L193" s="196"/>
      <c r="M193" s="196"/>
      <c r="N193" s="196"/>
      <c r="O193" s="197"/>
      <c r="P193" s="27">
        <v>50000</v>
      </c>
      <c r="Q193" s="27">
        <v>40290</v>
      </c>
      <c r="R193" s="28">
        <v>24000</v>
      </c>
      <c r="S193" s="28">
        <v>16200</v>
      </c>
      <c r="T193" s="28">
        <v>10000</v>
      </c>
      <c r="U193" s="28">
        <v>11000</v>
      </c>
      <c r="V193" s="28">
        <v>50000</v>
      </c>
      <c r="W193" s="28">
        <v>38400</v>
      </c>
      <c r="X193" s="28">
        <v>32000</v>
      </c>
      <c r="Y193" s="28">
        <v>30550</v>
      </c>
      <c r="Z193" s="30">
        <v>332000</v>
      </c>
      <c r="AA193" s="30">
        <v>242000</v>
      </c>
      <c r="AB193" s="30">
        <v>426800</v>
      </c>
      <c r="AC193" s="30">
        <v>173760</v>
      </c>
      <c r="AD193" s="30">
        <v>448000</v>
      </c>
      <c r="AE193" s="30">
        <v>124310</v>
      </c>
      <c r="AF193" s="198">
        <v>230000</v>
      </c>
      <c r="AG193" s="206">
        <v>205700</v>
      </c>
      <c r="AH193" s="28">
        <v>93700</v>
      </c>
      <c r="AI193" s="28">
        <v>64900</v>
      </c>
      <c r="AJ193" s="28">
        <v>0</v>
      </c>
      <c r="AK193" s="28">
        <v>0</v>
      </c>
      <c r="AL193" s="234">
        <v>300</v>
      </c>
      <c r="AM193" s="234">
        <v>0</v>
      </c>
      <c r="AN193" s="28">
        <v>5400</v>
      </c>
      <c r="AO193" s="28">
        <v>5390</v>
      </c>
      <c r="AP193" s="28">
        <v>5000</v>
      </c>
      <c r="AQ193" s="28">
        <v>3200</v>
      </c>
      <c r="AR193" s="28">
        <v>2000</v>
      </c>
      <c r="AS193" s="28">
        <v>1000</v>
      </c>
    </row>
    <row r="194" ht="47.25" customHeight="1" hidden="1">
      <c r="A194" t="s" s="59">
        <v>1020</v>
      </c>
      <c r="B194" t="s" s="21">
        <v>209</v>
      </c>
      <c r="C194" t="s" s="59">
        <v>790</v>
      </c>
      <c r="D194" t="s" s="190">
        <v>801</v>
      </c>
      <c r="E194" t="s" s="223">
        <v>1021</v>
      </c>
      <c r="F194" t="s" s="192">
        <v>720</v>
      </c>
      <c r="G194" s="193"/>
      <c r="H194" s="194">
        <f>SUM(J194,N194)</f>
        <v>145285</v>
      </c>
      <c r="I194" s="195">
        <f>SUM(Q194,S194,U194,W194,Y194,AA194,AC194,AE194,AG194,AI194,AK194,AM194,AO194,AQ194,AS194)</f>
        <v>70216</v>
      </c>
      <c r="J194" s="23">
        <f>SUM(P194,R194,T194,V194,X194,Z194,AB194,AD194,AF194,AH194,AJ194,AL194,AN194,AP194,AR194)</f>
        <v>145285</v>
      </c>
      <c r="K194" s="36"/>
      <c r="L194" s="196"/>
      <c r="M194" s="196"/>
      <c r="N194" s="196"/>
      <c r="O194" s="197"/>
      <c r="P194" s="27">
        <v>1000</v>
      </c>
      <c r="Q194" s="27">
        <v>570</v>
      </c>
      <c r="R194" s="28">
        <v>8000</v>
      </c>
      <c r="S194" s="28">
        <v>6750</v>
      </c>
      <c r="T194" s="28">
        <v>6000</v>
      </c>
      <c r="U194" s="28">
        <v>3410</v>
      </c>
      <c r="V194" s="28">
        <v>6000</v>
      </c>
      <c r="W194" s="28">
        <v>5250</v>
      </c>
      <c r="X194" s="28">
        <v>3700</v>
      </c>
      <c r="Y194" s="28">
        <v>3360</v>
      </c>
      <c r="Z194" s="30">
        <v>22100</v>
      </c>
      <c r="AA194" s="30">
        <v>8500</v>
      </c>
      <c r="AB194" s="30">
        <v>28860</v>
      </c>
      <c r="AC194" s="30">
        <v>12627</v>
      </c>
      <c r="AD194" s="30">
        <v>34000</v>
      </c>
      <c r="AE194" s="30">
        <v>11740</v>
      </c>
      <c r="AF194" s="198">
        <v>17000</v>
      </c>
      <c r="AG194" s="206">
        <v>9400</v>
      </c>
      <c r="AH194" s="28">
        <v>18400</v>
      </c>
      <c r="AI194" s="28">
        <v>8400</v>
      </c>
      <c r="AJ194" s="28">
        <v>0</v>
      </c>
      <c r="AK194" s="28">
        <v>0</v>
      </c>
      <c r="AL194" s="202"/>
      <c r="AM194" s="197"/>
      <c r="AN194" s="28">
        <v>125</v>
      </c>
      <c r="AO194" s="28">
        <v>115</v>
      </c>
      <c r="AP194" s="28">
        <v>0</v>
      </c>
      <c r="AQ194" s="87"/>
      <c r="AR194" s="28">
        <v>100</v>
      </c>
      <c r="AS194" s="28">
        <v>94</v>
      </c>
    </row>
    <row r="195" ht="63" customHeight="1" hidden="1">
      <c r="A195" t="s" s="59">
        <v>1022</v>
      </c>
      <c r="B195" t="s" s="21">
        <v>210</v>
      </c>
      <c r="C195" t="s" s="59">
        <v>800</v>
      </c>
      <c r="D195" t="s" s="190">
        <v>801</v>
      </c>
      <c r="E195" t="s" s="223">
        <v>1023</v>
      </c>
      <c r="F195" t="s" s="192">
        <v>720</v>
      </c>
      <c r="G195" s="193"/>
      <c r="H195" s="194">
        <f>SUM(J195,N195)</f>
        <v>5600</v>
      </c>
      <c r="I195" s="195">
        <f>SUM(Q195,S195,U195,W195,Y195,AA195,AC195,AE195,AG195,AI195,AK195,AM195,AO195,AQ195,AS195)</f>
        <v>3184</v>
      </c>
      <c r="J195" s="23">
        <f>SUM(P195,R195,T195,V195,X195,Z195,AB195,AD195,AF195,AH195,AJ195,AL195,AN195,AP195,AR195)</f>
        <v>5600</v>
      </c>
      <c r="K195" s="36"/>
      <c r="L195" s="196"/>
      <c r="M195" s="196"/>
      <c r="N195" s="196"/>
      <c r="O195" s="197"/>
      <c r="P195" s="27">
        <v>3000</v>
      </c>
      <c r="Q195" s="27">
        <v>1884</v>
      </c>
      <c r="R195" s="28">
        <v>0</v>
      </c>
      <c r="S195" s="28">
        <v>0</v>
      </c>
      <c r="T195" s="28">
        <v>1000</v>
      </c>
      <c r="U195" s="28">
        <v>0</v>
      </c>
      <c r="V195" s="28">
        <v>600</v>
      </c>
      <c r="W195" s="28">
        <v>300</v>
      </c>
      <c r="X195" s="28">
        <v>0</v>
      </c>
      <c r="Y195" s="28">
        <v>0</v>
      </c>
      <c r="Z195" s="30">
        <v>0</v>
      </c>
      <c r="AA195" s="30">
        <v>0</v>
      </c>
      <c r="AB195" s="30">
        <v>0</v>
      </c>
      <c r="AC195" s="30">
        <v>0</v>
      </c>
      <c r="AD195" s="30">
        <v>0</v>
      </c>
      <c r="AE195" s="30">
        <v>0</v>
      </c>
      <c r="AF195" s="198">
        <v>0</v>
      </c>
      <c r="AG195" s="206">
        <v>0</v>
      </c>
      <c r="AH195" s="28">
        <v>0</v>
      </c>
      <c r="AI195" s="28">
        <v>0</v>
      </c>
      <c r="AJ195" s="28">
        <v>0</v>
      </c>
      <c r="AK195" s="28">
        <v>0</v>
      </c>
      <c r="AL195" s="202"/>
      <c r="AM195" s="197"/>
      <c r="AN195" s="28">
        <v>0</v>
      </c>
      <c r="AO195" s="28">
        <v>0</v>
      </c>
      <c r="AP195" s="28">
        <v>1000</v>
      </c>
      <c r="AQ195" s="28">
        <v>1000</v>
      </c>
      <c r="AR195" s="28">
        <v>0</v>
      </c>
      <c r="AS195" s="28">
        <v>0</v>
      </c>
    </row>
    <row r="196" ht="409.5" customHeight="1" hidden="1">
      <c r="A196" t="s" s="130">
        <v>1024</v>
      </c>
      <c r="B196" t="s" s="85">
        <v>1025</v>
      </c>
      <c r="C196" t="s" s="130">
        <v>800</v>
      </c>
      <c r="D196" t="s" s="209">
        <v>801</v>
      </c>
      <c r="E196" t="s" s="132">
        <v>1026</v>
      </c>
      <c r="F196" t="s" s="210">
        <v>714</v>
      </c>
      <c r="G196" s="211"/>
      <c r="H196" s="42">
        <f>SUM(J196,N196)</f>
        <v>208000</v>
      </c>
      <c r="I196" s="207">
        <f>SUM(Q196,S196,U196,W196,Y196,AA196,AC196,AE196,AG196,AI196,AK196,AM196,AO196,AQ196,AS196)</f>
        <v>141961</v>
      </c>
      <c r="J196" s="43">
        <f>SUM(P196,R196,T196,V196,X196,Z196,AB196,AD196,AF196,AH196,AJ196,AL196,AN196,AP196,AR196)</f>
        <v>206000</v>
      </c>
      <c r="K196" s="44"/>
      <c r="L196" s="6"/>
      <c r="M196" s="6"/>
      <c r="N196" s="212">
        <v>2000</v>
      </c>
      <c r="O196" s="122"/>
      <c r="P196" s="27">
        <v>80000</v>
      </c>
      <c r="Q196" s="27">
        <v>49882</v>
      </c>
      <c r="R196" s="51">
        <v>50000</v>
      </c>
      <c r="S196" s="51">
        <v>43435</v>
      </c>
      <c r="T196" s="51">
        <v>36000</v>
      </c>
      <c r="U196" s="51">
        <v>8555</v>
      </c>
      <c r="V196" s="51">
        <v>30000</v>
      </c>
      <c r="W196" s="51">
        <v>28379</v>
      </c>
      <c r="X196" s="51">
        <v>9500</v>
      </c>
      <c r="Y196" s="51">
        <v>8670</v>
      </c>
      <c r="Z196" s="48">
        <v>0</v>
      </c>
      <c r="AA196" s="48">
        <v>0</v>
      </c>
      <c r="AB196" s="48">
        <v>0</v>
      </c>
      <c r="AC196" s="48">
        <v>0</v>
      </c>
      <c r="AD196" s="55">
        <v>0</v>
      </c>
      <c r="AE196" s="213">
        <v>0</v>
      </c>
      <c r="AF196" s="212">
        <v>0</v>
      </c>
      <c r="AG196" s="121">
        <v>0</v>
      </c>
      <c r="AH196" s="51">
        <v>0</v>
      </c>
      <c r="AI196" s="51">
        <v>0</v>
      </c>
      <c r="AJ196" s="51">
        <v>500</v>
      </c>
      <c r="AK196" s="51">
        <v>40</v>
      </c>
      <c r="AL196" s="14"/>
      <c r="AM196" s="122"/>
      <c r="AN196" s="51">
        <v>0</v>
      </c>
      <c r="AO196" s="51">
        <v>0</v>
      </c>
      <c r="AP196" s="47"/>
      <c r="AQ196" s="51">
        <v>3000</v>
      </c>
      <c r="AR196" s="51">
        <v>0</v>
      </c>
      <c r="AS196" s="51">
        <v>0</v>
      </c>
    </row>
    <row r="197" ht="175.5" customHeight="1" hidden="1">
      <c r="A197" t="s" s="59">
        <v>1027</v>
      </c>
      <c r="B197" t="s" s="86">
        <v>212</v>
      </c>
      <c r="C197" t="s" s="59">
        <v>800</v>
      </c>
      <c r="D197" t="s" s="190">
        <v>801</v>
      </c>
      <c r="E197" t="s" s="223">
        <v>1028</v>
      </c>
      <c r="F197" s="193"/>
      <c r="G197" s="193"/>
      <c r="H197" s="194">
        <f>SUM(J197,N197)</f>
        <v>29600</v>
      </c>
      <c r="I197" s="195">
        <f>SUM(Q197,S197,U197,W197,Y197,AA197,AC197,AE197,AG197,AI197,AK197,AM197,AO197,AQ197,AS197)</f>
        <v>2100</v>
      </c>
      <c r="J197" s="23">
        <f>SUM(P197,R197,T197,V197,X197,Z197,AB197,AD197,AF197,AH197,AJ197,AL197,AN197,AP197,AR197)</f>
        <v>29600</v>
      </c>
      <c r="K197" s="36"/>
      <c r="L197" s="196"/>
      <c r="M197" s="196"/>
      <c r="N197" s="196"/>
      <c r="O197" s="197"/>
      <c r="P197" s="27">
        <v>500</v>
      </c>
      <c r="Q197" s="27">
        <v>0</v>
      </c>
      <c r="R197" s="28">
        <v>10000</v>
      </c>
      <c r="S197" s="28">
        <v>0</v>
      </c>
      <c r="T197" s="28">
        <v>15000</v>
      </c>
      <c r="U197" s="28">
        <v>2100</v>
      </c>
      <c r="V197" s="28">
        <v>4000</v>
      </c>
      <c r="W197" s="28">
        <v>0</v>
      </c>
      <c r="X197" s="28">
        <v>100</v>
      </c>
      <c r="Y197" s="28">
        <v>0</v>
      </c>
      <c r="Z197" s="30">
        <v>0</v>
      </c>
      <c r="AA197" s="30">
        <v>0</v>
      </c>
      <c r="AB197" s="30">
        <v>0</v>
      </c>
      <c r="AC197" s="30">
        <v>0</v>
      </c>
      <c r="AD197" s="30">
        <v>0</v>
      </c>
      <c r="AE197" s="30">
        <v>0</v>
      </c>
      <c r="AF197" s="198">
        <v>0</v>
      </c>
      <c r="AG197" s="206">
        <v>0</v>
      </c>
      <c r="AH197" s="28">
        <v>0</v>
      </c>
      <c r="AI197" s="28">
        <v>0</v>
      </c>
      <c r="AJ197" s="28">
        <v>0</v>
      </c>
      <c r="AK197" s="28">
        <v>0</v>
      </c>
      <c r="AL197" s="202"/>
      <c r="AM197" s="197"/>
      <c r="AN197" s="28">
        <v>0</v>
      </c>
      <c r="AO197" s="28">
        <v>0</v>
      </c>
      <c r="AP197" s="28">
        <v>0</v>
      </c>
      <c r="AQ197" s="28">
        <v>0</v>
      </c>
      <c r="AR197" s="87"/>
      <c r="AS197" s="87"/>
    </row>
    <row r="198" ht="19.5" customHeight="1" hidden="1">
      <c r="A198" t="s" s="88">
        <v>1029</v>
      </c>
      <c r="B198" t="s" s="67">
        <v>213</v>
      </c>
      <c r="C198" s="228"/>
      <c r="D198" s="228"/>
      <c r="E198" s="189"/>
      <c r="F198" s="182">
        <v>0</v>
      </c>
      <c r="G198" s="183"/>
      <c r="H198" s="42">
        <f>SUM(J198,N198)</f>
        <v>0</v>
      </c>
      <c r="I198" s="207">
        <f>SUM(Q198,S198,U198,W198,Y198,AA198,AC198,AE198,AG198,AI198,AK198,AM198,AO198,AQ198,AS198)</f>
        <v>0</v>
      </c>
      <c r="J198" s="43">
        <f>SUM(P198,R198,T198,V198,X198,Z198,AB198,AD198,AF198,AH198,AJ198,AL198,AN198,AP198,AR198)</f>
        <v>0</v>
      </c>
      <c r="K198" s="44"/>
      <c r="L198" s="6"/>
      <c r="M198" s="6"/>
      <c r="N198" s="14"/>
      <c r="O198" s="122"/>
      <c r="P198" s="46"/>
      <c r="Q198" s="46"/>
      <c r="R198" s="47"/>
      <c r="S198" s="47"/>
      <c r="T198" s="47"/>
      <c r="U198" s="47"/>
      <c r="V198" s="47"/>
      <c r="W198" s="47"/>
      <c r="X198" s="47"/>
      <c r="Y198" s="47"/>
      <c r="Z198" s="48">
        <v>0</v>
      </c>
      <c r="AA198" s="48">
        <v>0</v>
      </c>
      <c r="AB198" s="49"/>
      <c r="AC198" s="49"/>
      <c r="AD198" s="50"/>
      <c r="AE198" s="50"/>
      <c r="AF198" s="14"/>
      <c r="AG198" s="122"/>
      <c r="AH198" s="51">
        <v>0</v>
      </c>
      <c r="AI198" s="51">
        <v>0</v>
      </c>
      <c r="AJ198" s="47"/>
      <c r="AK198" s="47"/>
      <c r="AL198" s="14"/>
      <c r="AM198" s="122"/>
      <c r="AN198" s="47"/>
      <c r="AO198" s="47"/>
      <c r="AP198" s="47"/>
      <c r="AQ198" s="47"/>
      <c r="AR198" s="51">
        <v>0</v>
      </c>
      <c r="AS198" s="51">
        <v>0</v>
      </c>
    </row>
    <row r="199" ht="47.25" customHeight="1" hidden="1">
      <c r="A199" t="s" s="103">
        <v>1030</v>
      </c>
      <c r="B199" t="s" s="10">
        <v>214</v>
      </c>
      <c r="C199" t="s" s="103">
        <v>1031</v>
      </c>
      <c r="D199" t="s" s="66">
        <v>801</v>
      </c>
      <c r="E199" t="s" s="129">
        <v>1032</v>
      </c>
      <c r="F199" t="s" s="101">
        <v>714</v>
      </c>
      <c r="G199" s="203"/>
      <c r="H199" s="204">
        <f>SUM(J199,N199)</f>
        <v>79164</v>
      </c>
      <c r="I199" s="205">
        <f>SUM(Q199,S199,U199,W199,Y199,AA199,AC199,AE199,AG199,AI199,AK199,AM199,AO199,AQ199,AS199)</f>
        <v>36495</v>
      </c>
      <c r="J199" s="35">
        <f>SUM(P199,R199,T199,V199,X199,Z199,AB199,AD199,AF199,AH199,AJ199,AL199,AN199,AP199,AR199)</f>
        <v>77664</v>
      </c>
      <c r="K199" s="36"/>
      <c r="L199" s="196"/>
      <c r="M199" s="196"/>
      <c r="N199" s="199">
        <v>1500</v>
      </c>
      <c r="O199" s="197"/>
      <c r="P199" s="27">
        <v>20000</v>
      </c>
      <c r="Q199" s="27">
        <v>16682</v>
      </c>
      <c r="R199" s="38">
        <v>12000</v>
      </c>
      <c r="S199" s="38">
        <v>5175</v>
      </c>
      <c r="T199" s="38">
        <v>30000</v>
      </c>
      <c r="U199" s="38">
        <v>4750</v>
      </c>
      <c r="V199" s="38">
        <v>6000</v>
      </c>
      <c r="W199" s="38">
        <v>2060</v>
      </c>
      <c r="X199" s="38">
        <v>7000</v>
      </c>
      <c r="Y199" s="38">
        <v>6658</v>
      </c>
      <c r="Z199" s="40">
        <v>0</v>
      </c>
      <c r="AA199" s="40">
        <v>0</v>
      </c>
      <c r="AB199" s="40">
        <v>0</v>
      </c>
      <c r="AC199" s="40">
        <v>0</v>
      </c>
      <c r="AD199" s="40">
        <v>0</v>
      </c>
      <c r="AE199" s="40">
        <v>0</v>
      </c>
      <c r="AF199" s="198">
        <v>0</v>
      </c>
      <c r="AG199" s="206">
        <v>0</v>
      </c>
      <c r="AH199" s="38">
        <v>0</v>
      </c>
      <c r="AI199" s="38">
        <v>0</v>
      </c>
      <c r="AJ199" s="38">
        <v>564</v>
      </c>
      <c r="AK199" s="38">
        <v>470</v>
      </c>
      <c r="AL199" s="202"/>
      <c r="AM199" s="197"/>
      <c r="AN199" s="38">
        <v>0</v>
      </c>
      <c r="AO199" s="38">
        <v>0</v>
      </c>
      <c r="AP199" s="38">
        <v>2000</v>
      </c>
      <c r="AQ199" s="38">
        <v>700</v>
      </c>
      <c r="AR199" s="38">
        <v>100</v>
      </c>
      <c r="AS199" s="38">
        <v>0</v>
      </c>
    </row>
    <row r="200" ht="47.25" customHeight="1" hidden="1">
      <c r="A200" t="s" s="59">
        <v>1033</v>
      </c>
      <c r="B200" t="s" s="21">
        <v>215</v>
      </c>
      <c r="C200" t="s" s="59">
        <v>1031</v>
      </c>
      <c r="D200" t="s" s="190">
        <v>801</v>
      </c>
      <c r="E200" t="s" s="223">
        <v>1034</v>
      </c>
      <c r="F200" t="s" s="192">
        <v>714</v>
      </c>
      <c r="G200" s="193"/>
      <c r="H200" s="194">
        <f>SUM(J200,N200)</f>
        <v>122564</v>
      </c>
      <c r="I200" s="195">
        <f>SUM(Q200,S200,U200,W200,Y200,AA200,AC200,AE200,AG200,AI200,AK200,AM200,AO200,AQ200,AS200)</f>
        <v>92309</v>
      </c>
      <c r="J200" s="23">
        <f>SUM(P200,R200,T200,V200,X200,Z200,AB200,AD200,AF200,AH200,AJ200,AL200,AN200,AP200,AR200)</f>
        <v>121064</v>
      </c>
      <c r="K200" s="36"/>
      <c r="L200" s="196"/>
      <c r="M200" s="196"/>
      <c r="N200" s="199">
        <v>1500</v>
      </c>
      <c r="O200" s="197"/>
      <c r="P200" s="27">
        <v>30000</v>
      </c>
      <c r="Q200" s="27">
        <v>16560</v>
      </c>
      <c r="R200" s="28">
        <v>18600</v>
      </c>
      <c r="S200" s="28">
        <v>16900</v>
      </c>
      <c r="T200" s="28">
        <v>35000</v>
      </c>
      <c r="U200" s="28">
        <v>22220</v>
      </c>
      <c r="V200" s="28">
        <v>24000</v>
      </c>
      <c r="W200" s="28">
        <v>23710</v>
      </c>
      <c r="X200" s="28">
        <v>12200</v>
      </c>
      <c r="Y200" s="28">
        <v>11605</v>
      </c>
      <c r="Z200" s="30">
        <v>0</v>
      </c>
      <c r="AA200" s="30">
        <v>0</v>
      </c>
      <c r="AB200" s="30">
        <v>0</v>
      </c>
      <c r="AC200" s="30">
        <v>0</v>
      </c>
      <c r="AD200" s="30">
        <v>0</v>
      </c>
      <c r="AE200" s="30">
        <v>0</v>
      </c>
      <c r="AF200" s="198">
        <v>0</v>
      </c>
      <c r="AG200" s="206">
        <v>0</v>
      </c>
      <c r="AH200" s="28">
        <v>0</v>
      </c>
      <c r="AI200" s="28">
        <v>0</v>
      </c>
      <c r="AJ200" s="28">
        <v>0</v>
      </c>
      <c r="AK200" s="28">
        <v>50</v>
      </c>
      <c r="AL200" s="202"/>
      <c r="AM200" s="197"/>
      <c r="AN200" s="28">
        <v>264</v>
      </c>
      <c r="AO200" s="28">
        <v>264</v>
      </c>
      <c r="AP200" s="28">
        <v>1000</v>
      </c>
      <c r="AQ200" s="28">
        <v>1000</v>
      </c>
      <c r="AR200" s="28">
        <v>0</v>
      </c>
      <c r="AS200" s="28">
        <v>0</v>
      </c>
    </row>
    <row r="201" ht="47.25" customHeight="1" hidden="1">
      <c r="A201" t="s" s="59">
        <v>1035</v>
      </c>
      <c r="B201" t="s" s="21">
        <v>216</v>
      </c>
      <c r="C201" t="s" s="59">
        <v>1031</v>
      </c>
      <c r="D201" t="s" s="190">
        <v>801</v>
      </c>
      <c r="E201" t="s" s="223">
        <v>1034</v>
      </c>
      <c r="F201" t="s" s="192">
        <v>720</v>
      </c>
      <c r="G201" s="193"/>
      <c r="H201" s="194">
        <f>SUM(J201,N201)</f>
        <v>73225</v>
      </c>
      <c r="I201" s="195">
        <f>SUM(Q201,S201,U201,W201,Y201,AA201,AC201,AE201,AG201,AI201,AK201,AM201,AO201,AQ201,AS201)</f>
        <v>48050</v>
      </c>
      <c r="J201" s="23">
        <f>SUM(P201,R201,T201,V201,X201,Z201,AB201,AD201,AF201,AH201,AJ201,AL201,AN201,AP201,AR201)</f>
        <v>72225</v>
      </c>
      <c r="K201" s="36"/>
      <c r="L201" s="196"/>
      <c r="M201" s="196"/>
      <c r="N201" s="199">
        <v>1000</v>
      </c>
      <c r="O201" s="197"/>
      <c r="P201" s="27">
        <v>0</v>
      </c>
      <c r="Q201" s="27">
        <v>0</v>
      </c>
      <c r="R201" s="28">
        <v>16000</v>
      </c>
      <c r="S201" s="28">
        <v>14500</v>
      </c>
      <c r="T201" s="28">
        <v>10000</v>
      </c>
      <c r="U201" s="28">
        <v>5055</v>
      </c>
      <c r="V201" s="28">
        <v>7000</v>
      </c>
      <c r="W201" s="28">
        <v>5675</v>
      </c>
      <c r="X201" s="28">
        <v>1130</v>
      </c>
      <c r="Y201" s="28">
        <v>1125</v>
      </c>
      <c r="Z201" s="30">
        <v>13000</v>
      </c>
      <c r="AA201" s="30">
        <v>9120</v>
      </c>
      <c r="AB201" s="30">
        <v>6475</v>
      </c>
      <c r="AC201" s="30">
        <v>3154</v>
      </c>
      <c r="AD201" s="30">
        <v>7270</v>
      </c>
      <c r="AE201" s="30">
        <v>3380</v>
      </c>
      <c r="AF201" s="198">
        <v>3700</v>
      </c>
      <c r="AG201" s="206">
        <v>3000</v>
      </c>
      <c r="AH201" s="28">
        <v>7650</v>
      </c>
      <c r="AI201" s="28">
        <v>2841</v>
      </c>
      <c r="AJ201" s="28">
        <v>0</v>
      </c>
      <c r="AK201" s="28">
        <v>0</v>
      </c>
      <c r="AL201" s="202"/>
      <c r="AM201" s="197"/>
      <c r="AN201" s="28">
        <v>0</v>
      </c>
      <c r="AO201" s="28">
        <v>0</v>
      </c>
      <c r="AP201" s="28">
        <v>0</v>
      </c>
      <c r="AQ201" s="28">
        <v>200</v>
      </c>
      <c r="AR201" s="28">
        <v>0</v>
      </c>
      <c r="AS201" s="28">
        <v>0</v>
      </c>
    </row>
    <row r="202" ht="19.5" customHeight="1" hidden="1">
      <c r="A202" t="s" s="88">
        <v>1036</v>
      </c>
      <c r="B202" t="s" s="67">
        <v>217</v>
      </c>
      <c r="C202" s="228"/>
      <c r="D202" s="228"/>
      <c r="E202" s="189"/>
      <c r="F202" s="182">
        <v>0</v>
      </c>
      <c r="G202" s="183"/>
      <c r="H202" s="42">
        <f>SUM(J202,N202)</f>
        <v>0</v>
      </c>
      <c r="I202" s="207">
        <f>SUM(Q202,S202,U202,W202,Y202,AA202,AC202,AE202,AG202,AI202,AK202,AM202,AO202,AQ202,AS202)</f>
        <v>0</v>
      </c>
      <c r="J202" s="43">
        <f>SUM(P202,R202,T202,V202,X202,Z202,AB202,AD202,AF202,AH202,AJ202,AL202,AN202,AP202,AR202)</f>
        <v>0</v>
      </c>
      <c r="K202" s="44"/>
      <c r="L202" s="6"/>
      <c r="M202" s="6"/>
      <c r="N202" s="14"/>
      <c r="O202" s="122"/>
      <c r="P202" s="46"/>
      <c r="Q202" s="46"/>
      <c r="R202" s="47"/>
      <c r="S202" s="47"/>
      <c r="T202" s="47"/>
      <c r="U202" s="47"/>
      <c r="V202" s="47"/>
      <c r="W202" s="47"/>
      <c r="X202" s="47"/>
      <c r="Y202" s="47"/>
      <c r="Z202" s="48">
        <v>0</v>
      </c>
      <c r="AA202" s="48">
        <v>0</v>
      </c>
      <c r="AB202" s="49"/>
      <c r="AC202" s="49"/>
      <c r="AD202" s="50"/>
      <c r="AE202" s="50"/>
      <c r="AF202" s="14"/>
      <c r="AG202" s="122"/>
      <c r="AH202" s="51">
        <v>0</v>
      </c>
      <c r="AI202" s="51">
        <v>0</v>
      </c>
      <c r="AJ202" s="47"/>
      <c r="AK202" s="47"/>
      <c r="AL202" s="14"/>
      <c r="AM202" s="122"/>
      <c r="AN202" s="47"/>
      <c r="AO202" s="47"/>
      <c r="AP202" s="47"/>
      <c r="AQ202" s="47"/>
      <c r="AR202" s="51">
        <v>0</v>
      </c>
      <c r="AS202" s="51">
        <v>0</v>
      </c>
    </row>
    <row r="203" ht="39" customHeight="1" hidden="1">
      <c r="A203" t="s" s="59">
        <v>1037</v>
      </c>
      <c r="B203" t="s" s="21">
        <v>218</v>
      </c>
      <c r="C203" t="s" s="59">
        <v>1038</v>
      </c>
      <c r="D203" t="s" s="190">
        <v>801</v>
      </c>
      <c r="E203" t="s" s="223">
        <v>1039</v>
      </c>
      <c r="F203" t="s" s="192">
        <v>714</v>
      </c>
      <c r="G203" s="193"/>
      <c r="H203" s="194">
        <f>SUM(J203,N203)</f>
        <v>66220</v>
      </c>
      <c r="I203" s="195">
        <f>SUM(Q203,S203,U203,W203,Y203,AA203,AC203,AE203,AG203,AI203,AK203,AM203,AO203,AQ203,AS203)</f>
        <v>31424</v>
      </c>
      <c r="J203" s="23">
        <f>SUM(P203,R203,T203,V203,X203,Z203,AB203,AD203,AF203,AH203,AJ203,AL203,AN203,AP203,AR203)</f>
        <v>66220</v>
      </c>
      <c r="K203" s="36"/>
      <c r="L203" s="196"/>
      <c r="M203" s="196"/>
      <c r="N203" s="196"/>
      <c r="O203" s="197"/>
      <c r="P203" s="27">
        <v>8000</v>
      </c>
      <c r="Q203" s="27">
        <v>3898</v>
      </c>
      <c r="R203" s="28">
        <v>0</v>
      </c>
      <c r="S203" s="28">
        <v>0</v>
      </c>
      <c r="T203" s="28">
        <v>8000</v>
      </c>
      <c r="U203" s="28">
        <v>0</v>
      </c>
      <c r="V203" s="28">
        <v>6000</v>
      </c>
      <c r="W203" s="28">
        <v>5014</v>
      </c>
      <c r="X203" s="28">
        <v>2000</v>
      </c>
      <c r="Y203" s="28">
        <v>500</v>
      </c>
      <c r="Z203" s="30">
        <v>8200</v>
      </c>
      <c r="AA203" s="30">
        <v>6145</v>
      </c>
      <c r="AB203" s="30">
        <v>7000</v>
      </c>
      <c r="AC203" s="30">
        <v>4955</v>
      </c>
      <c r="AD203" s="30">
        <v>14770</v>
      </c>
      <c r="AE203" s="30">
        <v>4852</v>
      </c>
      <c r="AF203" s="198">
        <v>4000</v>
      </c>
      <c r="AG203" s="206">
        <v>3150</v>
      </c>
      <c r="AH203" s="28">
        <v>7750</v>
      </c>
      <c r="AI203" s="28">
        <v>2580</v>
      </c>
      <c r="AJ203" s="28">
        <v>0</v>
      </c>
      <c r="AK203" s="28">
        <v>0</v>
      </c>
      <c r="AL203" s="202"/>
      <c r="AM203" s="197"/>
      <c r="AN203" s="28">
        <v>500</v>
      </c>
      <c r="AO203" s="28">
        <v>330</v>
      </c>
      <c r="AP203" s="28">
        <v>0</v>
      </c>
      <c r="AQ203" s="87"/>
      <c r="AR203" s="28">
        <v>0</v>
      </c>
      <c r="AS203" s="28">
        <v>0</v>
      </c>
    </row>
    <row r="204" ht="331.5" customHeight="1" hidden="1">
      <c r="A204" t="s" s="218">
        <v>1040</v>
      </c>
      <c r="B204" t="s" s="10">
        <v>219</v>
      </c>
      <c r="C204" t="s" s="218">
        <v>1041</v>
      </c>
      <c r="D204" t="s" s="248">
        <v>801</v>
      </c>
      <c r="E204" t="s" s="129">
        <v>1042</v>
      </c>
      <c r="F204" t="s" s="101">
        <v>714</v>
      </c>
      <c r="G204" s="203"/>
      <c r="H204" s="204">
        <f>SUM(J204,N204)</f>
        <v>200</v>
      </c>
      <c r="I204" s="205">
        <f>SUM(Q204,S204,U204,W204,Y204,AA204,AC204,AE204,AG204,AI204,AK204,AM204,AO204,AQ204,AS204)</f>
        <v>0</v>
      </c>
      <c r="J204" s="35">
        <f>SUM(P204,R204,T204,V204,X204,Z204,AB204,AD204,AF204,AH204,AJ204,AL204,AN204,AP204,AR204)</f>
        <v>200</v>
      </c>
      <c r="K204" s="36"/>
      <c r="L204" s="196"/>
      <c r="M204" s="196"/>
      <c r="N204" s="196"/>
      <c r="O204" s="197"/>
      <c r="P204" s="27">
        <v>200</v>
      </c>
      <c r="Q204" s="27">
        <v>0</v>
      </c>
      <c r="R204" s="38">
        <v>0</v>
      </c>
      <c r="S204" s="38">
        <v>0</v>
      </c>
      <c r="T204" s="38">
        <v>0</v>
      </c>
      <c r="U204" s="38">
        <v>0</v>
      </c>
      <c r="V204" s="38">
        <v>0</v>
      </c>
      <c r="W204" s="38">
        <v>0</v>
      </c>
      <c r="X204" s="38">
        <v>0</v>
      </c>
      <c r="Y204" s="38">
        <v>0</v>
      </c>
      <c r="Z204" s="40">
        <v>0</v>
      </c>
      <c r="AA204" s="40">
        <v>0</v>
      </c>
      <c r="AB204" s="40">
        <v>0</v>
      </c>
      <c r="AC204" s="40">
        <v>0</v>
      </c>
      <c r="AD204" s="40">
        <v>0</v>
      </c>
      <c r="AE204" s="40">
        <v>0</v>
      </c>
      <c r="AF204" s="198">
        <v>0</v>
      </c>
      <c r="AG204" s="206">
        <v>0</v>
      </c>
      <c r="AH204" s="38">
        <v>0</v>
      </c>
      <c r="AI204" s="38">
        <v>0</v>
      </c>
      <c r="AJ204" s="38">
        <v>0</v>
      </c>
      <c r="AK204" s="38">
        <v>0</v>
      </c>
      <c r="AL204" s="202"/>
      <c r="AM204" s="197"/>
      <c r="AN204" s="38">
        <v>0</v>
      </c>
      <c r="AO204" s="38">
        <v>0</v>
      </c>
      <c r="AP204" s="38">
        <v>0</v>
      </c>
      <c r="AQ204" s="80"/>
      <c r="AR204" s="38">
        <v>0</v>
      </c>
      <c r="AS204" s="38">
        <v>0</v>
      </c>
    </row>
    <row r="205" ht="19.5" customHeight="1" hidden="1">
      <c r="A205" t="s" s="88">
        <v>1043</v>
      </c>
      <c r="B205" t="s" s="67">
        <v>220</v>
      </c>
      <c r="C205" s="228"/>
      <c r="D205" s="228"/>
      <c r="E205" s="189"/>
      <c r="F205" s="182">
        <v>0</v>
      </c>
      <c r="G205" s="183"/>
      <c r="H205" s="42">
        <f>SUM(J205,N205)</f>
        <v>0</v>
      </c>
      <c r="I205" s="207">
        <f>SUM(Q205,S205,U205,W205,Y205,AA205,AC205,AE205,AG205,AI205,AK205,AM205,AO205,AQ205,AS205)</f>
        <v>0</v>
      </c>
      <c r="J205" s="43">
        <f>SUM(P205,R205,T205,V205,X205,Z205,AB205,AD205,AF205,AH205,AJ205,AL205,AN205,AP205,AR205)</f>
        <v>0</v>
      </c>
      <c r="K205" s="44"/>
      <c r="L205" s="6"/>
      <c r="M205" s="6"/>
      <c r="N205" s="14"/>
      <c r="O205" s="122"/>
      <c r="P205" s="46"/>
      <c r="Q205" s="46"/>
      <c r="R205" s="47"/>
      <c r="S205" s="47"/>
      <c r="T205" s="47"/>
      <c r="U205" s="47"/>
      <c r="V205" s="47"/>
      <c r="W205" s="47"/>
      <c r="X205" s="47"/>
      <c r="Y205" s="47"/>
      <c r="Z205" s="48">
        <v>0</v>
      </c>
      <c r="AA205" s="48">
        <v>0</v>
      </c>
      <c r="AB205" s="49"/>
      <c r="AC205" s="49"/>
      <c r="AD205" s="50"/>
      <c r="AE205" s="50"/>
      <c r="AF205" s="14"/>
      <c r="AG205" s="122"/>
      <c r="AH205" s="51">
        <v>0</v>
      </c>
      <c r="AI205" s="51">
        <v>0</v>
      </c>
      <c r="AJ205" s="47"/>
      <c r="AK205" s="47"/>
      <c r="AL205" s="14"/>
      <c r="AM205" s="122"/>
      <c r="AN205" s="47"/>
      <c r="AO205" s="47"/>
      <c r="AP205" s="47"/>
      <c r="AQ205" s="47"/>
      <c r="AR205" s="51">
        <v>0</v>
      </c>
      <c r="AS205" s="51">
        <v>0</v>
      </c>
    </row>
    <row r="206" ht="19.5" customHeight="1" hidden="1">
      <c r="A206" t="s" s="59">
        <v>1044</v>
      </c>
      <c r="B206" t="s" s="21">
        <v>221</v>
      </c>
      <c r="C206" t="s" s="59">
        <v>765</v>
      </c>
      <c r="D206" t="s" s="190">
        <v>801</v>
      </c>
      <c r="E206" t="s" s="223">
        <v>1034</v>
      </c>
      <c r="F206" t="s" s="192">
        <v>720</v>
      </c>
      <c r="G206" s="193"/>
      <c r="H206" s="194">
        <f>SUM(J206,N206)</f>
        <v>337490</v>
      </c>
      <c r="I206" s="195">
        <f>SUM(Q206,S206,U206,W206,Y206,AA206,AC206,AE206,AG206,AI206,AK206,AM206,AO206,AQ206,AS206)</f>
        <v>207874</v>
      </c>
      <c r="J206" s="23">
        <f>SUM(P206,R206,T206,V206,X206,Z206,AB206,AD206,AF206,AH206,AJ206,AL206,AN206,AP206,AR206)</f>
        <v>337490</v>
      </c>
      <c r="K206" s="36"/>
      <c r="L206" s="196"/>
      <c r="M206" s="196"/>
      <c r="N206" s="196"/>
      <c r="O206" s="197"/>
      <c r="P206" s="27">
        <v>10000</v>
      </c>
      <c r="Q206" s="27">
        <v>8560</v>
      </c>
      <c r="R206" s="28">
        <v>1000</v>
      </c>
      <c r="S206" s="28">
        <v>0</v>
      </c>
      <c r="T206" s="28">
        <v>20000</v>
      </c>
      <c r="U206" s="28">
        <v>894</v>
      </c>
      <c r="V206" s="28">
        <v>20000</v>
      </c>
      <c r="W206" s="28">
        <v>16400</v>
      </c>
      <c r="X206" s="28">
        <v>5000</v>
      </c>
      <c r="Y206" s="28">
        <v>500</v>
      </c>
      <c r="Z206" s="30">
        <v>109000</v>
      </c>
      <c r="AA206" s="30">
        <v>71500</v>
      </c>
      <c r="AB206" s="30">
        <v>75900</v>
      </c>
      <c r="AC206" s="30">
        <v>59260</v>
      </c>
      <c r="AD206" s="30">
        <v>63190</v>
      </c>
      <c r="AE206" s="30">
        <v>33610</v>
      </c>
      <c r="AF206" s="198">
        <v>7500</v>
      </c>
      <c r="AG206" s="206">
        <v>6600</v>
      </c>
      <c r="AH206" s="28">
        <v>25900</v>
      </c>
      <c r="AI206" s="28">
        <v>10550</v>
      </c>
      <c r="AJ206" s="28">
        <v>0</v>
      </c>
      <c r="AK206" s="28">
        <v>0</v>
      </c>
      <c r="AL206" s="202"/>
      <c r="AM206" s="197"/>
      <c r="AN206" s="28">
        <v>0</v>
      </c>
      <c r="AO206" s="28">
        <v>0</v>
      </c>
      <c r="AP206" s="28">
        <v>0</v>
      </c>
      <c r="AQ206" s="87"/>
      <c r="AR206" s="28">
        <v>0</v>
      </c>
      <c r="AS206" s="28">
        <v>0</v>
      </c>
    </row>
    <row r="207" ht="31.5" customHeight="1" hidden="1">
      <c r="A207" t="s" s="59">
        <v>1045</v>
      </c>
      <c r="B207" t="s" s="21">
        <v>222</v>
      </c>
      <c r="C207" t="s" s="59">
        <v>790</v>
      </c>
      <c r="D207" t="s" s="190">
        <v>801</v>
      </c>
      <c r="E207" t="s" s="223">
        <v>1034</v>
      </c>
      <c r="F207" t="s" s="192">
        <v>720</v>
      </c>
      <c r="G207" s="193"/>
      <c r="H207" s="194">
        <f>SUM(J207,N207)</f>
        <v>57000</v>
      </c>
      <c r="I207" s="195">
        <f>SUM(Q207,S207,U207,W207,Y207,AA207,AC207,AE207,AG207,AI207,AK207,AM207,AO207,AQ207,AS207)</f>
        <v>35438</v>
      </c>
      <c r="J207" s="23">
        <f>SUM(P207,R207,T207,V207,X207,Z207,AB207,AD207,AF207,AH207,AJ207,AL207,AN207,AP207,AR207)</f>
        <v>57000</v>
      </c>
      <c r="K207" s="36"/>
      <c r="L207" s="196"/>
      <c r="M207" s="196"/>
      <c r="N207" s="196"/>
      <c r="O207" s="197"/>
      <c r="P207" s="27">
        <v>400</v>
      </c>
      <c r="Q207" s="27">
        <v>204</v>
      </c>
      <c r="R207" s="28">
        <v>8000</v>
      </c>
      <c r="S207" s="28">
        <v>7430</v>
      </c>
      <c r="T207" s="28">
        <v>5000</v>
      </c>
      <c r="U207" s="28">
        <v>2821</v>
      </c>
      <c r="V207" s="28">
        <v>2000</v>
      </c>
      <c r="W207" s="28">
        <v>1670</v>
      </c>
      <c r="X207" s="28">
        <v>2500</v>
      </c>
      <c r="Y207" s="28">
        <v>2256</v>
      </c>
      <c r="Z207" s="30">
        <v>4250</v>
      </c>
      <c r="AA207" s="30">
        <v>2150</v>
      </c>
      <c r="AB207" s="30">
        <v>13610</v>
      </c>
      <c r="AC207" s="30">
        <v>5025</v>
      </c>
      <c r="AD207" s="30">
        <v>10590</v>
      </c>
      <c r="AE207" s="30">
        <v>7159</v>
      </c>
      <c r="AF207" s="198">
        <v>3100</v>
      </c>
      <c r="AG207" s="206">
        <v>2500</v>
      </c>
      <c r="AH207" s="28">
        <v>7550</v>
      </c>
      <c r="AI207" s="28">
        <v>4223</v>
      </c>
      <c r="AJ207" s="28">
        <v>0</v>
      </c>
      <c r="AK207" s="28">
        <v>0</v>
      </c>
      <c r="AL207" s="202"/>
      <c r="AM207" s="197"/>
      <c r="AN207" s="28">
        <v>0</v>
      </c>
      <c r="AO207" s="28">
        <v>0</v>
      </c>
      <c r="AP207" s="28">
        <v>0</v>
      </c>
      <c r="AQ207" s="87"/>
      <c r="AR207" s="28">
        <v>0</v>
      </c>
      <c r="AS207" s="28">
        <v>0</v>
      </c>
    </row>
    <row r="208" ht="157.5" customHeight="1" hidden="1">
      <c r="A208" t="s" s="88">
        <v>1046</v>
      </c>
      <c r="B208" t="s" s="67">
        <v>192</v>
      </c>
      <c r="C208" s="228"/>
      <c r="D208" s="228"/>
      <c r="E208" t="s" s="252">
        <v>1047</v>
      </c>
      <c r="F208" s="182">
        <v>0</v>
      </c>
      <c r="G208" s="183"/>
      <c r="H208" s="42">
        <f>SUM(J208,N208)</f>
        <v>0</v>
      </c>
      <c r="I208" s="207">
        <f>SUM(Q208,S208,U208,W208,Y208,AA208,AC208,AE208,AG208,AI208,AK208,AM208,AO208,AQ208,AS208)</f>
        <v>0</v>
      </c>
      <c r="J208" s="43">
        <f>SUM(P208,R208,T208,V208,X208,Z208,AB208,AD208,AF208,AH208,AJ208,AL208,AN208,AP208,AR208)</f>
        <v>0</v>
      </c>
      <c r="K208" s="44"/>
      <c r="L208" s="6"/>
      <c r="M208" s="6"/>
      <c r="N208" s="14"/>
      <c r="O208" s="122"/>
      <c r="P208" s="46"/>
      <c r="Q208" s="46"/>
      <c r="R208" s="47"/>
      <c r="S208" s="47"/>
      <c r="T208" s="47"/>
      <c r="U208" s="47"/>
      <c r="V208" s="47"/>
      <c r="W208" s="47"/>
      <c r="X208" s="47"/>
      <c r="Y208" s="47"/>
      <c r="Z208" s="48">
        <v>0</v>
      </c>
      <c r="AA208" s="48">
        <v>0</v>
      </c>
      <c r="AB208" s="49"/>
      <c r="AC208" s="49"/>
      <c r="AD208" s="50"/>
      <c r="AE208" s="50"/>
      <c r="AF208" s="14"/>
      <c r="AG208" s="122"/>
      <c r="AH208" s="51">
        <v>0</v>
      </c>
      <c r="AI208" s="51">
        <v>0</v>
      </c>
      <c r="AJ208" s="47"/>
      <c r="AK208" s="47"/>
      <c r="AL208" s="14"/>
      <c r="AM208" s="122"/>
      <c r="AN208" s="47"/>
      <c r="AO208" s="47"/>
      <c r="AP208" s="47"/>
      <c r="AQ208" s="47"/>
      <c r="AR208" s="51">
        <v>0</v>
      </c>
      <c r="AS208" s="51">
        <v>0</v>
      </c>
    </row>
    <row r="209" ht="409.5" customHeight="1" hidden="1">
      <c r="A209" t="s" s="214">
        <v>1048</v>
      </c>
      <c r="B209" t="s" s="21">
        <v>223</v>
      </c>
      <c r="C209" t="s" s="59">
        <v>765</v>
      </c>
      <c r="D209" t="s" s="190">
        <v>801</v>
      </c>
      <c r="E209" t="s" s="216">
        <v>1049</v>
      </c>
      <c r="F209" t="s" s="192">
        <v>720</v>
      </c>
      <c r="G209" s="193"/>
      <c r="H209" s="194">
        <f>SUM(J209,N209)</f>
        <v>446500</v>
      </c>
      <c r="I209" s="195">
        <f>SUM(Q209,S209,U209,W209,Y209,AA209,AC209,AE209,AG209,AI209,AK209,AM209,AO209,AQ209,AS209)</f>
        <v>207703</v>
      </c>
      <c r="J209" s="23">
        <f>SUM(P209,R209,T209,V209,X209,Z209,AB209,AD209,AF209,AH209,AJ209,AL209,AN209,AP209,AR209)</f>
        <v>446500</v>
      </c>
      <c r="K209" s="36"/>
      <c r="L209" s="196"/>
      <c r="M209" s="196"/>
      <c r="N209" s="196"/>
      <c r="O209" s="197"/>
      <c r="P209" s="27">
        <v>70000</v>
      </c>
      <c r="Q209" s="27">
        <v>22970</v>
      </c>
      <c r="R209" s="28">
        <v>3000</v>
      </c>
      <c r="S209" s="28">
        <v>1080</v>
      </c>
      <c r="T209" s="28">
        <v>70000</v>
      </c>
      <c r="U209" s="28">
        <v>40000</v>
      </c>
      <c r="V209" s="28">
        <v>24000</v>
      </c>
      <c r="W209" s="28">
        <v>18120</v>
      </c>
      <c r="X209" s="28">
        <v>25000</v>
      </c>
      <c r="Y209" s="28">
        <v>5580</v>
      </c>
      <c r="Z209" s="30">
        <v>71600</v>
      </c>
      <c r="AA209" s="30">
        <v>50830</v>
      </c>
      <c r="AB209" s="30">
        <v>40000</v>
      </c>
      <c r="AC209" s="30">
        <v>26440</v>
      </c>
      <c r="AD209" s="30">
        <v>95000</v>
      </c>
      <c r="AE209" s="30">
        <v>30560</v>
      </c>
      <c r="AF209" s="198">
        <v>17000</v>
      </c>
      <c r="AG209" s="206">
        <v>0</v>
      </c>
      <c r="AH209" s="28">
        <v>25900</v>
      </c>
      <c r="AI209" s="28">
        <v>10623</v>
      </c>
      <c r="AJ209" s="28">
        <v>3000</v>
      </c>
      <c r="AK209" s="28">
        <v>1500</v>
      </c>
      <c r="AL209" s="202"/>
      <c r="AM209" s="197"/>
      <c r="AN209" s="28">
        <v>0</v>
      </c>
      <c r="AO209" s="28">
        <v>0</v>
      </c>
      <c r="AP209" s="28">
        <v>0</v>
      </c>
      <c r="AQ209" s="87"/>
      <c r="AR209" s="28">
        <v>2000</v>
      </c>
      <c r="AS209" s="28">
        <v>0</v>
      </c>
    </row>
    <row r="210" ht="78.75" customHeight="1" hidden="1">
      <c r="A210" t="s" s="214">
        <v>1050</v>
      </c>
      <c r="B210" t="s" s="21">
        <v>224</v>
      </c>
      <c r="C210" t="s" s="59">
        <v>790</v>
      </c>
      <c r="D210" t="s" s="190">
        <v>801</v>
      </c>
      <c r="E210" t="s" s="253">
        <v>1051</v>
      </c>
      <c r="F210" s="193"/>
      <c r="G210" s="193"/>
      <c r="H210" s="194">
        <f>SUM(J210,N210)</f>
        <v>86474</v>
      </c>
      <c r="I210" s="195">
        <f>SUM(Q210,S210,U210,W210,Y210,AA210,AC210,AE210,AG210,AI210,AK210,AM210,AO210,AQ210,AS210)</f>
        <v>11510</v>
      </c>
      <c r="J210" s="23">
        <f>SUM(P210,R210,T210,V210,X210,Z210,AB210,AD210,AF210,AH210,AJ210,AL210,AN210,AP210,AR210)</f>
        <v>86474</v>
      </c>
      <c r="K210" s="36"/>
      <c r="L210" s="196"/>
      <c r="M210" s="196"/>
      <c r="N210" s="196"/>
      <c r="O210" s="197"/>
      <c r="P210" s="27">
        <v>400</v>
      </c>
      <c r="Q210" s="27">
        <v>0</v>
      </c>
      <c r="R210" s="28">
        <v>5000</v>
      </c>
      <c r="S210" s="28">
        <v>0</v>
      </c>
      <c r="T210" s="28">
        <v>6000</v>
      </c>
      <c r="U210" s="28">
        <v>3600</v>
      </c>
      <c r="V210" s="28">
        <v>6000</v>
      </c>
      <c r="W210" s="28">
        <v>0</v>
      </c>
      <c r="X210" s="28">
        <v>1200</v>
      </c>
      <c r="Y210" s="28">
        <v>0</v>
      </c>
      <c r="Z210" s="30">
        <v>6000</v>
      </c>
      <c r="AA210" s="30">
        <v>0</v>
      </c>
      <c r="AB210" s="30">
        <v>18175</v>
      </c>
      <c r="AC210" s="30">
        <v>1879</v>
      </c>
      <c r="AD210" s="30">
        <v>32400</v>
      </c>
      <c r="AE210" s="30">
        <v>0</v>
      </c>
      <c r="AF210" s="198">
        <v>8500</v>
      </c>
      <c r="AG210" s="206">
        <v>5830</v>
      </c>
      <c r="AH210" s="28">
        <v>2649</v>
      </c>
      <c r="AI210" s="28">
        <v>201</v>
      </c>
      <c r="AJ210" s="28">
        <v>0</v>
      </c>
      <c r="AK210" s="28">
        <v>0</v>
      </c>
      <c r="AL210" s="202"/>
      <c r="AM210" s="197"/>
      <c r="AN210" s="28">
        <v>50</v>
      </c>
      <c r="AO210" s="28">
        <v>0</v>
      </c>
      <c r="AP210" s="28">
        <v>0</v>
      </c>
      <c r="AQ210" s="87"/>
      <c r="AR210" s="28">
        <v>100</v>
      </c>
      <c r="AS210" s="87"/>
    </row>
    <row r="211" ht="58.5" customHeight="1" hidden="1">
      <c r="A211" t="s" s="59">
        <v>1052</v>
      </c>
      <c r="B211" t="s" s="21">
        <v>225</v>
      </c>
      <c r="C211" t="s" s="59">
        <v>800</v>
      </c>
      <c r="D211" t="s" s="190">
        <v>801</v>
      </c>
      <c r="E211" t="s" s="223">
        <v>1053</v>
      </c>
      <c r="F211" t="s" s="192">
        <v>714</v>
      </c>
      <c r="G211" s="193"/>
      <c r="H211" s="194">
        <f>SUM(J211,N211)</f>
        <v>62000</v>
      </c>
      <c r="I211" s="195">
        <f>SUM(Q211,S211,U211,W211,Y211,AA211,AC211,AE211,AG211,AI211,AK211,AM211,AO211,AQ211,AS211)</f>
        <v>54547</v>
      </c>
      <c r="J211" s="23">
        <f>SUM(P211,R211,T211,V211,X211,Z211,AB211,AD211,AF211,AH211,AJ211,AL211,AN211,AP211,AR211)</f>
        <v>62000</v>
      </c>
      <c r="K211" s="36"/>
      <c r="L211" s="196"/>
      <c r="M211" s="196"/>
      <c r="N211" s="196"/>
      <c r="O211" s="197"/>
      <c r="P211" s="27">
        <v>50000</v>
      </c>
      <c r="Q211" s="27">
        <v>46437</v>
      </c>
      <c r="R211" s="28">
        <v>5000</v>
      </c>
      <c r="S211" s="28">
        <v>4530</v>
      </c>
      <c r="T211" s="28">
        <v>5000</v>
      </c>
      <c r="U211" s="28">
        <v>2070</v>
      </c>
      <c r="V211" s="28">
        <v>2000</v>
      </c>
      <c r="W211" s="28">
        <v>1510</v>
      </c>
      <c r="X211" s="28">
        <v>0</v>
      </c>
      <c r="Y211" s="28">
        <v>0</v>
      </c>
      <c r="Z211" s="30">
        <v>0</v>
      </c>
      <c r="AA211" s="30">
        <v>0</v>
      </c>
      <c r="AB211" s="30">
        <v>0</v>
      </c>
      <c r="AC211" s="30">
        <v>0</v>
      </c>
      <c r="AD211" s="30">
        <v>0</v>
      </c>
      <c r="AE211" s="30">
        <v>0</v>
      </c>
      <c r="AF211" s="198">
        <v>0</v>
      </c>
      <c r="AG211" s="206">
        <v>0</v>
      </c>
      <c r="AH211" s="28">
        <v>0</v>
      </c>
      <c r="AI211" s="28">
        <v>0</v>
      </c>
      <c r="AJ211" s="28">
        <v>0</v>
      </c>
      <c r="AK211" s="28">
        <v>0</v>
      </c>
      <c r="AL211" s="202"/>
      <c r="AM211" s="197"/>
      <c r="AN211" s="28">
        <v>0</v>
      </c>
      <c r="AO211" s="28">
        <v>0</v>
      </c>
      <c r="AP211" s="28">
        <v>0</v>
      </c>
      <c r="AQ211" s="87"/>
      <c r="AR211" s="28">
        <v>0</v>
      </c>
      <c r="AS211" s="28">
        <v>0</v>
      </c>
    </row>
    <row r="212" ht="156" customHeight="1" hidden="1">
      <c r="A212" t="s" s="130">
        <v>1054</v>
      </c>
      <c r="B212" t="s" s="52">
        <v>226</v>
      </c>
      <c r="C212" t="s" s="130">
        <v>800</v>
      </c>
      <c r="D212" t="s" s="209">
        <v>801</v>
      </c>
      <c r="E212" t="s" s="217">
        <v>1055</v>
      </c>
      <c r="F212" t="s" s="210">
        <v>714</v>
      </c>
      <c r="G212" s="211"/>
      <c r="H212" s="42">
        <f>SUM(J212,N212)</f>
        <v>17100</v>
      </c>
      <c r="I212" s="207">
        <f>SUM(Q212,S212,U212,W212,Y212,AA212,AC212,AE212,AG212,AI212,AK212,AM212,AO212,AQ212,AS212)</f>
        <v>22240</v>
      </c>
      <c r="J212" s="43">
        <f>SUM(P212,R212,T212,V212,X212,Z212,AB212,AD212,AF212,AH212,AJ212,AL212,AN212,AP212,AR212)</f>
        <v>17100</v>
      </c>
      <c r="K212" s="44"/>
      <c r="L212" s="6"/>
      <c r="M212" s="6"/>
      <c r="N212" s="14"/>
      <c r="O212" s="122"/>
      <c r="P212" s="27">
        <v>10000</v>
      </c>
      <c r="Q212" s="27">
        <v>16340</v>
      </c>
      <c r="R212" s="51">
        <v>5000</v>
      </c>
      <c r="S212" s="51">
        <v>4750</v>
      </c>
      <c r="T212" s="51">
        <v>100</v>
      </c>
      <c r="U212" s="47"/>
      <c r="V212" s="51">
        <v>2000</v>
      </c>
      <c r="W212" s="51">
        <v>1150</v>
      </c>
      <c r="X212" s="51">
        <v>0</v>
      </c>
      <c r="Y212" s="51">
        <v>0</v>
      </c>
      <c r="Z212" s="48">
        <v>0</v>
      </c>
      <c r="AA212" s="48">
        <v>0</v>
      </c>
      <c r="AB212" s="48">
        <v>0</v>
      </c>
      <c r="AC212" s="48">
        <v>0</v>
      </c>
      <c r="AD212" s="55">
        <v>0</v>
      </c>
      <c r="AE212" s="213">
        <v>0</v>
      </c>
      <c r="AF212" s="212">
        <v>0</v>
      </c>
      <c r="AG212" s="121">
        <v>0</v>
      </c>
      <c r="AH212" s="51">
        <v>0</v>
      </c>
      <c r="AI212" s="51">
        <v>0</v>
      </c>
      <c r="AJ212" s="51">
        <v>0</v>
      </c>
      <c r="AK212" s="51">
        <v>0</v>
      </c>
      <c r="AL212" s="14"/>
      <c r="AM212" s="122"/>
      <c r="AN212" s="51">
        <v>0</v>
      </c>
      <c r="AO212" s="51">
        <v>0</v>
      </c>
      <c r="AP212" s="51">
        <v>0</v>
      </c>
      <c r="AQ212" s="47"/>
      <c r="AR212" s="51">
        <v>0</v>
      </c>
      <c r="AS212" s="51">
        <v>0</v>
      </c>
    </row>
    <row r="213" ht="409.5" customHeight="1" hidden="1">
      <c r="A213" t="s" s="214">
        <v>1056</v>
      </c>
      <c r="B213" t="s" s="21">
        <v>227</v>
      </c>
      <c r="C213" t="s" s="214">
        <v>761</v>
      </c>
      <c r="D213" t="s" s="254">
        <v>801</v>
      </c>
      <c r="E213" t="s" s="223">
        <v>1057</v>
      </c>
      <c r="F213" t="s" s="192">
        <v>720</v>
      </c>
      <c r="G213" s="193"/>
      <c r="H213" s="194">
        <f>SUM(J213,N213)</f>
        <v>281630</v>
      </c>
      <c r="I213" s="195">
        <f>SUM(Q213,S213,U213,W213,Y213,AA213,AC213,AE213,AG213,AI213,AK213,AM213,AO213,AQ213,AS213)</f>
        <v>114513</v>
      </c>
      <c r="J213" s="23">
        <f>SUM(P213,R213,T213,V213,X213,Z213,AB213,AD213,AF213,AH213,AJ213,AL213,AN213,AP213,AR213)</f>
        <v>281630</v>
      </c>
      <c r="K213" s="36"/>
      <c r="L213" s="196"/>
      <c r="M213" s="196"/>
      <c r="N213" s="196"/>
      <c r="O213" s="197"/>
      <c r="P213" s="27">
        <v>100000</v>
      </c>
      <c r="Q213" s="27">
        <v>47176</v>
      </c>
      <c r="R213" s="28">
        <v>10000</v>
      </c>
      <c r="S213" s="28">
        <v>7458</v>
      </c>
      <c r="T213" s="28">
        <v>25000</v>
      </c>
      <c r="U213" s="28">
        <v>15500</v>
      </c>
      <c r="V213" s="28">
        <v>30000</v>
      </c>
      <c r="W213" s="28">
        <v>18740</v>
      </c>
      <c r="X213" s="28">
        <v>10000</v>
      </c>
      <c r="Y213" s="28">
        <v>8850</v>
      </c>
      <c r="Z213" s="30">
        <v>72000</v>
      </c>
      <c r="AA213" s="30">
        <v>0</v>
      </c>
      <c r="AB213" s="30">
        <v>0</v>
      </c>
      <c r="AC213" s="30">
        <v>0</v>
      </c>
      <c r="AD213" s="30">
        <v>0</v>
      </c>
      <c r="AE213" s="30">
        <v>0</v>
      </c>
      <c r="AF213" s="198">
        <v>0</v>
      </c>
      <c r="AG213" s="206">
        <v>0</v>
      </c>
      <c r="AH213" s="28">
        <v>22600</v>
      </c>
      <c r="AI213" s="28">
        <v>8038</v>
      </c>
      <c r="AJ213" s="28">
        <v>3420</v>
      </c>
      <c r="AK213" s="28">
        <v>2850</v>
      </c>
      <c r="AL213" s="234">
        <v>60</v>
      </c>
      <c r="AM213" s="234">
        <v>18</v>
      </c>
      <c r="AN213" s="28">
        <v>450</v>
      </c>
      <c r="AO213" s="28">
        <v>360</v>
      </c>
      <c r="AP213" s="28">
        <v>6000</v>
      </c>
      <c r="AQ213" s="28">
        <v>4050</v>
      </c>
      <c r="AR213" s="28">
        <v>2100</v>
      </c>
      <c r="AS213" s="28">
        <v>1473</v>
      </c>
    </row>
    <row r="214" ht="195" customHeight="1" hidden="1">
      <c r="A214" t="s" s="59">
        <v>1058</v>
      </c>
      <c r="B214" t="s" s="21">
        <v>228</v>
      </c>
      <c r="C214" t="s" s="59">
        <v>800</v>
      </c>
      <c r="D214" t="s" s="190">
        <v>801</v>
      </c>
      <c r="E214" t="s" s="223">
        <v>1059</v>
      </c>
      <c r="F214" t="s" s="192">
        <v>714</v>
      </c>
      <c r="G214" s="193"/>
      <c r="H214" s="194">
        <f>SUM(J214,N214)</f>
        <v>35500</v>
      </c>
      <c r="I214" s="195">
        <f>SUM(Q214,S214,U214,W214,Y214,AA214,AC214,AE214,AG214,AI214,AK214,AM214,AO214,AQ214,AS214)</f>
        <v>16397</v>
      </c>
      <c r="J214" s="23">
        <f>SUM(P214,R214,T214,V214,X214,Z214,AB214,AD214,AF214,AH214,AJ214,AL214,AN214,AP214,AR214)</f>
        <v>35500</v>
      </c>
      <c r="K214" s="36"/>
      <c r="L214" s="196"/>
      <c r="M214" s="196"/>
      <c r="N214" s="196"/>
      <c r="O214" s="197"/>
      <c r="P214" s="27">
        <v>25000</v>
      </c>
      <c r="Q214" s="27">
        <v>8806</v>
      </c>
      <c r="R214" s="28">
        <v>5000</v>
      </c>
      <c r="S214" s="28">
        <v>4256</v>
      </c>
      <c r="T214" s="28">
        <v>2000</v>
      </c>
      <c r="U214" s="28">
        <v>450</v>
      </c>
      <c r="V214" s="28">
        <v>3500</v>
      </c>
      <c r="W214" s="28">
        <v>2885</v>
      </c>
      <c r="X214" s="28">
        <v>0</v>
      </c>
      <c r="Y214" s="28">
        <v>0</v>
      </c>
      <c r="Z214" s="30">
        <v>0</v>
      </c>
      <c r="AA214" s="30">
        <v>0</v>
      </c>
      <c r="AB214" s="30">
        <v>0</v>
      </c>
      <c r="AC214" s="30">
        <v>0</v>
      </c>
      <c r="AD214" s="30">
        <v>0</v>
      </c>
      <c r="AE214" s="30">
        <v>0</v>
      </c>
      <c r="AF214" s="198">
        <v>0</v>
      </c>
      <c r="AG214" s="206">
        <v>0</v>
      </c>
      <c r="AH214" s="28">
        <v>0</v>
      </c>
      <c r="AI214" s="28">
        <v>0</v>
      </c>
      <c r="AJ214" s="28">
        <v>0</v>
      </c>
      <c r="AK214" s="28">
        <v>0</v>
      </c>
      <c r="AL214" s="202"/>
      <c r="AM214" s="197"/>
      <c r="AN214" s="28">
        <v>0</v>
      </c>
      <c r="AO214" s="28">
        <v>0</v>
      </c>
      <c r="AP214" s="28">
        <v>0</v>
      </c>
      <c r="AQ214" s="87"/>
      <c r="AR214" s="87"/>
      <c r="AS214" s="87"/>
    </row>
    <row r="215" ht="47.25" customHeight="1" hidden="1">
      <c r="A215" t="s" s="59">
        <v>1060</v>
      </c>
      <c r="B215" t="s" s="21">
        <v>229</v>
      </c>
      <c r="C215" t="s" s="59">
        <v>1031</v>
      </c>
      <c r="D215" t="s" s="190">
        <v>801</v>
      </c>
      <c r="E215" t="s" s="223">
        <v>1061</v>
      </c>
      <c r="F215" t="s" s="192">
        <v>714</v>
      </c>
      <c r="G215" s="193"/>
      <c r="H215" s="194">
        <f>SUM(J215,N215)</f>
        <v>310</v>
      </c>
      <c r="I215" s="195">
        <f>SUM(Q215,S215,U215,W215,Y215,AA215,AC215,AE215,AG215,AI215,AK215,AM215,AO215,AQ215,AS215)</f>
        <v>0</v>
      </c>
      <c r="J215" s="23">
        <f>SUM(P215,R215,T215,V215,X215,Z215,AB215,AD215,AF215,AH215,AJ215,AL215,AN215,AP215,AR215)</f>
        <v>310</v>
      </c>
      <c r="K215" s="36"/>
      <c r="L215" s="196"/>
      <c r="M215" s="196"/>
      <c r="N215" s="196"/>
      <c r="O215" s="197"/>
      <c r="P215" s="27">
        <v>200</v>
      </c>
      <c r="Q215" s="27">
        <v>0</v>
      </c>
      <c r="R215" s="28">
        <v>0</v>
      </c>
      <c r="S215" s="28">
        <v>0</v>
      </c>
      <c r="T215" s="28">
        <v>10</v>
      </c>
      <c r="U215" s="28">
        <v>0</v>
      </c>
      <c r="V215" s="28">
        <v>100</v>
      </c>
      <c r="W215" s="28">
        <v>0</v>
      </c>
      <c r="X215" s="28">
        <v>0</v>
      </c>
      <c r="Y215" s="28">
        <v>0</v>
      </c>
      <c r="Z215" s="30">
        <v>0</v>
      </c>
      <c r="AA215" s="30">
        <v>0</v>
      </c>
      <c r="AB215" s="30">
        <v>0</v>
      </c>
      <c r="AC215" s="30">
        <v>0</v>
      </c>
      <c r="AD215" s="30">
        <v>0</v>
      </c>
      <c r="AE215" s="30">
        <v>0</v>
      </c>
      <c r="AF215" s="198">
        <v>0</v>
      </c>
      <c r="AG215" s="206">
        <v>0</v>
      </c>
      <c r="AH215" s="28">
        <v>0</v>
      </c>
      <c r="AI215" s="28">
        <v>0</v>
      </c>
      <c r="AJ215" s="28">
        <v>0</v>
      </c>
      <c r="AK215" s="28">
        <v>0</v>
      </c>
      <c r="AL215" s="202"/>
      <c r="AM215" s="197"/>
      <c r="AN215" s="28">
        <v>0</v>
      </c>
      <c r="AO215" s="28">
        <v>0</v>
      </c>
      <c r="AP215" s="28">
        <v>0</v>
      </c>
      <c r="AQ215" s="87"/>
      <c r="AR215" s="28">
        <v>0</v>
      </c>
      <c r="AS215" s="28">
        <v>0</v>
      </c>
    </row>
    <row r="216" ht="409.5" customHeight="1" hidden="1">
      <c r="A216" t="s" s="218">
        <v>1062</v>
      </c>
      <c r="B216" t="s" s="10">
        <v>230</v>
      </c>
      <c r="C216" t="s" s="103">
        <v>790</v>
      </c>
      <c r="D216" t="s" s="66">
        <v>801</v>
      </c>
      <c r="E216" t="s" s="219">
        <v>1063</v>
      </c>
      <c r="F216" t="s" s="101">
        <v>714</v>
      </c>
      <c r="G216" s="203"/>
      <c r="H216" s="204">
        <f>SUM(J216,N216)</f>
        <v>5500</v>
      </c>
      <c r="I216" s="205">
        <f>SUM(Q216,S216,U216,W216,Y216,AA216,AC216,AE216,AG216,AI216,AK216,AM216,AO216,AQ216,AS216)</f>
        <v>820</v>
      </c>
      <c r="J216" s="35">
        <f>SUM(P216,R216,T216,V216,X216,Z216,AB216,AD216,AF216,AH216,AJ216,AL216,AN216,AP216,AR216)</f>
        <v>5500</v>
      </c>
      <c r="K216" s="36"/>
      <c r="L216" s="196"/>
      <c r="M216" s="196"/>
      <c r="N216" s="196"/>
      <c r="O216" s="197"/>
      <c r="P216" s="27">
        <v>4000</v>
      </c>
      <c r="Q216" s="27">
        <v>150</v>
      </c>
      <c r="R216" s="38">
        <v>0</v>
      </c>
      <c r="S216" s="38">
        <v>0</v>
      </c>
      <c r="T216" s="38">
        <v>800</v>
      </c>
      <c r="U216" s="38">
        <v>550</v>
      </c>
      <c r="V216" s="38">
        <v>600</v>
      </c>
      <c r="W216" s="38">
        <v>120</v>
      </c>
      <c r="X216" s="38">
        <v>100</v>
      </c>
      <c r="Y216" s="38">
        <v>0</v>
      </c>
      <c r="Z216" s="40">
        <v>0</v>
      </c>
      <c r="AA216" s="40">
        <v>0</v>
      </c>
      <c r="AB216" s="40">
        <v>0</v>
      </c>
      <c r="AC216" s="40">
        <v>0</v>
      </c>
      <c r="AD216" s="40">
        <v>0</v>
      </c>
      <c r="AE216" s="40">
        <v>0</v>
      </c>
      <c r="AF216" s="198">
        <v>0</v>
      </c>
      <c r="AG216" s="206">
        <v>0</v>
      </c>
      <c r="AH216" s="38">
        <v>0</v>
      </c>
      <c r="AI216" s="38">
        <v>0</v>
      </c>
      <c r="AJ216" s="38">
        <v>0</v>
      </c>
      <c r="AK216" s="38">
        <v>0</v>
      </c>
      <c r="AL216" s="202"/>
      <c r="AM216" s="197"/>
      <c r="AN216" s="38">
        <v>0</v>
      </c>
      <c r="AO216" s="38">
        <v>0</v>
      </c>
      <c r="AP216" s="38">
        <v>0</v>
      </c>
      <c r="AQ216" s="80"/>
      <c r="AR216" s="38">
        <v>0</v>
      </c>
      <c r="AS216" s="38">
        <v>0</v>
      </c>
    </row>
    <row r="217" ht="312" customHeight="1" hidden="1">
      <c r="A217" t="s" s="220">
        <v>1064</v>
      </c>
      <c r="B217" t="s" s="52">
        <v>231</v>
      </c>
      <c r="C217" t="s" s="220">
        <v>800</v>
      </c>
      <c r="D217" t="s" s="233">
        <v>801</v>
      </c>
      <c r="E217" t="s" s="132">
        <v>1065</v>
      </c>
      <c r="F217" t="s" s="210">
        <v>714</v>
      </c>
      <c r="G217" s="211"/>
      <c r="H217" s="42">
        <f>SUM(J217,N217)</f>
        <v>0</v>
      </c>
      <c r="I217" s="207">
        <f>SUM(Q217,S217,U217,W217,Y217,AA217,AC217,AE217,AG217,AI217,AK217,AM217,AO217,AQ217,AS217)</f>
        <v>0</v>
      </c>
      <c r="J217" s="43">
        <f>SUM(P217,R217,T217,V217,X217,Z217,AB217,AD217,AF217,AH217,AJ217,AL217,AN217,AP217,AR217)</f>
        <v>0</v>
      </c>
      <c r="K217" s="44"/>
      <c r="L217" s="6"/>
      <c r="M217" s="6"/>
      <c r="N217" s="14"/>
      <c r="O217" s="122"/>
      <c r="P217" s="27">
        <v>0</v>
      </c>
      <c r="Q217" s="27">
        <v>0</v>
      </c>
      <c r="R217" s="51">
        <v>0</v>
      </c>
      <c r="S217" s="51">
        <v>0</v>
      </c>
      <c r="T217" s="51">
        <v>0</v>
      </c>
      <c r="U217" s="51">
        <v>0</v>
      </c>
      <c r="V217" s="51">
        <v>0</v>
      </c>
      <c r="W217" s="51">
        <v>0</v>
      </c>
      <c r="X217" s="51">
        <v>0</v>
      </c>
      <c r="Y217" s="51">
        <v>0</v>
      </c>
      <c r="Z217" s="48">
        <v>0</v>
      </c>
      <c r="AA217" s="48">
        <v>0</v>
      </c>
      <c r="AB217" s="48">
        <v>0</v>
      </c>
      <c r="AC217" s="48">
        <v>0</v>
      </c>
      <c r="AD217" s="55">
        <v>0</v>
      </c>
      <c r="AE217" s="213">
        <v>0</v>
      </c>
      <c r="AF217" s="212">
        <v>0</v>
      </c>
      <c r="AG217" s="121">
        <v>0</v>
      </c>
      <c r="AH217" s="51">
        <v>0</v>
      </c>
      <c r="AI217" s="51">
        <v>0</v>
      </c>
      <c r="AJ217" s="47"/>
      <c r="AK217" s="51">
        <v>0</v>
      </c>
      <c r="AL217" s="14"/>
      <c r="AM217" s="122"/>
      <c r="AN217" s="51">
        <v>0</v>
      </c>
      <c r="AO217" s="51">
        <v>0</v>
      </c>
      <c r="AP217" s="51">
        <v>0</v>
      </c>
      <c r="AQ217" s="47"/>
      <c r="AR217" s="47"/>
      <c r="AS217" s="47"/>
    </row>
    <row r="218" ht="214.5" customHeight="1" hidden="1">
      <c r="A218" t="s" s="88">
        <v>1066</v>
      </c>
      <c r="B218" t="s" s="88">
        <v>232</v>
      </c>
      <c r="C218" s="228"/>
      <c r="D218" s="228"/>
      <c r="E218" t="s" s="217">
        <v>1067</v>
      </c>
      <c r="F218" s="182">
        <v>0</v>
      </c>
      <c r="G218" s="183"/>
      <c r="H218" s="42">
        <f>SUM(J218,N218)</f>
        <v>0</v>
      </c>
      <c r="I218" s="207">
        <f>SUM(Q218,S218,U218,W218,Y218,AA218,AC218,AE218,AG218,AI218,AK218,AM218,AO218,AQ218,AS218)</f>
        <v>0</v>
      </c>
      <c r="J218" s="43">
        <f>SUM(P218,R218,T218,V218,X218,Z218,AB218,AD218,AF218,AH218,AJ218,AL218,AN218,AP218,AR218)</f>
        <v>0</v>
      </c>
      <c r="K218" s="44"/>
      <c r="L218" s="6"/>
      <c r="M218" s="6"/>
      <c r="N218" s="14"/>
      <c r="O218" s="122"/>
      <c r="P218" s="46"/>
      <c r="Q218" s="46"/>
      <c r="R218" s="47"/>
      <c r="S218" s="47"/>
      <c r="T218" s="47"/>
      <c r="U218" s="47"/>
      <c r="V218" s="47"/>
      <c r="W218" s="47"/>
      <c r="X218" s="51">
        <v>0</v>
      </c>
      <c r="Y218" s="51">
        <v>0</v>
      </c>
      <c r="Z218" s="48">
        <v>0</v>
      </c>
      <c r="AA218" s="48">
        <v>0</v>
      </c>
      <c r="AB218" s="49"/>
      <c r="AC218" s="49"/>
      <c r="AD218" s="50"/>
      <c r="AE218" s="50"/>
      <c r="AF218" s="14"/>
      <c r="AG218" s="122"/>
      <c r="AH218" s="51">
        <v>0</v>
      </c>
      <c r="AI218" s="51">
        <v>0</v>
      </c>
      <c r="AJ218" s="47"/>
      <c r="AK218" s="47"/>
      <c r="AL218" s="14"/>
      <c r="AM218" s="122"/>
      <c r="AN218" s="47"/>
      <c r="AO218" s="47"/>
      <c r="AP218" s="47"/>
      <c r="AQ218" s="47"/>
      <c r="AR218" s="51">
        <v>0</v>
      </c>
      <c r="AS218" s="51">
        <v>0</v>
      </c>
    </row>
    <row r="219" ht="63" customHeight="1" hidden="1">
      <c r="A219" t="s" s="130">
        <v>1068</v>
      </c>
      <c r="B219" t="s" s="52">
        <v>233</v>
      </c>
      <c r="C219" t="s" s="130">
        <v>1069</v>
      </c>
      <c r="D219" t="s" s="209">
        <v>801</v>
      </c>
      <c r="E219" t="s" s="132">
        <v>1070</v>
      </c>
      <c r="F219" t="s" s="210">
        <v>714</v>
      </c>
      <c r="G219" s="211"/>
      <c r="H219" s="42">
        <f>SUM(J219,N219)</f>
        <v>0</v>
      </c>
      <c r="I219" s="207">
        <f>SUM(Q219,S219,U219,W219,Y219,AA219,AC219,AE219,AG219,AI219,AK219,AM219,AO219,AQ219,AS219)</f>
        <v>0</v>
      </c>
      <c r="J219" s="43">
        <f>SUM(P219,R219,T219,V219,X219,Z219,AB219,AD219,AF219,AH219,AJ219,AL219,AN219,AP219,AR219)</f>
        <v>0</v>
      </c>
      <c r="K219" s="44"/>
      <c r="L219" s="6"/>
      <c r="M219" s="6"/>
      <c r="N219" s="14"/>
      <c r="O219" s="122"/>
      <c r="P219" s="27">
        <v>0</v>
      </c>
      <c r="Q219" s="27">
        <v>0</v>
      </c>
      <c r="R219" s="51">
        <v>0</v>
      </c>
      <c r="S219" s="51">
        <v>0</v>
      </c>
      <c r="T219" s="51">
        <v>0</v>
      </c>
      <c r="U219" s="51">
        <v>0</v>
      </c>
      <c r="V219" s="51">
        <v>0</v>
      </c>
      <c r="W219" s="51">
        <v>0</v>
      </c>
      <c r="X219" s="51">
        <v>0</v>
      </c>
      <c r="Y219" s="51">
        <v>0</v>
      </c>
      <c r="Z219" s="48">
        <v>0</v>
      </c>
      <c r="AA219" s="48">
        <v>0</v>
      </c>
      <c r="AB219" s="48">
        <v>0</v>
      </c>
      <c r="AC219" s="48">
        <v>0</v>
      </c>
      <c r="AD219" s="55">
        <v>0</v>
      </c>
      <c r="AE219" s="213">
        <v>0</v>
      </c>
      <c r="AF219" s="212">
        <v>0</v>
      </c>
      <c r="AG219" s="121">
        <v>0</v>
      </c>
      <c r="AH219" s="51">
        <v>0</v>
      </c>
      <c r="AI219" s="51">
        <v>0</v>
      </c>
      <c r="AJ219" s="51">
        <v>0</v>
      </c>
      <c r="AK219" s="51">
        <v>0</v>
      </c>
      <c r="AL219" s="14"/>
      <c r="AM219" s="122"/>
      <c r="AN219" s="51">
        <v>0</v>
      </c>
      <c r="AO219" s="51">
        <v>0</v>
      </c>
      <c r="AP219" s="51">
        <v>0</v>
      </c>
      <c r="AQ219" s="47"/>
      <c r="AR219" s="51">
        <v>0</v>
      </c>
      <c r="AS219" s="51">
        <v>0</v>
      </c>
    </row>
    <row r="220" ht="31.5" customHeight="1" hidden="1">
      <c r="A220" t="s" s="130">
        <v>1071</v>
      </c>
      <c r="B220" t="s" s="52">
        <v>234</v>
      </c>
      <c r="C220" t="s" s="130">
        <v>1069</v>
      </c>
      <c r="D220" t="s" s="209">
        <v>801</v>
      </c>
      <c r="E220" t="s" s="132">
        <v>1072</v>
      </c>
      <c r="F220" t="s" s="210">
        <v>714</v>
      </c>
      <c r="G220" s="211"/>
      <c r="H220" s="42">
        <f>SUM(J220,N220)</f>
        <v>0</v>
      </c>
      <c r="I220" s="207">
        <f>SUM(Q220,S220,U220,W220,Y220,AA220,AC220,AE220,AG220,AI220,AK220,AM220,AO220,AQ220,AS220)</f>
        <v>0</v>
      </c>
      <c r="J220" s="43">
        <f>SUM(P220,R220,T220,V220,X220,Z220,AB220,AD220,AF220,AH220,AJ220,AL220,AN220,AP220,AR220)</f>
        <v>0</v>
      </c>
      <c r="K220" s="44"/>
      <c r="L220" s="6"/>
      <c r="M220" s="6"/>
      <c r="N220" s="14"/>
      <c r="O220" s="122"/>
      <c r="P220" s="27">
        <v>0</v>
      </c>
      <c r="Q220" s="27">
        <v>0</v>
      </c>
      <c r="R220" s="51">
        <v>0</v>
      </c>
      <c r="S220" s="51">
        <v>0</v>
      </c>
      <c r="T220" s="51">
        <v>0</v>
      </c>
      <c r="U220" s="51">
        <v>0</v>
      </c>
      <c r="V220" s="51">
        <v>0</v>
      </c>
      <c r="W220" s="51">
        <v>0</v>
      </c>
      <c r="X220" s="51">
        <v>0</v>
      </c>
      <c r="Y220" s="51">
        <v>0</v>
      </c>
      <c r="Z220" s="48">
        <v>0</v>
      </c>
      <c r="AA220" s="48">
        <v>0</v>
      </c>
      <c r="AB220" s="48">
        <v>0</v>
      </c>
      <c r="AC220" s="48">
        <v>0</v>
      </c>
      <c r="AD220" s="55">
        <v>0</v>
      </c>
      <c r="AE220" s="213">
        <v>0</v>
      </c>
      <c r="AF220" s="212">
        <v>0</v>
      </c>
      <c r="AG220" s="121">
        <v>0</v>
      </c>
      <c r="AH220" s="51">
        <v>0</v>
      </c>
      <c r="AI220" s="51">
        <v>0</v>
      </c>
      <c r="AJ220" s="51">
        <v>0</v>
      </c>
      <c r="AK220" s="51">
        <v>0</v>
      </c>
      <c r="AL220" s="14"/>
      <c r="AM220" s="122"/>
      <c r="AN220" s="51">
        <v>0</v>
      </c>
      <c r="AO220" s="51">
        <v>0</v>
      </c>
      <c r="AP220" s="51">
        <v>0</v>
      </c>
      <c r="AQ220" s="47"/>
      <c r="AR220" s="51">
        <v>0</v>
      </c>
      <c r="AS220" s="51">
        <v>0</v>
      </c>
    </row>
    <row r="221" ht="31.5" customHeight="1" hidden="1">
      <c r="A221" t="s" s="130">
        <v>1073</v>
      </c>
      <c r="B221" t="s" s="52">
        <v>235</v>
      </c>
      <c r="C221" t="s" s="130">
        <v>712</v>
      </c>
      <c r="D221" t="s" s="209">
        <v>801</v>
      </c>
      <c r="E221" t="s" s="217">
        <v>1074</v>
      </c>
      <c r="F221" t="s" s="210">
        <v>714</v>
      </c>
      <c r="G221" s="211"/>
      <c r="H221" s="42">
        <f>SUM(J221,N221)</f>
        <v>0</v>
      </c>
      <c r="I221" s="207">
        <f>SUM(Q221,S221,U221,W221,Y221,AA221,AC221,AE221,AG221,AI221,AK221,AM221,AO221,AQ221,AS221)</f>
        <v>0</v>
      </c>
      <c r="J221" s="43">
        <f>SUM(P221,R221,T221,V221,X221,Z221,AB221,AD221,AF221,AH221,AJ221,AL221,AN221,AP221,AR221)</f>
        <v>0</v>
      </c>
      <c r="K221" s="44"/>
      <c r="L221" s="6"/>
      <c r="M221" s="6"/>
      <c r="N221" s="14"/>
      <c r="O221" s="122"/>
      <c r="P221" s="27">
        <v>0</v>
      </c>
      <c r="Q221" s="27">
        <v>0</v>
      </c>
      <c r="R221" s="51">
        <v>0</v>
      </c>
      <c r="S221" s="51">
        <v>0</v>
      </c>
      <c r="T221" s="51">
        <v>0</v>
      </c>
      <c r="U221" s="51">
        <v>0</v>
      </c>
      <c r="V221" s="51">
        <v>0</v>
      </c>
      <c r="W221" s="51">
        <v>0</v>
      </c>
      <c r="X221" s="51">
        <v>0</v>
      </c>
      <c r="Y221" s="51">
        <v>0</v>
      </c>
      <c r="Z221" s="48">
        <v>0</v>
      </c>
      <c r="AA221" s="48">
        <v>0</v>
      </c>
      <c r="AB221" s="48">
        <v>0</v>
      </c>
      <c r="AC221" s="48">
        <v>0</v>
      </c>
      <c r="AD221" s="55">
        <v>0</v>
      </c>
      <c r="AE221" s="213">
        <v>0</v>
      </c>
      <c r="AF221" s="212">
        <v>0</v>
      </c>
      <c r="AG221" s="121">
        <v>0</v>
      </c>
      <c r="AH221" s="51">
        <v>0</v>
      </c>
      <c r="AI221" s="51">
        <v>0</v>
      </c>
      <c r="AJ221" s="51">
        <v>0</v>
      </c>
      <c r="AK221" s="51">
        <v>0</v>
      </c>
      <c r="AL221" s="14"/>
      <c r="AM221" s="122"/>
      <c r="AN221" s="51">
        <v>0</v>
      </c>
      <c r="AO221" s="51">
        <v>0</v>
      </c>
      <c r="AP221" s="51">
        <v>0</v>
      </c>
      <c r="AQ221" s="47"/>
      <c r="AR221" s="51">
        <v>0</v>
      </c>
      <c r="AS221" s="51">
        <v>0</v>
      </c>
    </row>
    <row r="222" ht="19.5" customHeight="1" hidden="1">
      <c r="A222" t="s" s="130">
        <v>1075</v>
      </c>
      <c r="B222" t="s" s="52">
        <v>236</v>
      </c>
      <c r="C222" t="s" s="130">
        <v>712</v>
      </c>
      <c r="D222" t="s" s="209">
        <v>801</v>
      </c>
      <c r="E222" t="s" s="217">
        <v>1076</v>
      </c>
      <c r="F222" t="s" s="210">
        <v>714</v>
      </c>
      <c r="G222" s="211"/>
      <c r="H222" s="42">
        <f>SUM(J222,N222)</f>
        <v>0</v>
      </c>
      <c r="I222" s="207">
        <f>SUM(Q222,S222,U222,W222,Y222,AA222,AC222,AE222,AG222,AI222,AK222,AM222,AO222,AQ222,AS222)</f>
        <v>0</v>
      </c>
      <c r="J222" s="43">
        <f>SUM(P222,R222,T222,V222,X222,Z222,AB222,AD222,AF222,AH222,AJ222,AL222,AN222,AP222,AR222)</f>
        <v>0</v>
      </c>
      <c r="K222" s="44"/>
      <c r="L222" s="6"/>
      <c r="M222" s="6"/>
      <c r="N222" s="14"/>
      <c r="O222" s="122"/>
      <c r="P222" s="27">
        <v>0</v>
      </c>
      <c r="Q222" s="27">
        <v>0</v>
      </c>
      <c r="R222" s="51">
        <v>0</v>
      </c>
      <c r="S222" s="51">
        <v>0</v>
      </c>
      <c r="T222" s="51">
        <v>0</v>
      </c>
      <c r="U222" s="51">
        <v>0</v>
      </c>
      <c r="V222" s="51">
        <v>0</v>
      </c>
      <c r="W222" s="51">
        <v>0</v>
      </c>
      <c r="X222" s="51">
        <v>0</v>
      </c>
      <c r="Y222" s="51">
        <v>0</v>
      </c>
      <c r="Z222" s="48">
        <v>0</v>
      </c>
      <c r="AA222" s="48">
        <v>0</v>
      </c>
      <c r="AB222" s="48">
        <v>0</v>
      </c>
      <c r="AC222" s="48">
        <v>0</v>
      </c>
      <c r="AD222" s="55">
        <v>0</v>
      </c>
      <c r="AE222" s="213">
        <v>0</v>
      </c>
      <c r="AF222" s="212">
        <v>0</v>
      </c>
      <c r="AG222" s="121">
        <v>0</v>
      </c>
      <c r="AH222" s="51">
        <v>0</v>
      </c>
      <c r="AI222" s="51">
        <v>0</v>
      </c>
      <c r="AJ222" s="51">
        <v>0</v>
      </c>
      <c r="AK222" s="51">
        <v>0</v>
      </c>
      <c r="AL222" s="14"/>
      <c r="AM222" s="122"/>
      <c r="AN222" s="51">
        <v>0</v>
      </c>
      <c r="AO222" s="51">
        <v>0</v>
      </c>
      <c r="AP222" s="51">
        <v>0</v>
      </c>
      <c r="AQ222" s="47"/>
      <c r="AR222" s="51">
        <v>0</v>
      </c>
      <c r="AS222" s="51">
        <v>0</v>
      </c>
    </row>
    <row r="223" ht="19.5" customHeight="1" hidden="1">
      <c r="A223" t="s" s="130">
        <v>1077</v>
      </c>
      <c r="B223" t="s" s="52">
        <v>237</v>
      </c>
      <c r="C223" t="s" s="130">
        <v>712</v>
      </c>
      <c r="D223" t="s" s="209">
        <v>801</v>
      </c>
      <c r="E223" t="s" s="217">
        <v>1074</v>
      </c>
      <c r="F223" t="s" s="210">
        <v>720</v>
      </c>
      <c r="G223" s="211"/>
      <c r="H223" s="42">
        <f>SUM(J223,N223)</f>
        <v>0</v>
      </c>
      <c r="I223" s="207">
        <f>SUM(Q223,S223,U223,W223,Y223,AA223,AC223,AE223,AG223,AI223,AK223,AM223,AO223,AQ223,AS223)</f>
        <v>0</v>
      </c>
      <c r="J223" s="43">
        <f>SUM(P223,R223,T223,V223,X223,Z223,AB223,AD223,AF223,AH223,AJ223,AL223,AN223,AP223,AR223)</f>
        <v>0</v>
      </c>
      <c r="K223" s="44"/>
      <c r="L223" s="6"/>
      <c r="M223" s="6"/>
      <c r="N223" s="14"/>
      <c r="O223" s="122"/>
      <c r="P223" s="27">
        <v>0</v>
      </c>
      <c r="Q223" s="27">
        <v>0</v>
      </c>
      <c r="R223" s="51">
        <v>0</v>
      </c>
      <c r="S223" s="51">
        <v>0</v>
      </c>
      <c r="T223" s="51">
        <v>0</v>
      </c>
      <c r="U223" s="51">
        <v>0</v>
      </c>
      <c r="V223" s="51">
        <v>0</v>
      </c>
      <c r="W223" s="51">
        <v>0</v>
      </c>
      <c r="X223" s="51">
        <v>0</v>
      </c>
      <c r="Y223" s="51">
        <v>0</v>
      </c>
      <c r="Z223" s="48">
        <v>0</v>
      </c>
      <c r="AA223" s="48">
        <v>0</v>
      </c>
      <c r="AB223" s="48">
        <v>0</v>
      </c>
      <c r="AC223" s="48">
        <v>0</v>
      </c>
      <c r="AD223" s="55">
        <v>0</v>
      </c>
      <c r="AE223" s="213">
        <v>0</v>
      </c>
      <c r="AF223" s="212">
        <v>0</v>
      </c>
      <c r="AG223" s="121">
        <v>0</v>
      </c>
      <c r="AH223" s="51">
        <v>0</v>
      </c>
      <c r="AI223" s="51">
        <v>0</v>
      </c>
      <c r="AJ223" s="51">
        <v>0</v>
      </c>
      <c r="AK223" s="51">
        <v>0</v>
      </c>
      <c r="AL223" s="14"/>
      <c r="AM223" s="122"/>
      <c r="AN223" s="51">
        <v>0</v>
      </c>
      <c r="AO223" s="51">
        <v>0</v>
      </c>
      <c r="AP223" s="51">
        <v>0</v>
      </c>
      <c r="AQ223" s="47"/>
      <c r="AR223" s="51">
        <v>0</v>
      </c>
      <c r="AS223" s="51">
        <v>0</v>
      </c>
    </row>
    <row r="224" ht="39" customHeight="1" hidden="1">
      <c r="A224" t="s" s="130">
        <v>1078</v>
      </c>
      <c r="B224" t="s" s="52">
        <v>238</v>
      </c>
      <c r="C224" t="s" s="130">
        <v>712</v>
      </c>
      <c r="D224" t="s" s="209">
        <v>801</v>
      </c>
      <c r="E224" t="s" s="217">
        <v>1079</v>
      </c>
      <c r="F224" t="s" s="210">
        <v>714</v>
      </c>
      <c r="G224" s="211"/>
      <c r="H224" s="42">
        <f>SUM(J224,N224)</f>
        <v>0</v>
      </c>
      <c r="I224" s="207">
        <f>SUM(Q224,S224,U224,W224,Y224,AA224,AC224,AE224,AG224,AI224,AK224,AM224,AO224,AQ224,AS224)</f>
        <v>0</v>
      </c>
      <c r="J224" s="43">
        <f>SUM(P224,R224,T224,V224,X224,Z224,AB224,AD224,AF224,AH224,AJ224,AL224,AN224,AP224,AR224)</f>
        <v>0</v>
      </c>
      <c r="K224" s="44"/>
      <c r="L224" s="6"/>
      <c r="M224" s="6"/>
      <c r="N224" s="14"/>
      <c r="O224" s="122"/>
      <c r="P224" s="27">
        <v>0</v>
      </c>
      <c r="Q224" s="27">
        <v>0</v>
      </c>
      <c r="R224" s="51">
        <v>0</v>
      </c>
      <c r="S224" s="51">
        <v>0</v>
      </c>
      <c r="T224" s="51">
        <v>0</v>
      </c>
      <c r="U224" s="51">
        <v>0</v>
      </c>
      <c r="V224" s="51">
        <v>0</v>
      </c>
      <c r="W224" s="51">
        <v>0</v>
      </c>
      <c r="X224" s="51">
        <v>0</v>
      </c>
      <c r="Y224" s="51">
        <v>0</v>
      </c>
      <c r="Z224" s="48">
        <v>0</v>
      </c>
      <c r="AA224" s="48">
        <v>0</v>
      </c>
      <c r="AB224" s="48">
        <v>0</v>
      </c>
      <c r="AC224" s="48">
        <v>0</v>
      </c>
      <c r="AD224" s="55">
        <v>0</v>
      </c>
      <c r="AE224" s="213">
        <v>0</v>
      </c>
      <c r="AF224" s="212">
        <v>0</v>
      </c>
      <c r="AG224" s="121">
        <v>0</v>
      </c>
      <c r="AH224" s="51">
        <v>0</v>
      </c>
      <c r="AI224" s="51">
        <v>0</v>
      </c>
      <c r="AJ224" s="51">
        <v>0</v>
      </c>
      <c r="AK224" s="51">
        <v>0</v>
      </c>
      <c r="AL224" s="14"/>
      <c r="AM224" s="122"/>
      <c r="AN224" s="51">
        <v>0</v>
      </c>
      <c r="AO224" s="51">
        <v>0</v>
      </c>
      <c r="AP224" s="51">
        <v>0</v>
      </c>
      <c r="AQ224" s="47"/>
      <c r="AR224" s="51">
        <v>0</v>
      </c>
      <c r="AS224" s="51">
        <v>0</v>
      </c>
    </row>
    <row r="225" ht="409.5" customHeight="1" hidden="1">
      <c r="A225" t="s" s="220">
        <v>1080</v>
      </c>
      <c r="B225" t="s" s="52">
        <v>239</v>
      </c>
      <c r="C225" t="s" s="130">
        <v>712</v>
      </c>
      <c r="D225" t="s" s="209">
        <v>801</v>
      </c>
      <c r="E225" t="s" s="217">
        <v>1081</v>
      </c>
      <c r="F225" t="s" s="210">
        <v>720</v>
      </c>
      <c r="G225" s="211"/>
      <c r="H225" s="42">
        <f>SUM(J225,N225)</f>
        <v>15000</v>
      </c>
      <c r="I225" s="207">
        <f>SUM(Q225,S225,U225,W225,Y225,AA225,AC225,AE225,AG225,AI225,AK225,AM225,AO225,AQ225,AS225)</f>
        <v>0</v>
      </c>
      <c r="J225" s="43">
        <f>SUM(P225,R225,T225,V225,X225,Z225,AB225,AD225,AF225,AH225,AJ225,AL225,AN225,AP225,AR225)</f>
        <v>15000</v>
      </c>
      <c r="K225" s="44"/>
      <c r="L225" s="6"/>
      <c r="M225" s="6"/>
      <c r="N225" s="14"/>
      <c r="O225" s="122"/>
      <c r="P225" s="27">
        <v>0</v>
      </c>
      <c r="Q225" s="27">
        <v>0</v>
      </c>
      <c r="R225" s="51">
        <v>0</v>
      </c>
      <c r="S225" s="51">
        <v>0</v>
      </c>
      <c r="T225" s="51">
        <v>5000</v>
      </c>
      <c r="U225" s="51">
        <v>0</v>
      </c>
      <c r="V225" s="51">
        <v>3000</v>
      </c>
      <c r="W225" s="51">
        <v>0</v>
      </c>
      <c r="X225" s="51">
        <v>7000</v>
      </c>
      <c r="Y225" s="51">
        <v>0</v>
      </c>
      <c r="Z225" s="48">
        <v>0</v>
      </c>
      <c r="AA225" s="48">
        <v>0</v>
      </c>
      <c r="AB225" s="48">
        <v>0</v>
      </c>
      <c r="AC225" s="48">
        <v>0</v>
      </c>
      <c r="AD225" s="55">
        <v>0</v>
      </c>
      <c r="AE225" s="213">
        <v>0</v>
      </c>
      <c r="AF225" s="212">
        <v>0</v>
      </c>
      <c r="AG225" s="121">
        <v>0</v>
      </c>
      <c r="AH225" s="51">
        <v>0</v>
      </c>
      <c r="AI225" s="51">
        <v>0</v>
      </c>
      <c r="AJ225" s="51">
        <v>0</v>
      </c>
      <c r="AK225" s="51">
        <v>0</v>
      </c>
      <c r="AL225" s="14"/>
      <c r="AM225" s="122"/>
      <c r="AN225" s="51">
        <v>0</v>
      </c>
      <c r="AO225" s="51">
        <v>0</v>
      </c>
      <c r="AP225" s="51">
        <v>0</v>
      </c>
      <c r="AQ225" s="47"/>
      <c r="AR225" s="51">
        <v>0</v>
      </c>
      <c r="AS225" s="51">
        <v>0</v>
      </c>
    </row>
    <row r="226" ht="78.75" customHeight="1" hidden="1">
      <c r="A226" t="s" s="220">
        <v>1082</v>
      </c>
      <c r="B226" t="s" s="52">
        <v>240</v>
      </c>
      <c r="C226" t="s" s="130">
        <v>1083</v>
      </c>
      <c r="D226" t="s" s="209">
        <v>801</v>
      </c>
      <c r="E226" t="s" s="132">
        <v>1084</v>
      </c>
      <c r="F226" t="s" s="210">
        <v>714</v>
      </c>
      <c r="G226" s="211"/>
      <c r="H226" s="42">
        <f>SUM(J226,N226)</f>
        <v>0</v>
      </c>
      <c r="I226" s="207">
        <f>SUM(Q226,S226,U226,W226,Y226,AA226,AC226,AE226,AG226,AI226,AK226,AM226,AO226,AQ226,AS226)</f>
        <v>0</v>
      </c>
      <c r="J226" s="43">
        <f>SUM(P226,R226,T226,V226,X226,Z226,AB226,AD226,AF226,AH226,AJ226,AL226,AN226,AP226,AR226)</f>
        <v>0</v>
      </c>
      <c r="K226" s="44"/>
      <c r="L226" s="6"/>
      <c r="M226" s="6"/>
      <c r="N226" s="14"/>
      <c r="O226" s="122"/>
      <c r="P226" s="27">
        <v>0</v>
      </c>
      <c r="Q226" s="27">
        <v>0</v>
      </c>
      <c r="R226" s="51">
        <v>0</v>
      </c>
      <c r="S226" s="51">
        <v>0</v>
      </c>
      <c r="T226" s="51">
        <v>0</v>
      </c>
      <c r="U226" s="51">
        <v>0</v>
      </c>
      <c r="V226" s="51">
        <v>0</v>
      </c>
      <c r="W226" s="51">
        <v>0</v>
      </c>
      <c r="X226" s="51">
        <v>0</v>
      </c>
      <c r="Y226" s="51">
        <v>0</v>
      </c>
      <c r="Z226" s="48">
        <v>0</v>
      </c>
      <c r="AA226" s="48">
        <v>0</v>
      </c>
      <c r="AB226" s="48">
        <v>0</v>
      </c>
      <c r="AC226" s="48">
        <v>0</v>
      </c>
      <c r="AD226" s="55">
        <v>0</v>
      </c>
      <c r="AE226" s="213">
        <v>0</v>
      </c>
      <c r="AF226" s="212">
        <v>0</v>
      </c>
      <c r="AG226" s="121">
        <v>0</v>
      </c>
      <c r="AH226" s="51">
        <v>0</v>
      </c>
      <c r="AI226" s="51">
        <v>0</v>
      </c>
      <c r="AJ226" s="51">
        <v>0</v>
      </c>
      <c r="AK226" s="51">
        <v>0</v>
      </c>
      <c r="AL226" s="14"/>
      <c r="AM226" s="122"/>
      <c r="AN226" s="51">
        <v>0</v>
      </c>
      <c r="AO226" s="51">
        <v>0</v>
      </c>
      <c r="AP226" s="51">
        <v>0</v>
      </c>
      <c r="AQ226" s="47"/>
      <c r="AR226" s="47"/>
      <c r="AS226" s="47"/>
    </row>
    <row r="227" ht="63" customHeight="1" hidden="1">
      <c r="A227" t="s" s="220">
        <v>1085</v>
      </c>
      <c r="B227" t="s" s="52">
        <v>241</v>
      </c>
      <c r="C227" t="s" s="130">
        <v>1083</v>
      </c>
      <c r="D227" t="s" s="209">
        <v>801</v>
      </c>
      <c r="E227" t="s" s="132">
        <v>1084</v>
      </c>
      <c r="F227" t="s" s="210">
        <v>714</v>
      </c>
      <c r="G227" s="211"/>
      <c r="H227" s="42">
        <f>SUM(J227,N227)</f>
        <v>0</v>
      </c>
      <c r="I227" s="207">
        <f>SUM(Q227,S227,U227,W227,Y227,AA227,AC227,AE227,AG227,AI227,AK227,AM227,AO227,AQ227,AS227)</f>
        <v>0</v>
      </c>
      <c r="J227" s="43">
        <f>SUM(P227,R227,T227,V227,X227,Z227,AB227,AD227,AF227,AH227,AJ227,AL227,AN227,AP227,AR227)</f>
        <v>0</v>
      </c>
      <c r="K227" s="44"/>
      <c r="L227" s="6"/>
      <c r="M227" s="6"/>
      <c r="N227" s="14"/>
      <c r="O227" s="122"/>
      <c r="P227" s="27">
        <v>0</v>
      </c>
      <c r="Q227" s="27">
        <v>0</v>
      </c>
      <c r="R227" s="51">
        <v>0</v>
      </c>
      <c r="S227" s="51">
        <v>0</v>
      </c>
      <c r="T227" s="51">
        <v>0</v>
      </c>
      <c r="U227" s="51">
        <v>0</v>
      </c>
      <c r="V227" s="51">
        <v>0</v>
      </c>
      <c r="W227" s="51">
        <v>0</v>
      </c>
      <c r="X227" s="51">
        <v>0</v>
      </c>
      <c r="Y227" s="51">
        <v>0</v>
      </c>
      <c r="Z227" s="48">
        <v>0</v>
      </c>
      <c r="AA227" s="48">
        <v>0</v>
      </c>
      <c r="AB227" s="48">
        <v>0</v>
      </c>
      <c r="AC227" s="48">
        <v>0</v>
      </c>
      <c r="AD227" s="55">
        <v>0</v>
      </c>
      <c r="AE227" s="213">
        <v>0</v>
      </c>
      <c r="AF227" s="212">
        <v>0</v>
      </c>
      <c r="AG227" s="121">
        <v>0</v>
      </c>
      <c r="AH227" s="51">
        <v>0</v>
      </c>
      <c r="AI227" s="51">
        <v>0</v>
      </c>
      <c r="AJ227" s="51">
        <v>0</v>
      </c>
      <c r="AK227" s="51">
        <v>0</v>
      </c>
      <c r="AL227" s="14"/>
      <c r="AM227" s="122"/>
      <c r="AN227" s="51">
        <v>0</v>
      </c>
      <c r="AO227" s="51">
        <v>0</v>
      </c>
      <c r="AP227" s="51">
        <v>0</v>
      </c>
      <c r="AQ227" s="47"/>
      <c r="AR227" s="51">
        <v>0</v>
      </c>
      <c r="AS227" s="51">
        <v>0</v>
      </c>
    </row>
    <row r="228" ht="47.25" customHeight="1" hidden="1">
      <c r="A228" t="s" s="130">
        <v>1086</v>
      </c>
      <c r="B228" t="s" s="52">
        <v>242</v>
      </c>
      <c r="C228" t="s" s="130">
        <v>811</v>
      </c>
      <c r="D228" t="s" s="209">
        <v>791</v>
      </c>
      <c r="E228" t="s" s="217">
        <v>1076</v>
      </c>
      <c r="F228" t="s" s="210">
        <v>714</v>
      </c>
      <c r="G228" s="211"/>
      <c r="H228" s="42">
        <f>SUM(J228,N228)</f>
        <v>0</v>
      </c>
      <c r="I228" s="207">
        <f>SUM(Q228,S228,U228,W228,Y228,AA228,AC228,AE228,AG228,AI228,AK228,AM228,AO228,AQ228,AS228)</f>
        <v>0</v>
      </c>
      <c r="J228" s="43">
        <f>SUM(P228,R228,T228,V228,X228,Z228,AB228,AD228,AF228,AH228,AJ228,AL228,AN228,AP228,AR228)</f>
        <v>0</v>
      </c>
      <c r="K228" s="44"/>
      <c r="L228" s="6"/>
      <c r="M228" s="6"/>
      <c r="N228" s="14"/>
      <c r="O228" s="122"/>
      <c r="P228" s="46"/>
      <c r="Q228" s="27">
        <v>0</v>
      </c>
      <c r="R228" s="51">
        <v>0</v>
      </c>
      <c r="S228" s="51">
        <v>0</v>
      </c>
      <c r="T228" s="51">
        <v>0</v>
      </c>
      <c r="U228" s="51">
        <v>0</v>
      </c>
      <c r="V228" s="51">
        <v>0</v>
      </c>
      <c r="W228" s="51">
        <v>0</v>
      </c>
      <c r="X228" s="51">
        <v>0</v>
      </c>
      <c r="Y228" s="51">
        <v>0</v>
      </c>
      <c r="Z228" s="48">
        <v>0</v>
      </c>
      <c r="AA228" s="48">
        <v>0</v>
      </c>
      <c r="AB228" s="48">
        <v>0</v>
      </c>
      <c r="AC228" s="48">
        <v>0</v>
      </c>
      <c r="AD228" s="55">
        <v>0</v>
      </c>
      <c r="AE228" s="213">
        <v>0</v>
      </c>
      <c r="AF228" s="212">
        <v>0</v>
      </c>
      <c r="AG228" s="121">
        <v>0</v>
      </c>
      <c r="AH228" s="51">
        <v>0</v>
      </c>
      <c r="AI228" s="51">
        <v>0</v>
      </c>
      <c r="AJ228" s="51">
        <v>0</v>
      </c>
      <c r="AK228" s="51">
        <v>0</v>
      </c>
      <c r="AL228" s="14"/>
      <c r="AM228" s="122"/>
      <c r="AN228" s="51">
        <v>0</v>
      </c>
      <c r="AO228" s="51">
        <v>0</v>
      </c>
      <c r="AP228" s="51">
        <v>0</v>
      </c>
      <c r="AQ228" s="47"/>
      <c r="AR228" s="51">
        <v>0</v>
      </c>
      <c r="AS228" s="51">
        <v>0</v>
      </c>
    </row>
    <row r="229" ht="31.5" customHeight="1" hidden="1">
      <c r="A229" t="s" s="220">
        <v>1087</v>
      </c>
      <c r="B229" t="s" s="52">
        <v>243</v>
      </c>
      <c r="C229" t="s" s="130">
        <v>1083</v>
      </c>
      <c r="D229" t="s" s="209">
        <v>801</v>
      </c>
      <c r="E229" t="s" s="217">
        <v>1088</v>
      </c>
      <c r="F229" t="s" s="210">
        <v>714</v>
      </c>
      <c r="G229" s="211"/>
      <c r="H229" s="42">
        <f>SUM(J229,N229)</f>
        <v>0</v>
      </c>
      <c r="I229" s="207">
        <f>SUM(Q229,S229,U229,W229,Y229,AA229,AC229,AE229,AG229,AI229,AK229,AM229,AO229,AQ229,AS229)</f>
        <v>0</v>
      </c>
      <c r="J229" s="43">
        <f>SUM(P229,R229,T229,V229,X229,Z229,AB229,AD229,AF229,AH229,AJ229,AL229,AN229,AP229,AR229)</f>
        <v>0</v>
      </c>
      <c r="K229" s="44"/>
      <c r="L229" s="6"/>
      <c r="M229" s="6"/>
      <c r="N229" s="14"/>
      <c r="O229" s="122"/>
      <c r="P229" s="27">
        <v>0</v>
      </c>
      <c r="Q229" s="27">
        <v>0</v>
      </c>
      <c r="R229" s="51">
        <v>0</v>
      </c>
      <c r="S229" s="51">
        <v>0</v>
      </c>
      <c r="T229" s="51">
        <v>0</v>
      </c>
      <c r="U229" s="51">
        <v>0</v>
      </c>
      <c r="V229" s="51">
        <v>0</v>
      </c>
      <c r="W229" s="51">
        <v>0</v>
      </c>
      <c r="X229" s="51">
        <v>0</v>
      </c>
      <c r="Y229" s="51">
        <v>0</v>
      </c>
      <c r="Z229" s="48">
        <v>0</v>
      </c>
      <c r="AA229" s="48">
        <v>0</v>
      </c>
      <c r="AB229" s="48">
        <v>0</v>
      </c>
      <c r="AC229" s="48">
        <v>0</v>
      </c>
      <c r="AD229" s="55">
        <v>0</v>
      </c>
      <c r="AE229" s="213">
        <v>0</v>
      </c>
      <c r="AF229" s="212">
        <v>0</v>
      </c>
      <c r="AG229" s="121">
        <v>0</v>
      </c>
      <c r="AH229" s="51">
        <v>0</v>
      </c>
      <c r="AI229" s="51">
        <v>0</v>
      </c>
      <c r="AJ229" s="51">
        <v>0</v>
      </c>
      <c r="AK229" s="51">
        <v>0</v>
      </c>
      <c r="AL229" s="14"/>
      <c r="AM229" s="122"/>
      <c r="AN229" s="51">
        <v>0</v>
      </c>
      <c r="AO229" s="51">
        <v>0</v>
      </c>
      <c r="AP229" s="51">
        <v>0</v>
      </c>
      <c r="AQ229" s="47"/>
      <c r="AR229" s="51">
        <v>0</v>
      </c>
      <c r="AS229" s="51">
        <v>0</v>
      </c>
    </row>
    <row r="230" ht="97.5" customHeight="1" hidden="1">
      <c r="A230" t="s" s="220">
        <v>1089</v>
      </c>
      <c r="B230" t="s" s="52">
        <v>244</v>
      </c>
      <c r="C230" t="s" s="130">
        <v>1083</v>
      </c>
      <c r="D230" t="s" s="209">
        <v>801</v>
      </c>
      <c r="E230" t="s" s="217">
        <v>1090</v>
      </c>
      <c r="F230" t="s" s="210">
        <v>714</v>
      </c>
      <c r="G230" s="211"/>
      <c r="H230" s="42">
        <f>SUM(J230,N230)</f>
        <v>0</v>
      </c>
      <c r="I230" s="207">
        <f>SUM(Q230,S230,U230,W230,Y230,AA230,AC230,AE230,AG230,AI230,AK230,AM230,AO230,AQ230,AS230)</f>
        <v>0</v>
      </c>
      <c r="J230" s="43">
        <f>SUM(P230,R230,T230,V230,X230,Z230,AB230,AD230,AF230,AH230,AJ230,AL230,AN230,AP230,AR230)</f>
        <v>0</v>
      </c>
      <c r="K230" s="44"/>
      <c r="L230" s="6"/>
      <c r="M230" s="6"/>
      <c r="N230" s="14"/>
      <c r="O230" s="122"/>
      <c r="P230" s="27">
        <v>0</v>
      </c>
      <c r="Q230" s="27">
        <v>0</v>
      </c>
      <c r="R230" s="51">
        <v>0</v>
      </c>
      <c r="S230" s="51">
        <v>0</v>
      </c>
      <c r="T230" s="51">
        <v>0</v>
      </c>
      <c r="U230" s="51">
        <v>0</v>
      </c>
      <c r="V230" s="51">
        <v>0</v>
      </c>
      <c r="W230" s="51">
        <v>0</v>
      </c>
      <c r="X230" s="51">
        <v>0</v>
      </c>
      <c r="Y230" s="51">
        <v>0</v>
      </c>
      <c r="Z230" s="48">
        <v>0</v>
      </c>
      <c r="AA230" s="48">
        <v>0</v>
      </c>
      <c r="AB230" s="48">
        <v>0</v>
      </c>
      <c r="AC230" s="48">
        <v>0</v>
      </c>
      <c r="AD230" s="55">
        <v>0</v>
      </c>
      <c r="AE230" s="213">
        <v>0</v>
      </c>
      <c r="AF230" s="212">
        <v>0</v>
      </c>
      <c r="AG230" s="121">
        <v>0</v>
      </c>
      <c r="AH230" s="51">
        <v>0</v>
      </c>
      <c r="AI230" s="51">
        <v>0</v>
      </c>
      <c r="AJ230" s="51">
        <v>0</v>
      </c>
      <c r="AK230" s="51">
        <v>0</v>
      </c>
      <c r="AL230" s="14"/>
      <c r="AM230" s="122"/>
      <c r="AN230" s="51">
        <v>0</v>
      </c>
      <c r="AO230" s="51">
        <v>0</v>
      </c>
      <c r="AP230" s="51">
        <v>0</v>
      </c>
      <c r="AQ230" s="47"/>
      <c r="AR230" s="51">
        <v>0</v>
      </c>
      <c r="AS230" s="51">
        <v>0</v>
      </c>
    </row>
    <row r="231" ht="58.5" customHeight="1" hidden="1">
      <c r="A231" t="s" s="220">
        <v>1091</v>
      </c>
      <c r="B231" t="s" s="52">
        <v>245</v>
      </c>
      <c r="C231" t="s" s="130">
        <v>1000</v>
      </c>
      <c r="D231" t="s" s="209">
        <v>713</v>
      </c>
      <c r="E231" t="s" s="217">
        <v>1092</v>
      </c>
      <c r="F231" t="s" s="210">
        <v>714</v>
      </c>
      <c r="G231" s="211"/>
      <c r="H231" s="42">
        <f>SUM(J231,N231)</f>
        <v>0</v>
      </c>
      <c r="I231" s="207">
        <f>SUM(Q231,S231,U231,W231,Y231,AA231,AC231,AE231,AG231,AI231,AK231,AM231,AO231,AQ231,AS231)</f>
        <v>0</v>
      </c>
      <c r="J231" s="43">
        <f>SUM(P231,R231,T231,V231,X231,Z231,AB231,AD231,AF231,AH231,AJ231,AL231,AN231,AP231,AR231)</f>
        <v>0</v>
      </c>
      <c r="K231" s="44"/>
      <c r="L231" s="6"/>
      <c r="M231" s="6"/>
      <c r="N231" s="14"/>
      <c r="O231" s="122"/>
      <c r="P231" s="27">
        <v>0</v>
      </c>
      <c r="Q231" s="27">
        <v>0</v>
      </c>
      <c r="R231" s="51">
        <v>0</v>
      </c>
      <c r="S231" s="51">
        <v>0</v>
      </c>
      <c r="T231" s="51">
        <v>0</v>
      </c>
      <c r="U231" s="51">
        <v>0</v>
      </c>
      <c r="V231" s="51">
        <v>0</v>
      </c>
      <c r="W231" s="51">
        <v>0</v>
      </c>
      <c r="X231" s="51">
        <v>0</v>
      </c>
      <c r="Y231" s="51">
        <v>0</v>
      </c>
      <c r="Z231" s="48">
        <v>0</v>
      </c>
      <c r="AA231" s="48">
        <v>0</v>
      </c>
      <c r="AB231" s="48">
        <v>0</v>
      </c>
      <c r="AC231" s="48">
        <v>0</v>
      </c>
      <c r="AD231" s="55">
        <v>0</v>
      </c>
      <c r="AE231" s="213">
        <v>0</v>
      </c>
      <c r="AF231" s="212">
        <v>0</v>
      </c>
      <c r="AG231" s="121">
        <v>0</v>
      </c>
      <c r="AH231" s="51">
        <v>0</v>
      </c>
      <c r="AI231" s="51">
        <v>0</v>
      </c>
      <c r="AJ231" s="51">
        <v>0</v>
      </c>
      <c r="AK231" s="51">
        <v>0</v>
      </c>
      <c r="AL231" s="14"/>
      <c r="AM231" s="122"/>
      <c r="AN231" s="51">
        <v>0</v>
      </c>
      <c r="AO231" s="51">
        <v>0</v>
      </c>
      <c r="AP231" s="51">
        <v>0</v>
      </c>
      <c r="AQ231" s="47"/>
      <c r="AR231" s="51">
        <v>0</v>
      </c>
      <c r="AS231" s="51">
        <v>0</v>
      </c>
    </row>
    <row r="232" ht="97.5" customHeight="1" hidden="1">
      <c r="A232" t="s" s="220">
        <v>1093</v>
      </c>
      <c r="B232" t="s" s="52">
        <v>246</v>
      </c>
      <c r="C232" t="s" s="130">
        <v>1083</v>
      </c>
      <c r="D232" t="s" s="209">
        <v>713</v>
      </c>
      <c r="E232" t="s" s="217">
        <v>1094</v>
      </c>
      <c r="F232" t="s" s="210">
        <v>714</v>
      </c>
      <c r="G232" s="211"/>
      <c r="H232" s="42">
        <f>SUM(J232,N232)</f>
        <v>0</v>
      </c>
      <c r="I232" s="207">
        <f>SUM(Q232,S232,U232,W232,Y232,AA232,AC232,AE232,AG232,AI232,AK232,AM232,AO232,AQ232,AS232)</f>
        <v>0</v>
      </c>
      <c r="J232" s="43">
        <f>SUM(P232,R232,T232,V232,X232,Z232,AB232,AD232,AF232,AH232,AJ232,AL232,AN232,AP232,AR232)</f>
        <v>0</v>
      </c>
      <c r="K232" s="44"/>
      <c r="L232" s="6"/>
      <c r="M232" s="6"/>
      <c r="N232" s="14"/>
      <c r="O232" s="122"/>
      <c r="P232" s="27">
        <v>0</v>
      </c>
      <c r="Q232" s="27">
        <v>0</v>
      </c>
      <c r="R232" s="51">
        <v>0</v>
      </c>
      <c r="S232" s="51">
        <v>0</v>
      </c>
      <c r="T232" s="51">
        <v>0</v>
      </c>
      <c r="U232" s="51">
        <v>0</v>
      </c>
      <c r="V232" s="51">
        <v>0</v>
      </c>
      <c r="W232" s="51">
        <v>0</v>
      </c>
      <c r="X232" s="51">
        <v>0</v>
      </c>
      <c r="Y232" s="51">
        <v>0</v>
      </c>
      <c r="Z232" s="48">
        <v>0</v>
      </c>
      <c r="AA232" s="48">
        <v>0</v>
      </c>
      <c r="AB232" s="48">
        <v>0</v>
      </c>
      <c r="AC232" s="48">
        <v>0</v>
      </c>
      <c r="AD232" s="55">
        <v>0</v>
      </c>
      <c r="AE232" s="213">
        <v>0</v>
      </c>
      <c r="AF232" s="212">
        <v>0</v>
      </c>
      <c r="AG232" s="121">
        <v>0</v>
      </c>
      <c r="AH232" s="51">
        <v>0</v>
      </c>
      <c r="AI232" s="51">
        <v>0</v>
      </c>
      <c r="AJ232" s="51">
        <v>0</v>
      </c>
      <c r="AK232" s="51">
        <v>0</v>
      </c>
      <c r="AL232" s="14"/>
      <c r="AM232" s="122"/>
      <c r="AN232" s="51">
        <v>0</v>
      </c>
      <c r="AO232" s="51">
        <v>0</v>
      </c>
      <c r="AP232" s="51">
        <v>0</v>
      </c>
      <c r="AQ232" s="47"/>
      <c r="AR232" s="51">
        <v>0</v>
      </c>
      <c r="AS232" s="51">
        <v>0</v>
      </c>
    </row>
    <row r="233" ht="409.5" customHeight="1" hidden="1">
      <c r="A233" t="s" s="130">
        <v>1095</v>
      </c>
      <c r="B233" t="s" s="52">
        <v>247</v>
      </c>
      <c r="C233" t="s" s="130">
        <v>1083</v>
      </c>
      <c r="D233" t="s" s="209">
        <v>713</v>
      </c>
      <c r="E233" t="s" s="132">
        <v>1096</v>
      </c>
      <c r="F233" t="s" s="210">
        <v>714</v>
      </c>
      <c r="G233" s="211"/>
      <c r="H233" s="42">
        <f>SUM(J233,N233)</f>
        <v>40</v>
      </c>
      <c r="I233" s="207">
        <f>SUM(Q233,S233,U233,W233,Y233,AA233,AC233,AE233,AG233,AI233,AK233,AM233,AO233,AQ233,AS233)</f>
        <v>0</v>
      </c>
      <c r="J233" s="43">
        <f>SUM(P233,R233,T233,V233,X233,Z233,AB233,AD233,AF233,AH233,AJ233,AL233,AN233,AP233,AR233)</f>
        <v>40</v>
      </c>
      <c r="K233" s="44"/>
      <c r="L233" s="6"/>
      <c r="M233" s="6"/>
      <c r="N233" s="14"/>
      <c r="O233" s="122"/>
      <c r="P233" s="27">
        <v>0</v>
      </c>
      <c r="Q233" s="27">
        <v>0</v>
      </c>
      <c r="R233" s="51">
        <v>0</v>
      </c>
      <c r="S233" s="51">
        <v>0</v>
      </c>
      <c r="T233" s="51">
        <v>40</v>
      </c>
      <c r="U233" s="51">
        <v>0</v>
      </c>
      <c r="V233" s="51">
        <v>0</v>
      </c>
      <c r="W233" s="51">
        <v>0</v>
      </c>
      <c r="X233" s="51">
        <v>0</v>
      </c>
      <c r="Y233" s="51">
        <v>0</v>
      </c>
      <c r="Z233" s="48">
        <v>0</v>
      </c>
      <c r="AA233" s="48">
        <v>0</v>
      </c>
      <c r="AB233" s="48">
        <v>0</v>
      </c>
      <c r="AC233" s="48">
        <v>0</v>
      </c>
      <c r="AD233" s="55">
        <v>0</v>
      </c>
      <c r="AE233" s="213">
        <v>0</v>
      </c>
      <c r="AF233" s="212">
        <v>0</v>
      </c>
      <c r="AG233" s="121">
        <v>0</v>
      </c>
      <c r="AH233" s="51">
        <v>0</v>
      </c>
      <c r="AI233" s="51">
        <v>0</v>
      </c>
      <c r="AJ233" s="51">
        <v>0</v>
      </c>
      <c r="AK233" s="51">
        <v>0</v>
      </c>
      <c r="AL233" s="14"/>
      <c r="AM233" s="122"/>
      <c r="AN233" s="51">
        <v>0</v>
      </c>
      <c r="AO233" s="51">
        <v>0</v>
      </c>
      <c r="AP233" s="51">
        <v>0</v>
      </c>
      <c r="AQ233" s="47"/>
      <c r="AR233" s="51">
        <v>0</v>
      </c>
      <c r="AS233" s="51">
        <v>0</v>
      </c>
    </row>
    <row r="234" ht="117" customHeight="1" hidden="1">
      <c r="A234" t="s" s="130">
        <v>1097</v>
      </c>
      <c r="B234" t="s" s="52">
        <v>248</v>
      </c>
      <c r="C234" t="s" s="130">
        <v>1083</v>
      </c>
      <c r="D234" t="s" s="209">
        <v>713</v>
      </c>
      <c r="E234" t="s" s="217">
        <v>1098</v>
      </c>
      <c r="F234" t="s" s="210">
        <v>714</v>
      </c>
      <c r="G234" s="211"/>
      <c r="H234" s="42">
        <f>SUM(J234,N234)</f>
        <v>0</v>
      </c>
      <c r="I234" s="207">
        <f>SUM(Q234,S234,U234,W234,Y234,AA234,AC234,AE234,AG234,AI234,AK234,AM234,AO234,AQ234,AS234)</f>
        <v>0</v>
      </c>
      <c r="J234" s="43">
        <f>SUM(P234,R234,T234,V234,X234,Z234,AB234,AD234,AF234,AH234,AJ234,AL234,AN234,AP234,AR234)</f>
        <v>0</v>
      </c>
      <c r="K234" s="44"/>
      <c r="L234" s="6"/>
      <c r="M234" s="6"/>
      <c r="N234" s="14"/>
      <c r="O234" s="122"/>
      <c r="P234" s="27">
        <v>0</v>
      </c>
      <c r="Q234" s="27">
        <v>0</v>
      </c>
      <c r="R234" s="51">
        <v>0</v>
      </c>
      <c r="S234" s="51">
        <v>0</v>
      </c>
      <c r="T234" s="51">
        <v>0</v>
      </c>
      <c r="U234" s="51">
        <v>0</v>
      </c>
      <c r="V234" s="51">
        <v>0</v>
      </c>
      <c r="W234" s="51">
        <v>0</v>
      </c>
      <c r="X234" s="51">
        <v>0</v>
      </c>
      <c r="Y234" s="51">
        <v>0</v>
      </c>
      <c r="Z234" s="48">
        <v>0</v>
      </c>
      <c r="AA234" s="48">
        <v>0</v>
      </c>
      <c r="AB234" s="48">
        <v>0</v>
      </c>
      <c r="AC234" s="48">
        <v>0</v>
      </c>
      <c r="AD234" s="55">
        <v>0</v>
      </c>
      <c r="AE234" s="213">
        <v>0</v>
      </c>
      <c r="AF234" s="212">
        <v>0</v>
      </c>
      <c r="AG234" s="121">
        <v>0</v>
      </c>
      <c r="AH234" s="51">
        <v>0</v>
      </c>
      <c r="AI234" s="51">
        <v>0</v>
      </c>
      <c r="AJ234" s="51">
        <v>0</v>
      </c>
      <c r="AK234" s="51">
        <v>0</v>
      </c>
      <c r="AL234" s="14"/>
      <c r="AM234" s="122"/>
      <c r="AN234" s="51">
        <v>0</v>
      </c>
      <c r="AO234" s="51">
        <v>0</v>
      </c>
      <c r="AP234" s="51">
        <v>0</v>
      </c>
      <c r="AQ234" s="47"/>
      <c r="AR234" s="51">
        <v>0</v>
      </c>
      <c r="AS234" s="51">
        <v>0</v>
      </c>
    </row>
    <row r="235" ht="253.5" customHeight="1" hidden="1">
      <c r="A235" t="s" s="130">
        <v>1099</v>
      </c>
      <c r="B235" t="s" s="52">
        <v>249</v>
      </c>
      <c r="C235" t="s" s="130">
        <v>1083</v>
      </c>
      <c r="D235" t="s" s="209">
        <v>713</v>
      </c>
      <c r="E235" t="s" s="217">
        <v>1100</v>
      </c>
      <c r="F235" s="247"/>
      <c r="G235" s="211"/>
      <c r="H235" s="42">
        <f>SUM(J235,N235)</f>
        <v>0</v>
      </c>
      <c r="I235" s="207">
        <f>SUM(Q235,S235,U235,W235,Y235,AA235,AC235,AE235,AG235,AI235,AK235,AM235,AO235,AQ235,AS235)</f>
        <v>0</v>
      </c>
      <c r="J235" s="43">
        <f>SUM(P235,R235,T235,V235,X235,Z235,AB235,AD235,AF235,AH235,AJ235,AL235,AN235,AP235,AR235)</f>
        <v>0</v>
      </c>
      <c r="K235" s="44"/>
      <c r="L235" s="6"/>
      <c r="M235" s="6"/>
      <c r="N235" s="14"/>
      <c r="O235" s="122"/>
      <c r="P235" s="27">
        <v>0</v>
      </c>
      <c r="Q235" s="27">
        <v>0</v>
      </c>
      <c r="R235" s="51">
        <v>0</v>
      </c>
      <c r="S235" s="51">
        <v>0</v>
      </c>
      <c r="T235" s="51">
        <v>0</v>
      </c>
      <c r="U235" s="51">
        <v>0</v>
      </c>
      <c r="V235" s="51">
        <v>0</v>
      </c>
      <c r="W235" s="51">
        <v>0</v>
      </c>
      <c r="X235" s="51">
        <v>0</v>
      </c>
      <c r="Y235" s="51">
        <v>0</v>
      </c>
      <c r="Z235" s="48">
        <v>0</v>
      </c>
      <c r="AA235" s="48">
        <v>0</v>
      </c>
      <c r="AB235" s="48">
        <v>0</v>
      </c>
      <c r="AC235" s="48">
        <v>0</v>
      </c>
      <c r="AD235" s="55">
        <v>0</v>
      </c>
      <c r="AE235" s="213">
        <v>0</v>
      </c>
      <c r="AF235" s="212">
        <v>0</v>
      </c>
      <c r="AG235" s="121">
        <v>0</v>
      </c>
      <c r="AH235" s="51">
        <v>0</v>
      </c>
      <c r="AI235" s="51">
        <v>0</v>
      </c>
      <c r="AJ235" s="51">
        <v>0</v>
      </c>
      <c r="AK235" s="51">
        <v>0</v>
      </c>
      <c r="AL235" s="14"/>
      <c r="AM235" s="122"/>
      <c r="AN235" s="51">
        <v>0</v>
      </c>
      <c r="AO235" s="51">
        <v>0</v>
      </c>
      <c r="AP235" s="51">
        <v>0</v>
      </c>
      <c r="AQ235" s="47"/>
      <c r="AR235" s="51">
        <v>0</v>
      </c>
      <c r="AS235" s="51">
        <v>0</v>
      </c>
    </row>
    <row r="236" ht="312" customHeight="1" hidden="1">
      <c r="A236" t="s" s="130">
        <v>1101</v>
      </c>
      <c r="B236" t="s" s="52">
        <v>250</v>
      </c>
      <c r="C236" t="s" s="130">
        <v>1083</v>
      </c>
      <c r="D236" t="s" s="209">
        <v>713</v>
      </c>
      <c r="E236" t="s" s="217">
        <v>1102</v>
      </c>
      <c r="F236" s="247"/>
      <c r="G236" s="211"/>
      <c r="H236" s="42">
        <f>SUM(J236,N236)</f>
        <v>0</v>
      </c>
      <c r="I236" s="207">
        <f>SUM(Q236,S236,U236,W236,Y236,AA236,AC236,AE236,AG236,AI236,AK236,AM236,AO236,AQ236,AS236)</f>
        <v>0</v>
      </c>
      <c r="J236" s="43">
        <f>SUM(P236,R236,T236,V236,X236,Z236,AB236,AD236,AF236,AH236,AJ236,AL236,AN236,AP236,AR236)</f>
        <v>0</v>
      </c>
      <c r="K236" s="44"/>
      <c r="L236" s="6"/>
      <c r="M236" s="6"/>
      <c r="N236" s="14"/>
      <c r="O236" s="122"/>
      <c r="P236" s="27">
        <v>0</v>
      </c>
      <c r="Q236" s="27">
        <v>0</v>
      </c>
      <c r="R236" s="51">
        <v>0</v>
      </c>
      <c r="S236" s="51">
        <v>0</v>
      </c>
      <c r="T236" s="51">
        <v>0</v>
      </c>
      <c r="U236" s="51">
        <v>0</v>
      </c>
      <c r="V236" s="51">
        <v>0</v>
      </c>
      <c r="W236" s="51">
        <v>0</v>
      </c>
      <c r="X236" s="51">
        <v>0</v>
      </c>
      <c r="Y236" s="51">
        <v>0</v>
      </c>
      <c r="Z236" s="48">
        <v>0</v>
      </c>
      <c r="AA236" s="48">
        <v>0</v>
      </c>
      <c r="AB236" s="48">
        <v>0</v>
      </c>
      <c r="AC236" s="48">
        <v>0</v>
      </c>
      <c r="AD236" s="55">
        <v>0</v>
      </c>
      <c r="AE236" s="213">
        <v>0</v>
      </c>
      <c r="AF236" s="212">
        <v>0</v>
      </c>
      <c r="AG236" s="121">
        <v>0</v>
      </c>
      <c r="AH236" s="51">
        <v>0</v>
      </c>
      <c r="AI236" s="51">
        <v>0</v>
      </c>
      <c r="AJ236" s="51">
        <v>0</v>
      </c>
      <c r="AK236" s="51">
        <v>0</v>
      </c>
      <c r="AL236" s="14"/>
      <c r="AM236" s="122"/>
      <c r="AN236" s="51">
        <v>0</v>
      </c>
      <c r="AO236" s="51">
        <v>0</v>
      </c>
      <c r="AP236" s="51">
        <v>0</v>
      </c>
      <c r="AQ236" s="47"/>
      <c r="AR236" s="51">
        <v>0</v>
      </c>
      <c r="AS236" s="51">
        <v>0</v>
      </c>
    </row>
    <row r="237" ht="47.25" customHeight="1" hidden="1">
      <c r="A237" t="s" s="130">
        <v>1103</v>
      </c>
      <c r="B237" t="s" s="52">
        <v>251</v>
      </c>
      <c r="C237" t="s" s="130">
        <v>1083</v>
      </c>
      <c r="D237" t="s" s="209">
        <v>713</v>
      </c>
      <c r="E237" t="s" s="217">
        <v>1104</v>
      </c>
      <c r="F237" s="247"/>
      <c r="G237" s="211"/>
      <c r="H237" s="42">
        <f>SUM(J237,N237)</f>
        <v>0</v>
      </c>
      <c r="I237" s="207">
        <f>SUM(Q237,S237,U237,W237,Y237,AA237,AC237,AE237,AG237,AI237,AK237,AM237,AO237,AQ237,AS237)</f>
        <v>0</v>
      </c>
      <c r="J237" s="43">
        <f>SUM(P237,R237,T237,V237,X237,Z237,AB237,AD237,AF237,AH237,AJ237,AL237,AN237,AP237,AR237)</f>
        <v>0</v>
      </c>
      <c r="K237" s="44"/>
      <c r="L237" s="6"/>
      <c r="M237" s="6"/>
      <c r="N237" s="14"/>
      <c r="O237" s="122"/>
      <c r="P237" s="27">
        <v>0</v>
      </c>
      <c r="Q237" s="27">
        <v>0</v>
      </c>
      <c r="R237" s="51">
        <v>0</v>
      </c>
      <c r="S237" s="51">
        <v>0</v>
      </c>
      <c r="T237" s="51">
        <v>0</v>
      </c>
      <c r="U237" s="51">
        <v>0</v>
      </c>
      <c r="V237" s="51">
        <v>0</v>
      </c>
      <c r="W237" s="51">
        <v>0</v>
      </c>
      <c r="X237" s="51">
        <v>0</v>
      </c>
      <c r="Y237" s="51">
        <v>0</v>
      </c>
      <c r="Z237" s="48">
        <v>0</v>
      </c>
      <c r="AA237" s="48">
        <v>0</v>
      </c>
      <c r="AB237" s="48">
        <v>0</v>
      </c>
      <c r="AC237" s="48">
        <v>0</v>
      </c>
      <c r="AD237" s="55">
        <v>0</v>
      </c>
      <c r="AE237" s="213">
        <v>0</v>
      </c>
      <c r="AF237" s="212">
        <v>0</v>
      </c>
      <c r="AG237" s="121">
        <v>0</v>
      </c>
      <c r="AH237" s="51">
        <v>0</v>
      </c>
      <c r="AI237" s="51">
        <v>0</v>
      </c>
      <c r="AJ237" s="51">
        <v>0</v>
      </c>
      <c r="AK237" s="51">
        <v>0</v>
      </c>
      <c r="AL237" s="14"/>
      <c r="AM237" s="122"/>
      <c r="AN237" s="51">
        <v>0</v>
      </c>
      <c r="AO237" s="51">
        <v>0</v>
      </c>
      <c r="AP237" s="51">
        <v>0</v>
      </c>
      <c r="AQ237" s="47"/>
      <c r="AR237" s="51">
        <v>0</v>
      </c>
      <c r="AS237" s="51">
        <v>0</v>
      </c>
    </row>
    <row r="238" ht="47.25" customHeight="1" hidden="1">
      <c r="A238" t="s" s="130">
        <v>1105</v>
      </c>
      <c r="B238" t="s" s="52">
        <v>252</v>
      </c>
      <c r="C238" t="s" s="130">
        <v>1083</v>
      </c>
      <c r="D238" t="s" s="209">
        <v>713</v>
      </c>
      <c r="E238" t="s" s="217">
        <v>1104</v>
      </c>
      <c r="F238" s="247"/>
      <c r="G238" s="211"/>
      <c r="H238" s="42">
        <f>SUM(J238,N238)</f>
        <v>0</v>
      </c>
      <c r="I238" s="207">
        <f>SUM(Q238,S238,U238,W238,Y238,AA238,AC238,AE238,AG238,AI238,AK238,AM238,AO238,AQ238,AS238)</f>
        <v>0</v>
      </c>
      <c r="J238" s="43">
        <f>SUM(P238,R238,T238,V238,X238,Z238,AB238,AD238,AF238,AH238,AJ238,AL238,AN238,AP238,AR238)</f>
        <v>0</v>
      </c>
      <c r="K238" s="44"/>
      <c r="L238" s="6"/>
      <c r="M238" s="6"/>
      <c r="N238" s="14"/>
      <c r="O238" s="122"/>
      <c r="P238" s="27">
        <v>0</v>
      </c>
      <c r="Q238" s="27">
        <v>0</v>
      </c>
      <c r="R238" s="51">
        <v>0</v>
      </c>
      <c r="S238" s="51">
        <v>0</v>
      </c>
      <c r="T238" s="51">
        <v>0</v>
      </c>
      <c r="U238" s="51">
        <v>0</v>
      </c>
      <c r="V238" s="51">
        <v>0</v>
      </c>
      <c r="W238" s="51">
        <v>0</v>
      </c>
      <c r="X238" s="51">
        <v>0</v>
      </c>
      <c r="Y238" s="51">
        <v>0</v>
      </c>
      <c r="Z238" s="48">
        <v>0</v>
      </c>
      <c r="AA238" s="48">
        <v>0</v>
      </c>
      <c r="AB238" s="48">
        <v>0</v>
      </c>
      <c r="AC238" s="48">
        <v>0</v>
      </c>
      <c r="AD238" s="55">
        <v>0</v>
      </c>
      <c r="AE238" s="213">
        <v>0</v>
      </c>
      <c r="AF238" s="212">
        <v>0</v>
      </c>
      <c r="AG238" s="121">
        <v>0</v>
      </c>
      <c r="AH238" s="51">
        <v>0</v>
      </c>
      <c r="AI238" s="51">
        <v>0</v>
      </c>
      <c r="AJ238" s="51">
        <v>0</v>
      </c>
      <c r="AK238" s="51">
        <v>0</v>
      </c>
      <c r="AL238" s="14"/>
      <c r="AM238" s="122"/>
      <c r="AN238" s="51">
        <v>0</v>
      </c>
      <c r="AO238" s="51">
        <v>0</v>
      </c>
      <c r="AP238" s="51">
        <v>0</v>
      </c>
      <c r="AQ238" s="47"/>
      <c r="AR238" s="51">
        <v>0</v>
      </c>
      <c r="AS238" s="51">
        <v>0</v>
      </c>
    </row>
    <row r="239" ht="19.5" customHeight="1" hidden="1">
      <c r="A239" t="s" s="88">
        <v>1106</v>
      </c>
      <c r="B239" t="s" s="67">
        <v>253</v>
      </c>
      <c r="C239" s="228"/>
      <c r="D239" s="228"/>
      <c r="E239" s="189"/>
      <c r="F239" s="182">
        <v>0</v>
      </c>
      <c r="G239" s="183"/>
      <c r="H239" s="42">
        <f>SUM(J239,N239)</f>
        <v>0</v>
      </c>
      <c r="I239" s="207">
        <f>SUM(Q239,S239,U239,W239,Y239,AA239,AC239,AE239,AG239,AI239,AK239,AM239,AO239,AQ239,AS239)</f>
        <v>0</v>
      </c>
      <c r="J239" s="43">
        <f>SUM(P239,R239,T239,V239,X239,Z239,AB239,AD239,AF239,AH239,AJ239,AL239,AN239,AP239,AR239)</f>
        <v>0</v>
      </c>
      <c r="K239" s="44"/>
      <c r="L239" s="6"/>
      <c r="M239" s="6"/>
      <c r="N239" s="14"/>
      <c r="O239" s="122"/>
      <c r="P239" s="46"/>
      <c r="Q239" s="46"/>
      <c r="R239" s="47"/>
      <c r="S239" s="47"/>
      <c r="T239" s="47"/>
      <c r="U239" s="47"/>
      <c r="V239" s="47"/>
      <c r="W239" s="47"/>
      <c r="X239" s="47"/>
      <c r="Y239" s="47"/>
      <c r="Z239" s="48">
        <v>0</v>
      </c>
      <c r="AA239" s="48">
        <v>0</v>
      </c>
      <c r="AB239" s="49"/>
      <c r="AC239" s="49"/>
      <c r="AD239" s="50"/>
      <c r="AE239" s="50"/>
      <c r="AF239" s="14"/>
      <c r="AG239" s="122"/>
      <c r="AH239" s="51">
        <v>0</v>
      </c>
      <c r="AI239" s="51">
        <v>0</v>
      </c>
      <c r="AJ239" s="47"/>
      <c r="AK239" s="47"/>
      <c r="AL239" s="14"/>
      <c r="AM239" s="122"/>
      <c r="AN239" s="47"/>
      <c r="AO239" s="47"/>
      <c r="AP239" s="47"/>
      <c r="AQ239" s="47"/>
      <c r="AR239" s="51">
        <v>0</v>
      </c>
      <c r="AS239" s="51">
        <v>0</v>
      </c>
    </row>
    <row r="240" ht="39" customHeight="1" hidden="1">
      <c r="A240" t="s" s="59">
        <v>1107</v>
      </c>
      <c r="B240" t="s" s="21">
        <v>254</v>
      </c>
      <c r="C240" t="s" s="59">
        <v>1038</v>
      </c>
      <c r="D240" t="s" s="190">
        <v>713</v>
      </c>
      <c r="E240" t="s" s="223">
        <v>1108</v>
      </c>
      <c r="F240" t="s" s="192">
        <v>720</v>
      </c>
      <c r="G240" s="193"/>
      <c r="H240" s="194">
        <f>SUM(J240,N240)</f>
        <v>147690</v>
      </c>
      <c r="I240" s="195">
        <f>SUM(Q240,S240,U240,W240,Y240,AA240,AC240,AE240,AG240,AI240,AK240,AM240,AO240,AQ240,AS240)</f>
        <v>4100</v>
      </c>
      <c r="J240" s="23">
        <f>SUM(P240,R240,T240,V240,X240,Z240,AB240,AD240,AF240,AH240,AJ240,AL240,AN240,AP240,AR240)</f>
        <v>147690</v>
      </c>
      <c r="K240" s="36"/>
      <c r="L240" s="196"/>
      <c r="M240" s="196"/>
      <c r="N240" s="196"/>
      <c r="O240" s="197"/>
      <c r="P240" s="27">
        <v>9000</v>
      </c>
      <c r="Q240" s="27">
        <v>0</v>
      </c>
      <c r="R240" s="28">
        <v>10000</v>
      </c>
      <c r="S240" s="28">
        <v>0</v>
      </c>
      <c r="T240" s="28">
        <v>30000</v>
      </c>
      <c r="U240" s="28">
        <v>900</v>
      </c>
      <c r="V240" s="28">
        <v>3000</v>
      </c>
      <c r="W240" s="28">
        <v>0</v>
      </c>
      <c r="X240" s="28">
        <v>10000</v>
      </c>
      <c r="Y240" s="28">
        <v>0</v>
      </c>
      <c r="Z240" s="30">
        <v>20000</v>
      </c>
      <c r="AA240" s="30">
        <v>0</v>
      </c>
      <c r="AB240" s="30">
        <v>30000</v>
      </c>
      <c r="AC240" s="30">
        <v>2300</v>
      </c>
      <c r="AD240" s="30">
        <v>28150</v>
      </c>
      <c r="AE240" s="30">
        <v>900</v>
      </c>
      <c r="AF240" s="198">
        <v>6500</v>
      </c>
      <c r="AG240" s="206">
        <v>0</v>
      </c>
      <c r="AH240" s="28">
        <v>1040</v>
      </c>
      <c r="AI240" s="28">
        <v>0</v>
      </c>
      <c r="AJ240" s="28">
        <v>0</v>
      </c>
      <c r="AK240" s="28">
        <v>0</v>
      </c>
      <c r="AL240" s="202"/>
      <c r="AM240" s="197"/>
      <c r="AN240" s="28">
        <v>0</v>
      </c>
      <c r="AO240" s="28">
        <v>0</v>
      </c>
      <c r="AP240" s="28">
        <v>0</v>
      </c>
      <c r="AQ240" s="87"/>
      <c r="AR240" s="28">
        <v>0</v>
      </c>
      <c r="AS240" s="28">
        <v>0</v>
      </c>
    </row>
    <row r="241" ht="19.5" customHeight="1" hidden="1">
      <c r="A241" t="s" s="88">
        <v>1109</v>
      </c>
      <c r="B241" t="s" s="67">
        <v>255</v>
      </c>
      <c r="C241" s="228"/>
      <c r="D241" s="228"/>
      <c r="E241" s="189"/>
      <c r="F241" s="182">
        <v>0</v>
      </c>
      <c r="G241" s="183"/>
      <c r="H241" s="42">
        <f>SUM(J241,N241)</f>
        <v>0</v>
      </c>
      <c r="I241" s="207">
        <f>SUM(Q241,S241,U241,W241,Y241,AA241,AC241,AE241,AG241,AI241,AK241,AM241,AO241,AQ241,AS241)</f>
        <v>0</v>
      </c>
      <c r="J241" s="43">
        <f>SUM(P241,R241,T241,V241,X241,Z241,AB241,AD241,AF241,AH241,AJ241,AL241,AN241,AP241,AR241)</f>
        <v>0</v>
      </c>
      <c r="K241" s="44"/>
      <c r="L241" s="6"/>
      <c r="M241" s="6"/>
      <c r="N241" s="14"/>
      <c r="O241" s="122"/>
      <c r="P241" s="46"/>
      <c r="Q241" s="46"/>
      <c r="R241" s="47"/>
      <c r="S241" s="47"/>
      <c r="T241" s="47"/>
      <c r="U241" s="47"/>
      <c r="V241" s="47"/>
      <c r="W241" s="47"/>
      <c r="X241" s="47"/>
      <c r="Y241" s="47"/>
      <c r="Z241" s="48">
        <v>0</v>
      </c>
      <c r="AA241" s="48">
        <v>0</v>
      </c>
      <c r="AB241" s="49"/>
      <c r="AC241" s="49"/>
      <c r="AD241" s="50"/>
      <c r="AE241" s="50"/>
      <c r="AF241" s="14"/>
      <c r="AG241" s="122"/>
      <c r="AH241" s="51">
        <v>0</v>
      </c>
      <c r="AI241" s="51">
        <v>0</v>
      </c>
      <c r="AJ241" s="47"/>
      <c r="AK241" s="47"/>
      <c r="AL241" s="14"/>
      <c r="AM241" s="122"/>
      <c r="AN241" s="47"/>
      <c r="AO241" s="47"/>
      <c r="AP241" s="47"/>
      <c r="AQ241" s="47"/>
      <c r="AR241" s="51">
        <v>0</v>
      </c>
      <c r="AS241" s="51">
        <v>0</v>
      </c>
    </row>
    <row r="242" ht="31.5" customHeight="1" hidden="1">
      <c r="A242" t="s" s="59">
        <v>1110</v>
      </c>
      <c r="B242" t="s" s="21">
        <v>256</v>
      </c>
      <c r="C242" t="s" s="59">
        <v>800</v>
      </c>
      <c r="D242" t="s" s="190">
        <v>801</v>
      </c>
      <c r="E242" s="191"/>
      <c r="F242" t="s" s="192">
        <v>714</v>
      </c>
      <c r="G242" s="193"/>
      <c r="H242" s="194">
        <f>SUM(J242,N242)</f>
        <v>7500</v>
      </c>
      <c r="I242" s="195">
        <f>SUM(Q242,S242,U242,W242,Y242,AA242,AC242,AE242,AG242,AI242,AK242,AM242,AO242,AQ242,AS242)</f>
        <v>880</v>
      </c>
      <c r="J242" s="23">
        <f>SUM(P242,R242,T242,V242,X242,Z242,AB242,AD242,AF242,AH242,AJ242,AL242,AN242,AP242,AR242)</f>
        <v>7500</v>
      </c>
      <c r="K242" s="36"/>
      <c r="L242" s="196"/>
      <c r="M242" s="196"/>
      <c r="N242" s="196"/>
      <c r="O242" s="197"/>
      <c r="P242" s="27">
        <v>5000</v>
      </c>
      <c r="Q242" s="27">
        <v>855</v>
      </c>
      <c r="R242" s="28">
        <v>300</v>
      </c>
      <c r="S242" s="28">
        <v>0</v>
      </c>
      <c r="T242" s="28">
        <v>1000</v>
      </c>
      <c r="U242" s="87"/>
      <c r="V242" s="28">
        <v>1200</v>
      </c>
      <c r="W242" s="28">
        <v>25</v>
      </c>
      <c r="X242" s="28">
        <v>0</v>
      </c>
      <c r="Y242" s="28">
        <v>0</v>
      </c>
      <c r="Z242" s="30">
        <v>0</v>
      </c>
      <c r="AA242" s="30">
        <v>0</v>
      </c>
      <c r="AB242" s="30">
        <v>0</v>
      </c>
      <c r="AC242" s="30">
        <v>0</v>
      </c>
      <c r="AD242" s="30">
        <v>0</v>
      </c>
      <c r="AE242" s="30">
        <v>0</v>
      </c>
      <c r="AF242" s="198">
        <v>0</v>
      </c>
      <c r="AG242" s="206">
        <v>0</v>
      </c>
      <c r="AH242" s="28">
        <v>0</v>
      </c>
      <c r="AI242" s="28">
        <v>0</v>
      </c>
      <c r="AJ242" s="28">
        <v>0</v>
      </c>
      <c r="AK242" s="28">
        <v>0</v>
      </c>
      <c r="AL242" s="202"/>
      <c r="AM242" s="197"/>
      <c r="AN242" s="28">
        <v>0</v>
      </c>
      <c r="AO242" s="28">
        <v>0</v>
      </c>
      <c r="AP242" s="28">
        <v>0</v>
      </c>
      <c r="AQ242" s="87"/>
      <c r="AR242" s="28">
        <v>0</v>
      </c>
      <c r="AS242" s="28">
        <v>0</v>
      </c>
    </row>
    <row r="243" ht="19.5" customHeight="1" hidden="1">
      <c r="A243" t="s" s="130">
        <v>1111</v>
      </c>
      <c r="B243" t="s" s="52">
        <v>257</v>
      </c>
      <c r="C243" t="s" s="130">
        <v>790</v>
      </c>
      <c r="D243" t="s" s="209">
        <v>801</v>
      </c>
      <c r="E243" s="189"/>
      <c r="F243" t="s" s="210">
        <v>714</v>
      </c>
      <c r="G243" s="211"/>
      <c r="H243" s="42">
        <f>SUM(J243,N243)</f>
        <v>620</v>
      </c>
      <c r="I243" s="207">
        <f>SUM(Q243,S243,U243,W243,Y243,AA243,AC243,AE243,AG243,AI243,AK243,AM243,AO243,AQ243,AS243)</f>
        <v>0</v>
      </c>
      <c r="J243" s="43">
        <f>SUM(P243,R243,T243,V243,X243,Z243,AB243,AD243,AF243,AH243,AJ243,AL243,AN243,AP243,AR243)</f>
        <v>620</v>
      </c>
      <c r="K243" s="44"/>
      <c r="L243" s="6"/>
      <c r="M243" s="6"/>
      <c r="N243" s="14"/>
      <c r="O243" s="122"/>
      <c r="P243" s="27">
        <v>0</v>
      </c>
      <c r="Q243" s="27">
        <v>0</v>
      </c>
      <c r="R243" s="51">
        <v>300</v>
      </c>
      <c r="S243" s="51">
        <v>0</v>
      </c>
      <c r="T243" s="51">
        <v>250</v>
      </c>
      <c r="U243" s="51">
        <v>0</v>
      </c>
      <c r="V243" s="51">
        <v>60</v>
      </c>
      <c r="W243" s="51">
        <v>0</v>
      </c>
      <c r="X243" s="51">
        <v>0</v>
      </c>
      <c r="Y243" s="51">
        <v>0</v>
      </c>
      <c r="Z243" s="48">
        <v>0</v>
      </c>
      <c r="AA243" s="48">
        <v>0</v>
      </c>
      <c r="AB243" s="48">
        <v>0</v>
      </c>
      <c r="AC243" s="48">
        <v>0</v>
      </c>
      <c r="AD243" s="55">
        <v>0</v>
      </c>
      <c r="AE243" s="213">
        <v>0</v>
      </c>
      <c r="AF243" s="212">
        <v>0</v>
      </c>
      <c r="AG243" s="121">
        <v>0</v>
      </c>
      <c r="AH243" s="51">
        <v>0</v>
      </c>
      <c r="AI243" s="51">
        <v>0</v>
      </c>
      <c r="AJ243" s="51">
        <v>0</v>
      </c>
      <c r="AK243" s="51">
        <v>0</v>
      </c>
      <c r="AL243" s="14"/>
      <c r="AM243" s="122"/>
      <c r="AN243" s="51">
        <v>10</v>
      </c>
      <c r="AO243" s="51">
        <v>0</v>
      </c>
      <c r="AP243" s="51">
        <v>0</v>
      </c>
      <c r="AQ243" s="47"/>
      <c r="AR243" s="51">
        <v>0</v>
      </c>
      <c r="AS243" s="51">
        <v>0</v>
      </c>
    </row>
    <row r="244" ht="31.5" customHeight="1" hidden="1">
      <c r="A244" t="s" s="130">
        <v>1112</v>
      </c>
      <c r="B244" t="s" s="52">
        <v>258</v>
      </c>
      <c r="C244" t="s" s="130">
        <v>800</v>
      </c>
      <c r="D244" t="s" s="209">
        <v>801</v>
      </c>
      <c r="E244" t="s" s="217">
        <v>1113</v>
      </c>
      <c r="F244" t="s" s="210">
        <v>714</v>
      </c>
      <c r="G244" s="211"/>
      <c r="H244" s="42">
        <f>SUM(J244,N244)</f>
        <v>0</v>
      </c>
      <c r="I244" s="207">
        <f>SUM(Q244,S244,U244,W244,Y244,AA244,AC244,AE244,AG244,AI244,AK244,AM244,AO244,AQ244,AS244)</f>
        <v>0</v>
      </c>
      <c r="J244" s="43">
        <f>SUM(P244,R244,T244,V244,X244,Z244,AB244,AD244,AF244,AH244,AJ244,AL244,AN244,AP244,AR244)</f>
        <v>0</v>
      </c>
      <c r="K244" s="44"/>
      <c r="L244" s="6"/>
      <c r="M244" s="6"/>
      <c r="N244" s="14"/>
      <c r="O244" s="122"/>
      <c r="P244" s="27">
        <v>0</v>
      </c>
      <c r="Q244" s="27">
        <v>0</v>
      </c>
      <c r="R244" s="51">
        <v>0</v>
      </c>
      <c r="S244" s="51">
        <v>0</v>
      </c>
      <c r="T244" s="51">
        <v>0</v>
      </c>
      <c r="U244" s="51">
        <v>0</v>
      </c>
      <c r="V244" s="51">
        <v>0</v>
      </c>
      <c r="W244" s="51">
        <v>0</v>
      </c>
      <c r="X244" s="51">
        <v>0</v>
      </c>
      <c r="Y244" s="51">
        <v>0</v>
      </c>
      <c r="Z244" s="48">
        <v>0</v>
      </c>
      <c r="AA244" s="48">
        <v>0</v>
      </c>
      <c r="AB244" s="48">
        <v>0</v>
      </c>
      <c r="AC244" s="48">
        <v>0</v>
      </c>
      <c r="AD244" s="55">
        <v>0</v>
      </c>
      <c r="AE244" s="213">
        <v>0</v>
      </c>
      <c r="AF244" s="212">
        <v>0</v>
      </c>
      <c r="AG244" s="121">
        <v>0</v>
      </c>
      <c r="AH244" s="51">
        <v>0</v>
      </c>
      <c r="AI244" s="51">
        <v>0</v>
      </c>
      <c r="AJ244" s="51">
        <v>0</v>
      </c>
      <c r="AK244" s="51">
        <v>0</v>
      </c>
      <c r="AL244" s="14"/>
      <c r="AM244" s="122"/>
      <c r="AN244" s="51">
        <v>0</v>
      </c>
      <c r="AO244" s="51">
        <v>0</v>
      </c>
      <c r="AP244" s="51">
        <v>0</v>
      </c>
      <c r="AQ244" s="47"/>
      <c r="AR244" s="51">
        <v>0</v>
      </c>
      <c r="AS244" s="51">
        <v>0</v>
      </c>
    </row>
    <row r="245" ht="31.5" customHeight="1" hidden="1">
      <c r="A245" t="s" s="214">
        <v>1114</v>
      </c>
      <c r="B245" t="s" s="21">
        <v>259</v>
      </c>
      <c r="C245" t="s" s="59">
        <v>1115</v>
      </c>
      <c r="D245" t="s" s="190">
        <v>801</v>
      </c>
      <c r="E245" s="191"/>
      <c r="F245" t="s" s="192">
        <v>714</v>
      </c>
      <c r="G245" s="193"/>
      <c r="H245" s="194">
        <f>SUM(J245,N245)</f>
        <v>1200</v>
      </c>
      <c r="I245" s="195">
        <f>SUM(Q245,S245,U245,W245,Y245,AA245,AC245,AE245,AG245,AI245,AK245,AM245,AO245,AQ245,AS245)</f>
        <v>100</v>
      </c>
      <c r="J245" s="23">
        <f>SUM(P245,R245,T245,V245,X245,Z245,AB245,AD245,AF245,AH245,AJ245,AL245,AN245,AP245,AR245)</f>
        <v>1200</v>
      </c>
      <c r="K245" s="36"/>
      <c r="L245" s="196"/>
      <c r="M245" s="196"/>
      <c r="N245" s="196"/>
      <c r="O245" s="197"/>
      <c r="P245" s="27">
        <v>1000</v>
      </c>
      <c r="Q245" s="27">
        <v>100</v>
      </c>
      <c r="R245" s="28">
        <v>0</v>
      </c>
      <c r="S245" s="28">
        <v>0</v>
      </c>
      <c r="T245" s="28">
        <v>0</v>
      </c>
      <c r="U245" s="28">
        <v>0</v>
      </c>
      <c r="V245" s="28">
        <v>200</v>
      </c>
      <c r="W245" s="28">
        <v>0</v>
      </c>
      <c r="X245" s="28">
        <v>0</v>
      </c>
      <c r="Y245" s="28">
        <v>0</v>
      </c>
      <c r="Z245" s="30">
        <v>0</v>
      </c>
      <c r="AA245" s="30">
        <v>0</v>
      </c>
      <c r="AB245" s="30">
        <v>0</v>
      </c>
      <c r="AC245" s="30">
        <v>0</v>
      </c>
      <c r="AD245" s="30">
        <v>0</v>
      </c>
      <c r="AE245" s="30">
        <v>0</v>
      </c>
      <c r="AF245" s="198">
        <v>0</v>
      </c>
      <c r="AG245" s="206">
        <v>0</v>
      </c>
      <c r="AH245" s="28">
        <v>0</v>
      </c>
      <c r="AI245" s="28">
        <v>0</v>
      </c>
      <c r="AJ245" s="28">
        <v>0</v>
      </c>
      <c r="AK245" s="28">
        <v>0</v>
      </c>
      <c r="AL245" s="202"/>
      <c r="AM245" s="197"/>
      <c r="AN245" s="28">
        <v>0</v>
      </c>
      <c r="AO245" s="28">
        <v>0</v>
      </c>
      <c r="AP245" s="28">
        <v>0</v>
      </c>
      <c r="AQ245" s="87"/>
      <c r="AR245" s="28">
        <v>0</v>
      </c>
      <c r="AS245" s="28">
        <v>0</v>
      </c>
    </row>
    <row r="246" ht="31.5" customHeight="1" hidden="1">
      <c r="A246" t="s" s="255">
        <v>1116</v>
      </c>
      <c r="B246" t="s" s="89">
        <v>260</v>
      </c>
      <c r="C246" t="s" s="255">
        <v>790</v>
      </c>
      <c r="D246" t="s" s="256">
        <v>801</v>
      </c>
      <c r="E246" t="s" s="257">
        <v>1117</v>
      </c>
      <c r="F246" t="s" s="258">
        <v>720</v>
      </c>
      <c r="G246" s="96"/>
      <c r="H246" s="42">
        <f>SUM(J246,N246)</f>
        <v>0</v>
      </c>
      <c r="I246" s="259">
        <f>SUM(Q246,S246,U246,W246,Y246,AA246,AC246,AE246,AG246,AI246,AK246,AM246,AO246,AQ246,AS246)</f>
        <v>0</v>
      </c>
      <c r="J246" s="91">
        <f>SUM(P246,R246,T246,V246,X246,Z246,AB246,AD246,AF246,AH246,AJ246,AL246,AN246,AP246,AR246)</f>
        <v>0</v>
      </c>
      <c r="K246" s="36"/>
      <c r="L246" s="196"/>
      <c r="M246" s="196"/>
      <c r="N246" s="196"/>
      <c r="O246" s="197"/>
      <c r="P246" s="27">
        <v>0</v>
      </c>
      <c r="Q246" s="27">
        <v>0</v>
      </c>
      <c r="R246" s="92">
        <v>0</v>
      </c>
      <c r="S246" s="92">
        <v>0</v>
      </c>
      <c r="T246" s="92">
        <v>0</v>
      </c>
      <c r="U246" s="92">
        <v>0</v>
      </c>
      <c r="V246" s="92">
        <v>0</v>
      </c>
      <c r="W246" s="92">
        <v>0</v>
      </c>
      <c r="X246" s="92">
        <v>0</v>
      </c>
      <c r="Y246" s="92">
        <v>0</v>
      </c>
      <c r="Z246" s="93">
        <v>0</v>
      </c>
      <c r="AA246" s="93">
        <v>0</v>
      </c>
      <c r="AB246" s="93">
        <v>0</v>
      </c>
      <c r="AC246" s="93">
        <v>0</v>
      </c>
      <c r="AD246" s="93">
        <v>0</v>
      </c>
      <c r="AE246" s="93">
        <v>0</v>
      </c>
      <c r="AF246" s="198">
        <v>0</v>
      </c>
      <c r="AG246" s="206">
        <v>0</v>
      </c>
      <c r="AH246" s="92">
        <v>0</v>
      </c>
      <c r="AI246" s="92">
        <v>0</v>
      </c>
      <c r="AJ246" s="92">
        <v>0</v>
      </c>
      <c r="AK246" s="92">
        <v>0</v>
      </c>
      <c r="AL246" s="202"/>
      <c r="AM246" s="197"/>
      <c r="AN246" s="92">
        <v>0</v>
      </c>
      <c r="AO246" s="92">
        <v>0</v>
      </c>
      <c r="AP246" s="92">
        <v>0</v>
      </c>
      <c r="AQ246" s="12"/>
      <c r="AR246" s="92">
        <v>0</v>
      </c>
      <c r="AS246" s="92">
        <v>0</v>
      </c>
    </row>
    <row r="247" ht="31.5" customHeight="1" hidden="1">
      <c r="A247" t="s" s="255">
        <v>1118</v>
      </c>
      <c r="B247" t="s" s="94">
        <v>261</v>
      </c>
      <c r="C247" t="s" s="260">
        <v>1038</v>
      </c>
      <c r="D247" t="s" s="261">
        <v>801</v>
      </c>
      <c r="E247" s="262">
        <v>1101</v>
      </c>
      <c r="F247" t="s" s="258">
        <v>714</v>
      </c>
      <c r="G247" s="96"/>
      <c r="H247" s="42">
        <f>SUM(J247,N247)</f>
        <v>150</v>
      </c>
      <c r="I247" s="259">
        <f>SUM(Q247,S247,U247,W247,Y247,AA247,AC247,AE247,AG247,AI247,AK247,AM247,AO247,AQ247,AS247)</f>
        <v>258</v>
      </c>
      <c r="J247" s="91">
        <f>SUM(P247,R247,T247,V247,X247,Z247,AB247,AD247,AF247,AH247,AJ247,AL247,AN247,AP247,AR247)</f>
        <v>150</v>
      </c>
      <c r="K247" s="36"/>
      <c r="L247" s="196"/>
      <c r="M247" s="196"/>
      <c r="N247" s="196"/>
      <c r="O247" s="197"/>
      <c r="P247" s="27">
        <v>150</v>
      </c>
      <c r="Q247" s="27">
        <v>258</v>
      </c>
      <c r="R247" s="92">
        <v>0</v>
      </c>
      <c r="S247" s="92">
        <v>0</v>
      </c>
      <c r="T247" s="92">
        <v>0</v>
      </c>
      <c r="U247" s="92">
        <v>0</v>
      </c>
      <c r="V247" s="92">
        <v>0</v>
      </c>
      <c r="W247" s="92">
        <v>0</v>
      </c>
      <c r="X247" s="92">
        <v>0</v>
      </c>
      <c r="Y247" s="92">
        <v>0</v>
      </c>
      <c r="Z247" s="93">
        <v>0</v>
      </c>
      <c r="AA247" s="93">
        <v>0</v>
      </c>
      <c r="AB247" s="93">
        <v>0</v>
      </c>
      <c r="AC247" s="93">
        <v>0</v>
      </c>
      <c r="AD247" s="93">
        <v>0</v>
      </c>
      <c r="AE247" s="93">
        <v>0</v>
      </c>
      <c r="AF247" s="198">
        <v>0</v>
      </c>
      <c r="AG247" s="206">
        <v>0</v>
      </c>
      <c r="AH247" s="92">
        <v>0</v>
      </c>
      <c r="AI247" s="92">
        <v>0</v>
      </c>
      <c r="AJ247" s="92">
        <v>0</v>
      </c>
      <c r="AK247" s="92">
        <v>0</v>
      </c>
      <c r="AL247" s="202"/>
      <c r="AM247" s="197"/>
      <c r="AN247" s="92">
        <v>0</v>
      </c>
      <c r="AO247" s="92">
        <v>0</v>
      </c>
      <c r="AP247" s="92">
        <v>0</v>
      </c>
      <c r="AQ247" s="12"/>
      <c r="AR247" s="92">
        <v>0</v>
      </c>
      <c r="AS247" s="92">
        <v>0</v>
      </c>
    </row>
    <row r="248" ht="156" customHeight="1" hidden="1">
      <c r="A248" t="s" s="255">
        <v>1119</v>
      </c>
      <c r="B248" t="s" s="95">
        <v>262</v>
      </c>
      <c r="C248" t="s" s="260">
        <v>1083</v>
      </c>
      <c r="D248" t="s" s="261">
        <v>801</v>
      </c>
      <c r="E248" t="s" s="263">
        <v>1120</v>
      </c>
      <c r="F248" t="s" s="258">
        <v>714</v>
      </c>
      <c r="G248" s="96"/>
      <c r="H248" s="42">
        <f>SUM(J248,N248)</f>
        <v>70000</v>
      </c>
      <c r="I248" s="259">
        <f>SUM(Q248,S248,U248,W248,Y248,AA248,AC248,AE248,AG248,AI248,AK248,AM248,AO248,AQ248,AS248)</f>
        <v>594</v>
      </c>
      <c r="J248" s="91">
        <f>SUM(P248,R248,T248,V248,X248,Z248,AB248,AD248,AF248,AH248,AJ248,AL248,AN248,AP248,AR248)</f>
        <v>70000</v>
      </c>
      <c r="K248" s="36"/>
      <c r="L248" s="196"/>
      <c r="M248" s="196"/>
      <c r="N248" s="196"/>
      <c r="O248" s="197"/>
      <c r="P248" s="27">
        <v>70000</v>
      </c>
      <c r="Q248" s="27">
        <v>594</v>
      </c>
      <c r="R248" s="92">
        <v>0</v>
      </c>
      <c r="S248" s="92">
        <v>0</v>
      </c>
      <c r="T248" s="92">
        <v>0</v>
      </c>
      <c r="U248" s="92">
        <v>0</v>
      </c>
      <c r="V248" s="92">
        <v>0</v>
      </c>
      <c r="W248" s="92">
        <v>0</v>
      </c>
      <c r="X248" s="92">
        <v>0</v>
      </c>
      <c r="Y248" s="92">
        <v>0</v>
      </c>
      <c r="Z248" s="93">
        <v>0</v>
      </c>
      <c r="AA248" s="93">
        <v>0</v>
      </c>
      <c r="AB248" s="93">
        <v>0</v>
      </c>
      <c r="AC248" s="93">
        <v>0</v>
      </c>
      <c r="AD248" s="93">
        <v>0</v>
      </c>
      <c r="AE248" s="93">
        <v>0</v>
      </c>
      <c r="AF248" s="198">
        <v>0</v>
      </c>
      <c r="AG248" s="206">
        <v>0</v>
      </c>
      <c r="AH248" s="92">
        <v>0</v>
      </c>
      <c r="AI248" s="92">
        <v>0</v>
      </c>
      <c r="AJ248" s="92">
        <v>0</v>
      </c>
      <c r="AK248" s="92">
        <v>0</v>
      </c>
      <c r="AL248" s="202"/>
      <c r="AM248" s="197"/>
      <c r="AN248" s="92">
        <v>0</v>
      </c>
      <c r="AO248" s="92">
        <v>0</v>
      </c>
      <c r="AP248" s="92">
        <v>0</v>
      </c>
      <c r="AQ248" s="12"/>
      <c r="AR248" s="92">
        <v>0</v>
      </c>
      <c r="AS248" s="92">
        <v>0</v>
      </c>
    </row>
    <row r="249" ht="78.75" customHeight="1" hidden="1">
      <c r="A249" t="s" s="255">
        <v>1121</v>
      </c>
      <c r="B249" t="s" s="94">
        <v>263</v>
      </c>
      <c r="C249" s="264"/>
      <c r="D249" t="s" s="261">
        <v>801</v>
      </c>
      <c r="E249" t="s" s="263">
        <v>1122</v>
      </c>
      <c r="F249" t="s" s="258">
        <v>714</v>
      </c>
      <c r="G249" s="96"/>
      <c r="H249" s="42">
        <f>SUM(J249,N249)</f>
        <v>210</v>
      </c>
      <c r="I249" s="259">
        <f>SUM(Q249,S249,U249,W249,Y249,AA249,AC249,AE249,AG249,AI249,AK249,AM249,AO249,AQ249,AS249)</f>
        <v>0</v>
      </c>
      <c r="J249" s="91">
        <f>SUM(P249,R249,T249,V249,X249,Z249,AB249,AD249,AF249,AH249,AJ249,AL249,AN249,AP249,AR249)</f>
        <v>210</v>
      </c>
      <c r="K249" s="36"/>
      <c r="L249" s="196"/>
      <c r="M249" s="196"/>
      <c r="N249" s="196"/>
      <c r="O249" s="197"/>
      <c r="P249" s="27">
        <v>210</v>
      </c>
      <c r="Q249" s="27">
        <v>0</v>
      </c>
      <c r="R249" s="92">
        <v>0</v>
      </c>
      <c r="S249" s="92">
        <v>0</v>
      </c>
      <c r="T249" s="92">
        <v>0</v>
      </c>
      <c r="U249" s="92">
        <v>0</v>
      </c>
      <c r="V249" s="92">
        <v>0</v>
      </c>
      <c r="W249" s="92">
        <v>0</v>
      </c>
      <c r="X249" s="92">
        <v>0</v>
      </c>
      <c r="Y249" s="92">
        <v>0</v>
      </c>
      <c r="Z249" s="93">
        <v>0</v>
      </c>
      <c r="AA249" s="93">
        <v>0</v>
      </c>
      <c r="AB249" s="93">
        <v>0</v>
      </c>
      <c r="AC249" s="93">
        <v>0</v>
      </c>
      <c r="AD249" s="93">
        <v>0</v>
      </c>
      <c r="AE249" s="93">
        <v>0</v>
      </c>
      <c r="AF249" s="198">
        <v>0</v>
      </c>
      <c r="AG249" s="206">
        <v>0</v>
      </c>
      <c r="AH249" s="92">
        <v>0</v>
      </c>
      <c r="AI249" s="92">
        <v>0</v>
      </c>
      <c r="AJ249" s="92">
        <v>0</v>
      </c>
      <c r="AK249" s="92">
        <v>0</v>
      </c>
      <c r="AL249" s="202"/>
      <c r="AM249" s="197"/>
      <c r="AN249" s="92">
        <v>0</v>
      </c>
      <c r="AO249" s="92">
        <v>0</v>
      </c>
      <c r="AP249" s="92">
        <v>0</v>
      </c>
      <c r="AQ249" s="12"/>
      <c r="AR249" s="92">
        <v>0</v>
      </c>
      <c r="AS249" s="92">
        <v>0</v>
      </c>
    </row>
    <row r="250" ht="58.5" customHeight="1" hidden="1">
      <c r="A250" t="s" s="255">
        <v>1123</v>
      </c>
      <c r="B250" t="s" s="94">
        <v>264</v>
      </c>
      <c r="C250" t="s" s="255">
        <v>790</v>
      </c>
      <c r="D250" t="s" s="256">
        <v>801</v>
      </c>
      <c r="E250" t="s" s="257">
        <v>1124</v>
      </c>
      <c r="F250" t="s" s="258">
        <v>714</v>
      </c>
      <c r="G250" s="96"/>
      <c r="H250" s="42">
        <f>SUM(J250,N250)</f>
        <v>0</v>
      </c>
      <c r="I250" s="259">
        <f>SUM(Q250,S250,U250,W250,Y250,AA250,AC250,AE250,AG250,AI250,AK250,AM250,AO250,AQ250,AS250)</f>
        <v>0</v>
      </c>
      <c r="J250" s="91">
        <f>SUM(P250,R250,T250,V250,X250,Z250,AB250,AD250,AF250,AH250,AJ250,AL250,AN250,AP250,AR250)</f>
        <v>0</v>
      </c>
      <c r="K250" s="36"/>
      <c r="L250" s="196"/>
      <c r="M250" s="196"/>
      <c r="N250" s="196"/>
      <c r="O250" s="197"/>
      <c r="P250" s="27">
        <v>0</v>
      </c>
      <c r="Q250" s="27">
        <v>0</v>
      </c>
      <c r="R250" s="92">
        <v>0</v>
      </c>
      <c r="S250" s="92">
        <v>0</v>
      </c>
      <c r="T250" s="92">
        <v>0</v>
      </c>
      <c r="U250" s="92">
        <v>0</v>
      </c>
      <c r="V250" s="92">
        <v>0</v>
      </c>
      <c r="W250" s="92">
        <v>0</v>
      </c>
      <c r="X250" s="92">
        <v>0</v>
      </c>
      <c r="Y250" s="92">
        <v>0</v>
      </c>
      <c r="Z250" s="93">
        <v>0</v>
      </c>
      <c r="AA250" s="93">
        <v>0</v>
      </c>
      <c r="AB250" s="93">
        <v>0</v>
      </c>
      <c r="AC250" s="93">
        <v>0</v>
      </c>
      <c r="AD250" s="93">
        <v>0</v>
      </c>
      <c r="AE250" s="93">
        <v>0</v>
      </c>
      <c r="AF250" s="198">
        <v>0</v>
      </c>
      <c r="AG250" s="206">
        <v>0</v>
      </c>
      <c r="AH250" s="92">
        <v>0</v>
      </c>
      <c r="AI250" s="92">
        <v>0</v>
      </c>
      <c r="AJ250" s="92">
        <v>0</v>
      </c>
      <c r="AK250" s="92">
        <v>0</v>
      </c>
      <c r="AL250" s="202"/>
      <c r="AM250" s="197"/>
      <c r="AN250" s="92">
        <v>0</v>
      </c>
      <c r="AO250" s="92">
        <v>0</v>
      </c>
      <c r="AP250" s="92">
        <v>0</v>
      </c>
      <c r="AQ250" s="12"/>
      <c r="AR250" s="92">
        <v>0</v>
      </c>
      <c r="AS250" s="92">
        <v>0</v>
      </c>
    </row>
    <row r="251" ht="175.5" customHeight="1" hidden="1">
      <c r="A251" t="s" s="260">
        <v>1125</v>
      </c>
      <c r="B251" t="s" s="95">
        <v>265</v>
      </c>
      <c r="C251" t="s" s="260">
        <v>1038</v>
      </c>
      <c r="D251" t="s" s="261">
        <v>801</v>
      </c>
      <c r="E251" t="s" s="257">
        <v>1126</v>
      </c>
      <c r="F251" t="s" s="258">
        <v>714</v>
      </c>
      <c r="G251" s="96"/>
      <c r="H251" s="42">
        <f>SUM(J251,N251)</f>
        <v>13500</v>
      </c>
      <c r="I251" s="259">
        <f>SUM(Q251,S251,U251,W251,Y251,AA251,AC251,AE251,AG251,AI251,AK251,AM251,AO251,AQ251,AS251)</f>
        <v>0</v>
      </c>
      <c r="J251" s="91">
        <f>SUM(P251,R251,T251,V251,X251,Z251,AB251,AD251,AF251,AH251,AJ251,AL251,AN251,AP251,AR251)</f>
        <v>13500</v>
      </c>
      <c r="K251" s="36"/>
      <c r="L251" s="196"/>
      <c r="M251" s="196"/>
      <c r="N251" s="196"/>
      <c r="O251" s="197"/>
      <c r="P251" s="27">
        <v>13500</v>
      </c>
      <c r="Q251" s="27">
        <v>0</v>
      </c>
      <c r="R251" s="92">
        <v>0</v>
      </c>
      <c r="S251" s="92">
        <v>0</v>
      </c>
      <c r="T251" s="92">
        <v>0</v>
      </c>
      <c r="U251" s="92">
        <v>0</v>
      </c>
      <c r="V251" s="92">
        <v>0</v>
      </c>
      <c r="W251" s="92">
        <v>0</v>
      </c>
      <c r="X251" s="92">
        <v>0</v>
      </c>
      <c r="Y251" s="92">
        <v>0</v>
      </c>
      <c r="Z251" s="93">
        <v>0</v>
      </c>
      <c r="AA251" s="93">
        <v>0</v>
      </c>
      <c r="AB251" s="93">
        <v>0</v>
      </c>
      <c r="AC251" s="93">
        <v>0</v>
      </c>
      <c r="AD251" s="93">
        <v>0</v>
      </c>
      <c r="AE251" s="93">
        <v>0</v>
      </c>
      <c r="AF251" s="198">
        <v>0</v>
      </c>
      <c r="AG251" s="206">
        <v>0</v>
      </c>
      <c r="AH251" s="92">
        <v>0</v>
      </c>
      <c r="AI251" s="92">
        <v>0</v>
      </c>
      <c r="AJ251" s="92">
        <v>0</v>
      </c>
      <c r="AK251" s="92">
        <v>0</v>
      </c>
      <c r="AL251" s="202"/>
      <c r="AM251" s="197"/>
      <c r="AN251" s="92">
        <v>0</v>
      </c>
      <c r="AO251" s="92">
        <v>0</v>
      </c>
      <c r="AP251" s="92">
        <v>0</v>
      </c>
      <c r="AQ251" s="12"/>
      <c r="AR251" s="92">
        <v>0</v>
      </c>
      <c r="AS251" s="92">
        <v>0</v>
      </c>
    </row>
    <row r="252" ht="19.5" customHeight="1" hidden="1">
      <c r="A252" t="s" s="214">
        <v>1127</v>
      </c>
      <c r="B252" t="s" s="72">
        <v>266</v>
      </c>
      <c r="C252" t="s" s="59">
        <v>1083</v>
      </c>
      <c r="D252" t="s" s="190">
        <v>801</v>
      </c>
      <c r="E252" s="191"/>
      <c r="F252" t="s" s="192">
        <v>714</v>
      </c>
      <c r="G252" s="193"/>
      <c r="H252" s="194">
        <f>SUM(J252,N252)</f>
        <v>5700</v>
      </c>
      <c r="I252" s="195">
        <f>SUM(Q252,S252,U252,W252,Y252,AA252,AC252,AE252,AG252,AI252,AK252,AM252,AO252,AQ252,AS252)</f>
        <v>0</v>
      </c>
      <c r="J252" s="23">
        <f>SUM(P252,R252,T252,V252,X252,Z252,AB252,AD252,AF252,AH252,AJ252,AL252,AN252,AP252,AR252)</f>
        <v>5700</v>
      </c>
      <c r="K252" s="36"/>
      <c r="L252" s="196"/>
      <c r="M252" s="196"/>
      <c r="N252" s="196"/>
      <c r="O252" s="197"/>
      <c r="P252" s="27">
        <v>4000</v>
      </c>
      <c r="Q252" s="27">
        <v>0</v>
      </c>
      <c r="R252" s="28">
        <v>0</v>
      </c>
      <c r="S252" s="28">
        <v>0</v>
      </c>
      <c r="T252" s="28">
        <v>1000</v>
      </c>
      <c r="U252" s="28">
        <v>0</v>
      </c>
      <c r="V252" s="28">
        <v>200</v>
      </c>
      <c r="W252" s="28">
        <v>0</v>
      </c>
      <c r="X252" s="28">
        <v>0</v>
      </c>
      <c r="Y252" s="28">
        <v>0</v>
      </c>
      <c r="Z252" s="30">
        <v>0</v>
      </c>
      <c r="AA252" s="30">
        <v>0</v>
      </c>
      <c r="AB252" s="30">
        <v>0</v>
      </c>
      <c r="AC252" s="30">
        <v>0</v>
      </c>
      <c r="AD252" s="30">
        <v>0</v>
      </c>
      <c r="AE252" s="30">
        <v>0</v>
      </c>
      <c r="AF252" s="198">
        <v>0</v>
      </c>
      <c r="AG252" s="206">
        <v>0</v>
      </c>
      <c r="AH252" s="28">
        <v>0</v>
      </c>
      <c r="AI252" s="28">
        <v>0</v>
      </c>
      <c r="AJ252" s="28">
        <v>0</v>
      </c>
      <c r="AK252" s="28">
        <v>0</v>
      </c>
      <c r="AL252" s="202"/>
      <c r="AM252" s="197"/>
      <c r="AN252" s="28">
        <v>500</v>
      </c>
      <c r="AO252" s="28">
        <v>0</v>
      </c>
      <c r="AP252" s="28">
        <v>0</v>
      </c>
      <c r="AQ252" s="87"/>
      <c r="AR252" s="28">
        <v>0</v>
      </c>
      <c r="AS252" s="28">
        <v>0</v>
      </c>
    </row>
    <row r="253" ht="31.5" customHeight="1">
      <c r="A253" t="s" s="220">
        <v>1128</v>
      </c>
      <c r="B253" t="s" s="52">
        <v>267</v>
      </c>
      <c r="C253" t="s" s="220">
        <v>765</v>
      </c>
      <c r="D253" t="s" s="265">
        <v>801</v>
      </c>
      <c r="E253" t="s" s="266">
        <v>1129</v>
      </c>
      <c r="F253" t="s" s="210">
        <v>714</v>
      </c>
      <c r="G253" s="211"/>
      <c r="H253" s="42">
        <f>SUM(J253,N253)</f>
        <v>0</v>
      </c>
      <c r="I253" s="207">
        <f>SUM(Q253,S253,U253,W253,Y253,AA253,AC253,AE253,AG253,AI253,AK253,AM253,AO253,AQ253,AS253)</f>
        <v>0</v>
      </c>
      <c r="J253" s="43">
        <f>SUM(P253,R253,T253,V253,X253,Z253,AB253,AD253,AF253,AH253,AJ253,AL253,AN253,AP253,AR253)</f>
        <v>0</v>
      </c>
      <c r="K253" s="44"/>
      <c r="L253" s="6"/>
      <c r="M253" s="6"/>
      <c r="N253" s="14"/>
      <c r="O253" s="122"/>
      <c r="P253" s="27">
        <v>0</v>
      </c>
      <c r="Q253" s="27">
        <v>0</v>
      </c>
      <c r="R253" s="51">
        <v>0</v>
      </c>
      <c r="S253" s="51">
        <v>0</v>
      </c>
      <c r="T253" s="51">
        <v>0</v>
      </c>
      <c r="U253" s="51">
        <v>0</v>
      </c>
      <c r="V253" s="51">
        <v>0</v>
      </c>
      <c r="W253" s="51">
        <v>0</v>
      </c>
      <c r="X253" s="51">
        <v>0</v>
      </c>
      <c r="Y253" s="51">
        <v>0</v>
      </c>
      <c r="Z253" s="48">
        <v>0</v>
      </c>
      <c r="AA253" s="48">
        <v>0</v>
      </c>
      <c r="AB253" s="48">
        <v>0</v>
      </c>
      <c r="AC253" s="48">
        <v>0</v>
      </c>
      <c r="AD253" s="55">
        <v>0</v>
      </c>
      <c r="AE253" s="213">
        <v>0</v>
      </c>
      <c r="AF253" s="212">
        <v>0</v>
      </c>
      <c r="AG253" s="121">
        <v>0</v>
      </c>
      <c r="AH253" s="51">
        <v>0</v>
      </c>
      <c r="AI253" s="51">
        <v>0</v>
      </c>
      <c r="AJ253" s="51">
        <v>0</v>
      </c>
      <c r="AK253" s="51">
        <v>0</v>
      </c>
      <c r="AL253" s="14"/>
      <c r="AM253" s="122"/>
      <c r="AN253" s="51">
        <v>0</v>
      </c>
      <c r="AO253" s="51">
        <v>0</v>
      </c>
      <c r="AP253" s="51">
        <v>0</v>
      </c>
      <c r="AQ253" s="47"/>
      <c r="AR253" s="51">
        <v>0</v>
      </c>
      <c r="AS253" s="51">
        <v>0</v>
      </c>
    </row>
    <row r="254" ht="31.5" customHeight="1">
      <c r="A254" t="s" s="220">
        <v>1130</v>
      </c>
      <c r="B254" t="s" s="52">
        <v>268</v>
      </c>
      <c r="C254" t="s" s="220">
        <v>1131</v>
      </c>
      <c r="D254" t="s" s="267">
        <v>801</v>
      </c>
      <c r="E254" s="268"/>
      <c r="F254" t="s" s="210">
        <v>714</v>
      </c>
      <c r="G254" s="211"/>
      <c r="H254" s="42">
        <f>SUM(J254,N254)</f>
        <v>0</v>
      </c>
      <c r="I254" s="207">
        <f>SUM(Q254,S254,U254,W254,Y254,AA254,AC254,AE254,AG254,AI254,AK254,AM254,AO254,AQ254,AS254)</f>
        <v>0</v>
      </c>
      <c r="J254" s="43">
        <f>SUM(P254,R254,T254,V254,X254,Z254,AB254,AD254,AF254,AH254,AJ254,AL254,AN254,AP254,AR254)</f>
        <v>0</v>
      </c>
      <c r="K254" s="44"/>
      <c r="L254" s="6"/>
      <c r="M254" s="6"/>
      <c r="N254" s="14"/>
      <c r="O254" s="122"/>
      <c r="P254" s="27">
        <v>0</v>
      </c>
      <c r="Q254" s="27">
        <v>0</v>
      </c>
      <c r="R254" s="51">
        <v>0</v>
      </c>
      <c r="S254" s="51">
        <v>0</v>
      </c>
      <c r="T254" s="51">
        <v>0</v>
      </c>
      <c r="U254" s="51">
        <v>0</v>
      </c>
      <c r="V254" s="51">
        <v>0</v>
      </c>
      <c r="W254" s="51">
        <v>0</v>
      </c>
      <c r="X254" s="51">
        <v>0</v>
      </c>
      <c r="Y254" s="51">
        <v>0</v>
      </c>
      <c r="Z254" s="48">
        <v>0</v>
      </c>
      <c r="AA254" s="48">
        <v>0</v>
      </c>
      <c r="AB254" s="48">
        <v>0</v>
      </c>
      <c r="AC254" s="48">
        <v>0</v>
      </c>
      <c r="AD254" s="55">
        <v>0</v>
      </c>
      <c r="AE254" s="213">
        <v>0</v>
      </c>
      <c r="AF254" s="212">
        <v>0</v>
      </c>
      <c r="AG254" s="121">
        <v>0</v>
      </c>
      <c r="AH254" s="51">
        <v>0</v>
      </c>
      <c r="AI254" s="51">
        <v>0</v>
      </c>
      <c r="AJ254" s="51">
        <v>0</v>
      </c>
      <c r="AK254" s="51">
        <v>0</v>
      </c>
      <c r="AL254" s="14"/>
      <c r="AM254" s="122"/>
      <c r="AN254" s="51">
        <v>0</v>
      </c>
      <c r="AO254" s="51">
        <v>0</v>
      </c>
      <c r="AP254" s="51">
        <v>0</v>
      </c>
      <c r="AQ254" s="47"/>
      <c r="AR254" s="51">
        <v>0</v>
      </c>
      <c r="AS254" s="51">
        <v>0</v>
      </c>
    </row>
    <row r="255" ht="175.5" customHeight="1" hidden="1">
      <c r="A255" t="s" s="220">
        <v>1132</v>
      </c>
      <c r="B255" t="s" s="52">
        <v>269</v>
      </c>
      <c r="C255" t="s" s="220">
        <v>765</v>
      </c>
      <c r="D255" t="s" s="233">
        <v>801</v>
      </c>
      <c r="E255" t="s" s="217">
        <v>1133</v>
      </c>
      <c r="F255" t="s" s="210">
        <v>714</v>
      </c>
      <c r="G255" s="211"/>
      <c r="H255" s="42">
        <f>SUM(J255,N255)</f>
        <v>0</v>
      </c>
      <c r="I255" s="207">
        <f>SUM(Q255,S255,U255,W255,Y255,AA255,AC255,AE255,AG255,AI255,AK255,AM255,AO255,AQ255,AS255)</f>
        <v>0</v>
      </c>
      <c r="J255" s="43">
        <f>SUM(P255,R255,T255,V255,X255,Z255,AB255,AD255,AF255,AH255,AJ255,AL255,AN255,AP255,AR255)</f>
        <v>0</v>
      </c>
      <c r="K255" s="44"/>
      <c r="L255" s="6"/>
      <c r="M255" s="6"/>
      <c r="N255" s="14"/>
      <c r="O255" s="122"/>
      <c r="P255" s="27">
        <v>0</v>
      </c>
      <c r="Q255" s="27">
        <v>0</v>
      </c>
      <c r="R255" s="51">
        <v>0</v>
      </c>
      <c r="S255" s="51">
        <v>0</v>
      </c>
      <c r="T255" s="51">
        <v>0</v>
      </c>
      <c r="U255" s="51">
        <v>0</v>
      </c>
      <c r="V255" s="51">
        <v>0</v>
      </c>
      <c r="W255" s="51">
        <v>0</v>
      </c>
      <c r="X255" s="51">
        <v>0</v>
      </c>
      <c r="Y255" s="51">
        <v>0</v>
      </c>
      <c r="Z255" s="48">
        <v>0</v>
      </c>
      <c r="AA255" s="48">
        <v>0</v>
      </c>
      <c r="AB255" s="48">
        <v>0</v>
      </c>
      <c r="AC255" s="48">
        <v>0</v>
      </c>
      <c r="AD255" s="55">
        <v>0</v>
      </c>
      <c r="AE255" s="213">
        <v>0</v>
      </c>
      <c r="AF255" s="212">
        <v>0</v>
      </c>
      <c r="AG255" s="121">
        <v>0</v>
      </c>
      <c r="AH255" s="51">
        <v>0</v>
      </c>
      <c r="AI255" s="51">
        <v>0</v>
      </c>
      <c r="AJ255" s="51">
        <v>0</v>
      </c>
      <c r="AK255" s="51">
        <v>0</v>
      </c>
      <c r="AL255" s="14"/>
      <c r="AM255" s="122"/>
      <c r="AN255" s="51">
        <v>0</v>
      </c>
      <c r="AO255" s="51">
        <v>0</v>
      </c>
      <c r="AP255" s="51">
        <v>0</v>
      </c>
      <c r="AQ255" s="47"/>
      <c r="AR255" s="51">
        <v>0</v>
      </c>
      <c r="AS255" s="51">
        <v>0</v>
      </c>
    </row>
    <row r="256" ht="19.5" customHeight="1" hidden="1">
      <c r="A256" t="s" s="88">
        <v>1134</v>
      </c>
      <c r="B256" t="s" s="67">
        <v>270</v>
      </c>
      <c r="C256" s="228"/>
      <c r="D256" s="228"/>
      <c r="E256" s="189"/>
      <c r="F256" s="182">
        <v>0</v>
      </c>
      <c r="G256" s="183"/>
      <c r="H256" s="42">
        <f>SUM(J256,N256)</f>
        <v>0</v>
      </c>
      <c r="I256" s="207">
        <f>SUM(Q256,S256,U256,W256,Y256,AA256,AC256,AE256,AG256,AI256,AK256,AM256,AO256,AQ256,AS256)</f>
        <v>0</v>
      </c>
      <c r="J256" s="43">
        <f>SUM(P256,R256,T256,V256,X256,Z256,AB256,AD256,AF256,AH256,AJ256,AL256,AN256,AP256,AR256)</f>
        <v>0</v>
      </c>
      <c r="K256" s="44"/>
      <c r="L256" s="6"/>
      <c r="M256" s="6"/>
      <c r="N256" s="14"/>
      <c r="O256" s="122"/>
      <c r="P256" s="46"/>
      <c r="Q256" s="46"/>
      <c r="R256" s="47"/>
      <c r="S256" s="47"/>
      <c r="T256" s="47"/>
      <c r="U256" s="47"/>
      <c r="V256" s="47"/>
      <c r="W256" s="47"/>
      <c r="X256" s="47"/>
      <c r="Y256" s="47"/>
      <c r="Z256" s="48">
        <v>0</v>
      </c>
      <c r="AA256" s="48">
        <v>0</v>
      </c>
      <c r="AB256" s="49"/>
      <c r="AC256" s="49"/>
      <c r="AD256" s="50"/>
      <c r="AE256" s="50"/>
      <c r="AF256" s="14"/>
      <c r="AG256" s="122"/>
      <c r="AH256" s="51">
        <v>0</v>
      </c>
      <c r="AI256" s="51">
        <v>0</v>
      </c>
      <c r="AJ256" s="47"/>
      <c r="AK256" s="47"/>
      <c r="AL256" s="14"/>
      <c r="AM256" s="122"/>
      <c r="AN256" s="47"/>
      <c r="AO256" s="47"/>
      <c r="AP256" s="47"/>
      <c r="AQ256" s="47"/>
      <c r="AR256" s="51">
        <v>0</v>
      </c>
      <c r="AS256" s="51">
        <v>0</v>
      </c>
    </row>
    <row r="257" ht="31.5" customHeight="1" hidden="1">
      <c r="A257" t="s" s="59">
        <v>1135</v>
      </c>
      <c r="B257" t="s" s="21">
        <v>271</v>
      </c>
      <c r="C257" t="s" s="59">
        <v>1136</v>
      </c>
      <c r="D257" t="s" s="190">
        <v>801</v>
      </c>
      <c r="E257" s="215">
        <v>1012</v>
      </c>
      <c r="F257" t="s" s="192">
        <v>720</v>
      </c>
      <c r="G257" s="193"/>
      <c r="H257" s="194">
        <f>SUM(J257,N257)</f>
        <v>87875</v>
      </c>
      <c r="I257" s="195">
        <f>SUM(Q257,S257,U257,W257,Y257,AA257,AC257,AE257,AG257,AI257,AK257,AM257,AO257,AQ257,AS257)</f>
        <v>6718</v>
      </c>
      <c r="J257" s="23">
        <f>SUM(P257,R257,T257,V257,X257,Z257,AB257,AD257,AF257,AH257,AJ257,AL257,AN257,AP257,AR257)</f>
        <v>87875</v>
      </c>
      <c r="K257" s="36"/>
      <c r="L257" s="196"/>
      <c r="M257" s="196"/>
      <c r="N257" s="196"/>
      <c r="O257" s="197"/>
      <c r="P257" s="27">
        <v>5000</v>
      </c>
      <c r="Q257" s="27">
        <v>390</v>
      </c>
      <c r="R257" s="28">
        <v>100</v>
      </c>
      <c r="S257" s="28">
        <v>0</v>
      </c>
      <c r="T257" s="28">
        <v>50000</v>
      </c>
      <c r="U257" s="28">
        <v>3000</v>
      </c>
      <c r="V257" s="28">
        <v>1000</v>
      </c>
      <c r="W257" s="28">
        <v>0</v>
      </c>
      <c r="X257" s="28">
        <v>12000</v>
      </c>
      <c r="Y257" s="28">
        <v>0</v>
      </c>
      <c r="Z257" s="30">
        <v>8700</v>
      </c>
      <c r="AA257" s="30">
        <v>1610</v>
      </c>
      <c r="AB257" s="30">
        <v>3000</v>
      </c>
      <c r="AC257" s="30">
        <v>380</v>
      </c>
      <c r="AD257" s="30">
        <v>5900</v>
      </c>
      <c r="AE257" s="30">
        <v>416</v>
      </c>
      <c r="AF257" s="198">
        <v>700</v>
      </c>
      <c r="AG257" s="206">
        <v>570</v>
      </c>
      <c r="AH257" s="28">
        <v>1225</v>
      </c>
      <c r="AI257" s="28">
        <v>246</v>
      </c>
      <c r="AJ257" s="28">
        <v>100</v>
      </c>
      <c r="AK257" s="28">
        <v>0</v>
      </c>
      <c r="AL257" s="202"/>
      <c r="AM257" s="197"/>
      <c r="AN257" s="28">
        <v>150</v>
      </c>
      <c r="AO257" s="28">
        <v>106</v>
      </c>
      <c r="AP257" s="28">
        <v>0</v>
      </c>
      <c r="AQ257" s="87"/>
      <c r="AR257" s="28">
        <v>0</v>
      </c>
      <c r="AS257" s="28">
        <v>0</v>
      </c>
    </row>
    <row r="258" ht="31.5" customHeight="1" hidden="1">
      <c r="A258" t="s" s="59">
        <v>1137</v>
      </c>
      <c r="B258" t="s" s="21">
        <v>272</v>
      </c>
      <c r="C258" t="s" s="59">
        <v>790</v>
      </c>
      <c r="D258" t="s" s="190">
        <v>801</v>
      </c>
      <c r="E258" s="191"/>
      <c r="F258" t="s" s="192">
        <v>720</v>
      </c>
      <c r="G258" s="193"/>
      <c r="H258" s="194">
        <f>SUM(J258,N258)</f>
        <v>31470</v>
      </c>
      <c r="I258" s="195">
        <f>SUM(Q258,S258,U258,W258,Y258,AA258,AC258,AE258,AG258,AI258,AK258,AM258,AO258,AQ258,AS258)</f>
        <v>12577</v>
      </c>
      <c r="J258" s="23">
        <f>SUM(P258,R258,T258,V258,X258,Z258,AB258,AD258,AF258,AH258,AJ258,AL258,AN258,AP258,AR258)</f>
        <v>31470</v>
      </c>
      <c r="K258" s="36"/>
      <c r="L258" s="196"/>
      <c r="M258" s="196"/>
      <c r="N258" s="196"/>
      <c r="O258" s="197"/>
      <c r="P258" s="27">
        <v>200</v>
      </c>
      <c r="Q258" s="27">
        <v>0</v>
      </c>
      <c r="R258" s="28">
        <v>1500</v>
      </c>
      <c r="S258" s="28">
        <v>1176</v>
      </c>
      <c r="T258" s="28">
        <v>2500</v>
      </c>
      <c r="U258" s="28">
        <v>444</v>
      </c>
      <c r="V258" s="28">
        <v>1200</v>
      </c>
      <c r="W258" s="28">
        <v>90</v>
      </c>
      <c r="X258" s="28">
        <v>350</v>
      </c>
      <c r="Y258" s="28">
        <v>329</v>
      </c>
      <c r="Z258" s="30">
        <v>8120</v>
      </c>
      <c r="AA258" s="30">
        <v>3740</v>
      </c>
      <c r="AB258" s="30">
        <v>4640</v>
      </c>
      <c r="AC258" s="30">
        <v>1962</v>
      </c>
      <c r="AD258" s="30">
        <v>5830</v>
      </c>
      <c r="AE258" s="30">
        <v>1584</v>
      </c>
      <c r="AF258" s="198">
        <v>2900</v>
      </c>
      <c r="AG258" s="206">
        <v>2560</v>
      </c>
      <c r="AH258" s="28">
        <v>4205</v>
      </c>
      <c r="AI258" s="28">
        <v>692</v>
      </c>
      <c r="AJ258" s="28">
        <v>0</v>
      </c>
      <c r="AK258" s="28">
        <v>0</v>
      </c>
      <c r="AL258" s="202"/>
      <c r="AM258" s="197"/>
      <c r="AN258" s="28">
        <v>25</v>
      </c>
      <c r="AO258" s="28">
        <v>0</v>
      </c>
      <c r="AP258" s="28">
        <v>0</v>
      </c>
      <c r="AQ258" s="87"/>
      <c r="AR258" s="28">
        <v>0</v>
      </c>
      <c r="AS258" s="28">
        <v>0</v>
      </c>
    </row>
    <row r="259" ht="19.5" customHeight="1" hidden="1">
      <c r="A259" t="s" s="88">
        <v>1138</v>
      </c>
      <c r="B259" t="s" s="67">
        <v>273</v>
      </c>
      <c r="C259" s="228"/>
      <c r="D259" s="228"/>
      <c r="E259" s="189"/>
      <c r="F259" s="182">
        <v>0</v>
      </c>
      <c r="G259" s="183"/>
      <c r="H259" s="42">
        <f>SUM(J259,N259)</f>
        <v>0</v>
      </c>
      <c r="I259" s="207">
        <f>SUM(Q259,S259,U259,W259,Y259,AA259,AC259,AE259,AG259,AI259,AK259,AM259,AO259,AQ259,AS259)</f>
        <v>0</v>
      </c>
      <c r="J259" s="43">
        <f>SUM(P259,R259,T259,V259,X259,Z259,AB259,AD259,AF259,AH259,AJ259,AL259,AN259,AP259,AR259)</f>
        <v>0</v>
      </c>
      <c r="K259" s="44"/>
      <c r="L259" s="6"/>
      <c r="M259" s="6"/>
      <c r="N259" s="14"/>
      <c r="O259" s="122"/>
      <c r="P259" s="46"/>
      <c r="Q259" s="46"/>
      <c r="R259" s="47"/>
      <c r="S259" s="47"/>
      <c r="T259" s="47"/>
      <c r="U259" s="47"/>
      <c r="V259" s="47"/>
      <c r="W259" s="47"/>
      <c r="X259" s="47"/>
      <c r="Y259" s="47"/>
      <c r="Z259" s="48">
        <v>0</v>
      </c>
      <c r="AA259" s="48">
        <v>0</v>
      </c>
      <c r="AB259" s="49"/>
      <c r="AC259" s="49"/>
      <c r="AD259" s="50"/>
      <c r="AE259" s="50"/>
      <c r="AF259" s="14"/>
      <c r="AG259" s="122"/>
      <c r="AH259" s="51">
        <v>0</v>
      </c>
      <c r="AI259" s="51">
        <v>0</v>
      </c>
      <c r="AJ259" s="47"/>
      <c r="AK259" s="47"/>
      <c r="AL259" s="14"/>
      <c r="AM259" s="122"/>
      <c r="AN259" s="47"/>
      <c r="AO259" s="47"/>
      <c r="AP259" s="47"/>
      <c r="AQ259" s="47"/>
      <c r="AR259" s="51">
        <v>0</v>
      </c>
      <c r="AS259" s="51">
        <v>0</v>
      </c>
    </row>
    <row r="260" ht="31.5" customHeight="1" hidden="1">
      <c r="A260" t="s" s="59">
        <v>1139</v>
      </c>
      <c r="B260" t="s" s="21">
        <v>274</v>
      </c>
      <c r="C260" t="s" s="59">
        <v>765</v>
      </c>
      <c r="D260" t="s" s="190">
        <v>713</v>
      </c>
      <c r="E260" t="s" s="216">
        <v>1140</v>
      </c>
      <c r="F260" t="s" s="192">
        <v>720</v>
      </c>
      <c r="G260" s="193"/>
      <c r="H260" s="194">
        <f>SUM(J260,N260)</f>
        <v>6100</v>
      </c>
      <c r="I260" s="195">
        <f>SUM(Q260,S260,U260,W260,Y260,AA260,AC260,AE260,AG260,AI260,AK260,AM260,AO260,AQ260,AS260)</f>
        <v>100</v>
      </c>
      <c r="J260" s="23">
        <f>SUM(P260,R260,T260,V260,X260,Z260,AB260,AD260,AF260,AH260,AJ260,AL260,AN260,AP260,AR260)</f>
        <v>6100</v>
      </c>
      <c r="K260" s="36"/>
      <c r="L260" s="196"/>
      <c r="M260" s="196"/>
      <c r="N260" s="196"/>
      <c r="O260" s="197"/>
      <c r="P260" s="27">
        <v>4000</v>
      </c>
      <c r="Q260" s="27">
        <v>0</v>
      </c>
      <c r="R260" s="28">
        <v>0</v>
      </c>
      <c r="S260" s="28">
        <v>0</v>
      </c>
      <c r="T260" s="28">
        <v>1000</v>
      </c>
      <c r="U260" s="28">
        <v>0</v>
      </c>
      <c r="V260" s="28">
        <v>100</v>
      </c>
      <c r="W260" s="28">
        <v>0</v>
      </c>
      <c r="X260" s="28">
        <v>0</v>
      </c>
      <c r="Y260" s="28">
        <v>0</v>
      </c>
      <c r="Z260" s="30">
        <v>0</v>
      </c>
      <c r="AA260" s="30">
        <v>0</v>
      </c>
      <c r="AB260" s="30">
        <v>0</v>
      </c>
      <c r="AC260" s="30">
        <v>0</v>
      </c>
      <c r="AD260" s="30">
        <v>0</v>
      </c>
      <c r="AE260" s="30">
        <v>0</v>
      </c>
      <c r="AF260" s="198">
        <v>0</v>
      </c>
      <c r="AG260" s="206">
        <v>0</v>
      </c>
      <c r="AH260" s="28">
        <v>0</v>
      </c>
      <c r="AI260" s="28">
        <v>0</v>
      </c>
      <c r="AJ260" s="28">
        <v>0</v>
      </c>
      <c r="AK260" s="28">
        <v>0</v>
      </c>
      <c r="AL260" s="234">
        <v>1000</v>
      </c>
      <c r="AM260" s="234">
        <v>100</v>
      </c>
      <c r="AN260" s="28">
        <v>0</v>
      </c>
      <c r="AO260" s="28">
        <v>0</v>
      </c>
      <c r="AP260" s="28">
        <v>0</v>
      </c>
      <c r="AQ260" s="87"/>
      <c r="AR260" s="28">
        <v>0</v>
      </c>
      <c r="AS260" s="28">
        <v>0</v>
      </c>
    </row>
    <row r="261" ht="31.5" customHeight="1" hidden="1">
      <c r="A261" t="s" s="59">
        <v>1141</v>
      </c>
      <c r="B261" t="s" s="21">
        <v>275</v>
      </c>
      <c r="C261" t="s" s="59">
        <v>765</v>
      </c>
      <c r="D261" t="s" s="190">
        <v>713</v>
      </c>
      <c r="E261" t="s" s="223">
        <v>1142</v>
      </c>
      <c r="F261" t="s" s="192">
        <v>720</v>
      </c>
      <c r="G261" s="193"/>
      <c r="H261" s="194">
        <f>SUM(J261,N261)</f>
        <v>1000970</v>
      </c>
      <c r="I261" s="195">
        <f>SUM(Q261,S261,U261,W261,Y261,AA261,AC261,AE261,AG261,AI261,AK261,AM261,AO261,AQ261,AS261)</f>
        <v>702833</v>
      </c>
      <c r="J261" s="23">
        <f>SUM(P261,R261,T261,V261,X261,Z261,AB261,AD261,AF261,AH261,AJ261,AL261,AN261,AP261,AR261)</f>
        <v>1000970</v>
      </c>
      <c r="K261" s="36"/>
      <c r="L261" s="196"/>
      <c r="M261" s="196"/>
      <c r="N261" s="196"/>
      <c r="O261" s="197"/>
      <c r="P261" s="27">
        <v>50000</v>
      </c>
      <c r="Q261" s="27">
        <v>46088</v>
      </c>
      <c r="R261" s="28">
        <v>40000</v>
      </c>
      <c r="S261" s="28">
        <v>36920</v>
      </c>
      <c r="T261" s="28">
        <v>50000</v>
      </c>
      <c r="U261" s="28">
        <v>29100</v>
      </c>
      <c r="V261" s="28">
        <v>65000</v>
      </c>
      <c r="W261" s="28">
        <v>59910</v>
      </c>
      <c r="X261" s="28">
        <v>80000</v>
      </c>
      <c r="Y261" s="28">
        <v>72320</v>
      </c>
      <c r="Z261" s="30">
        <v>233000</v>
      </c>
      <c r="AA261" s="30">
        <v>173600</v>
      </c>
      <c r="AB261" s="30">
        <v>164400</v>
      </c>
      <c r="AC261" s="30">
        <v>82575</v>
      </c>
      <c r="AD261" s="30">
        <v>150250</v>
      </c>
      <c r="AE261" s="30">
        <v>105010</v>
      </c>
      <c r="AF261" s="198">
        <v>54000</v>
      </c>
      <c r="AG261" s="206">
        <v>33000</v>
      </c>
      <c r="AH261" s="28">
        <v>90600</v>
      </c>
      <c r="AI261" s="28">
        <v>43340</v>
      </c>
      <c r="AJ261" s="28">
        <v>720</v>
      </c>
      <c r="AK261" s="28">
        <v>600</v>
      </c>
      <c r="AL261" s="202"/>
      <c r="AM261" s="197"/>
      <c r="AN261" s="28">
        <v>0</v>
      </c>
      <c r="AO261" s="28">
        <v>0</v>
      </c>
      <c r="AP261" s="28">
        <v>0</v>
      </c>
      <c r="AQ261" s="87"/>
      <c r="AR261" s="28">
        <v>23000</v>
      </c>
      <c r="AS261" s="28">
        <v>20370</v>
      </c>
    </row>
    <row r="262" ht="78.75" customHeight="1" hidden="1">
      <c r="A262" t="s" s="130">
        <v>1143</v>
      </c>
      <c r="B262" t="s" s="52">
        <v>276</v>
      </c>
      <c r="C262" t="s" s="130">
        <v>790</v>
      </c>
      <c r="D262" t="s" s="209">
        <v>717</v>
      </c>
      <c r="E262" t="s" s="132">
        <v>1144</v>
      </c>
      <c r="F262" t="s" s="210">
        <v>714</v>
      </c>
      <c r="G262" s="211"/>
      <c r="H262" s="42">
        <f>SUM(J262,N262)</f>
        <v>168500</v>
      </c>
      <c r="I262" s="207">
        <f>SUM(Q262,S262,U262,W262,Y262,AA262,AC262,AE262,AG262,AI262,AK262,AM262,AO262,AQ262,AS262)</f>
        <v>154500</v>
      </c>
      <c r="J262" s="43">
        <f>SUM(P262,R262,T262,V262,X262,Z262,AB262,AD262,AF262,AH262,AJ262,AL262,AN262,AP262,AR262)</f>
        <v>166500</v>
      </c>
      <c r="K262" s="44"/>
      <c r="L262" s="6"/>
      <c r="M262" s="6"/>
      <c r="N262" s="212">
        <v>2000</v>
      </c>
      <c r="O262" s="122"/>
      <c r="P262" s="27">
        <v>50000</v>
      </c>
      <c r="Q262" s="27">
        <v>49225</v>
      </c>
      <c r="R262" s="51">
        <v>60000</v>
      </c>
      <c r="S262" s="51">
        <v>53950</v>
      </c>
      <c r="T262" s="51">
        <v>30000</v>
      </c>
      <c r="U262" s="51">
        <v>26858</v>
      </c>
      <c r="V262" s="51">
        <v>22000</v>
      </c>
      <c r="W262" s="51">
        <v>20300</v>
      </c>
      <c r="X262" s="51">
        <v>4500</v>
      </c>
      <c r="Y262" s="51">
        <v>4167</v>
      </c>
      <c r="Z262" s="48">
        <v>0</v>
      </c>
      <c r="AA262" s="48">
        <v>0</v>
      </c>
      <c r="AB262" s="48">
        <v>0</v>
      </c>
      <c r="AC262" s="48">
        <v>0</v>
      </c>
      <c r="AD262" s="55">
        <v>0</v>
      </c>
      <c r="AE262" s="213">
        <v>0</v>
      </c>
      <c r="AF262" s="212">
        <v>0</v>
      </c>
      <c r="AG262" s="121">
        <v>0</v>
      </c>
      <c r="AH262" s="51">
        <v>0</v>
      </c>
      <c r="AI262" s="51">
        <v>0</v>
      </c>
      <c r="AJ262" s="51">
        <v>0</v>
      </c>
      <c r="AK262" s="51">
        <v>0</v>
      </c>
      <c r="AL262" s="14"/>
      <c r="AM262" s="122"/>
      <c r="AN262" s="51">
        <v>0</v>
      </c>
      <c r="AO262" s="51">
        <v>0</v>
      </c>
      <c r="AP262" s="51">
        <v>0</v>
      </c>
      <c r="AQ262" s="47"/>
      <c r="AR262" s="51">
        <v>0</v>
      </c>
      <c r="AS262" s="51">
        <v>0</v>
      </c>
    </row>
    <row r="263" ht="31.5" customHeight="1" hidden="1">
      <c r="A263" t="s" s="59">
        <v>1145</v>
      </c>
      <c r="B263" t="s" s="21">
        <v>277</v>
      </c>
      <c r="C263" t="s" s="59">
        <v>790</v>
      </c>
      <c r="D263" t="s" s="190">
        <v>791</v>
      </c>
      <c r="E263" t="s" s="223">
        <v>1034</v>
      </c>
      <c r="F263" t="s" s="192">
        <v>720</v>
      </c>
      <c r="G263" s="193"/>
      <c r="H263" s="194">
        <f>SUM(J263,N263)</f>
        <v>80720</v>
      </c>
      <c r="I263" s="195">
        <f>SUM(Q263,S263,U263,W263,Y263,AA263,AC263,AE263,AG263,AI263,AK263,AM263,AO263,AQ263,AS263)</f>
        <v>53655</v>
      </c>
      <c r="J263" s="23">
        <f>SUM(P263,R263,T263,V263,X263,Z263,AB263,AD263,AF263,AH263,AJ263,AL263,AN263,AP263,AR263)</f>
        <v>80720</v>
      </c>
      <c r="K263" s="36"/>
      <c r="L263" s="196"/>
      <c r="M263" s="196"/>
      <c r="N263" s="196"/>
      <c r="O263" s="197"/>
      <c r="P263" s="27">
        <v>600</v>
      </c>
      <c r="Q263" s="27">
        <v>576</v>
      </c>
      <c r="R263" s="28">
        <v>5000</v>
      </c>
      <c r="S263" s="28">
        <v>4600</v>
      </c>
      <c r="T263" s="28">
        <v>5000</v>
      </c>
      <c r="U263" s="28">
        <v>2470</v>
      </c>
      <c r="V263" s="28">
        <v>3000</v>
      </c>
      <c r="W263" s="28">
        <v>2214</v>
      </c>
      <c r="X263" s="28">
        <v>3500</v>
      </c>
      <c r="Y263" s="28">
        <v>3193</v>
      </c>
      <c r="Z263" s="30">
        <v>14000</v>
      </c>
      <c r="AA263" s="30">
        <v>11500</v>
      </c>
      <c r="AB263" s="30">
        <v>11820</v>
      </c>
      <c r="AC263" s="30">
        <v>6364</v>
      </c>
      <c r="AD263" s="30">
        <v>13140</v>
      </c>
      <c r="AE263" s="30">
        <v>8889</v>
      </c>
      <c r="AF263" s="198">
        <v>10000</v>
      </c>
      <c r="AG263" s="206">
        <v>6840</v>
      </c>
      <c r="AH263" s="28">
        <v>14150</v>
      </c>
      <c r="AI263" s="28">
        <v>6610</v>
      </c>
      <c r="AJ263" s="28">
        <v>60</v>
      </c>
      <c r="AK263" s="28">
        <v>0</v>
      </c>
      <c r="AL263" s="202"/>
      <c r="AM263" s="197"/>
      <c r="AN263" s="28">
        <v>0</v>
      </c>
      <c r="AO263" s="28">
        <v>0</v>
      </c>
      <c r="AP263" s="28">
        <v>0</v>
      </c>
      <c r="AQ263" s="87"/>
      <c r="AR263" s="28">
        <v>450</v>
      </c>
      <c r="AS263" s="28">
        <v>399</v>
      </c>
    </row>
    <row r="264" ht="78.75" customHeight="1" hidden="1">
      <c r="A264" t="s" s="59">
        <v>1146</v>
      </c>
      <c r="B264" t="s" s="21">
        <v>278</v>
      </c>
      <c r="C264" t="s" s="59">
        <v>800</v>
      </c>
      <c r="D264" t="s" s="190">
        <v>717</v>
      </c>
      <c r="E264" t="s" s="216">
        <v>1147</v>
      </c>
      <c r="F264" t="s" s="192">
        <v>714</v>
      </c>
      <c r="G264" s="193"/>
      <c r="H264" s="194">
        <f>SUM(J264,N264)</f>
        <v>70</v>
      </c>
      <c r="I264" s="195">
        <f>SUM(Q264,S264,U264,W264,Y264,AA264,AC264,AE264,AG264,AI264,AK264,AM264,AO264,AQ264,AS264)</f>
        <v>50</v>
      </c>
      <c r="J264" s="23">
        <f>SUM(P264,R264,T264,V264,X264,Z264,AB264,AD264,AF264,AH264,AJ264,AL264,AN264,AP264,AR264)</f>
        <v>70</v>
      </c>
      <c r="K264" s="36"/>
      <c r="L264" s="196"/>
      <c r="M264" s="196"/>
      <c r="N264" s="196"/>
      <c r="O264" s="197"/>
      <c r="P264" s="27">
        <v>20</v>
      </c>
      <c r="Q264" s="27">
        <v>5</v>
      </c>
      <c r="R264" s="28">
        <v>5</v>
      </c>
      <c r="S264" s="28">
        <v>3</v>
      </c>
      <c r="T264" s="28">
        <v>0</v>
      </c>
      <c r="U264" s="28">
        <v>0</v>
      </c>
      <c r="V264" s="28">
        <v>20</v>
      </c>
      <c r="W264" s="28">
        <v>31</v>
      </c>
      <c r="X264" s="28">
        <v>0</v>
      </c>
      <c r="Y264" s="28">
        <v>0</v>
      </c>
      <c r="Z264" s="30">
        <v>0</v>
      </c>
      <c r="AA264" s="30">
        <v>0</v>
      </c>
      <c r="AB264" s="30">
        <v>0</v>
      </c>
      <c r="AC264" s="30">
        <v>0</v>
      </c>
      <c r="AD264" s="30">
        <v>0</v>
      </c>
      <c r="AE264" s="30">
        <v>0</v>
      </c>
      <c r="AF264" s="198">
        <v>0</v>
      </c>
      <c r="AG264" s="206">
        <v>0</v>
      </c>
      <c r="AH264" s="28">
        <v>0</v>
      </c>
      <c r="AI264" s="28">
        <v>0</v>
      </c>
      <c r="AJ264" s="28">
        <v>0</v>
      </c>
      <c r="AK264" s="28">
        <v>0</v>
      </c>
      <c r="AL264" s="202"/>
      <c r="AM264" s="197"/>
      <c r="AN264" s="28">
        <v>25</v>
      </c>
      <c r="AO264" s="28">
        <v>11</v>
      </c>
      <c r="AP264" s="28">
        <v>0</v>
      </c>
      <c r="AQ264" s="87"/>
      <c r="AR264" s="28">
        <v>0</v>
      </c>
      <c r="AS264" s="28">
        <v>0</v>
      </c>
    </row>
    <row r="265" ht="58.5" customHeight="1" hidden="1">
      <c r="A265" t="s" s="130">
        <v>1148</v>
      </c>
      <c r="B265" t="s" s="52">
        <v>279</v>
      </c>
      <c r="C265" t="s" s="130">
        <v>1149</v>
      </c>
      <c r="D265" t="s" s="209">
        <v>791</v>
      </c>
      <c r="E265" t="s" s="217">
        <v>1150</v>
      </c>
      <c r="F265" t="s" s="210">
        <v>714</v>
      </c>
      <c r="G265" s="211"/>
      <c r="H265" s="42">
        <f>SUM(J265,N265)</f>
        <v>0</v>
      </c>
      <c r="I265" s="207">
        <f>SUM(Q265,S265,U265,W265,Y265,AA265,AC265,AE265,AG265,AI265,AK265,AM265,AO265,AQ265,AS265)</f>
        <v>0</v>
      </c>
      <c r="J265" s="43">
        <f>SUM(P265,R265,T265,V265,X265,Z265,AB265,AD265,AF265,AH265,AJ265,AL265,AN265,AP265,AR265)</f>
        <v>0</v>
      </c>
      <c r="K265" s="44"/>
      <c r="L265" s="6"/>
      <c r="M265" s="6"/>
      <c r="N265" s="14"/>
      <c r="O265" s="122"/>
      <c r="P265" s="46"/>
      <c r="Q265" s="27">
        <v>0</v>
      </c>
      <c r="R265" s="51">
        <v>0</v>
      </c>
      <c r="S265" s="51">
        <v>0</v>
      </c>
      <c r="T265" s="51">
        <v>0</v>
      </c>
      <c r="U265" s="51">
        <v>0</v>
      </c>
      <c r="V265" s="51">
        <v>0</v>
      </c>
      <c r="W265" s="51">
        <v>0</v>
      </c>
      <c r="X265" s="51">
        <v>0</v>
      </c>
      <c r="Y265" s="51">
        <v>0</v>
      </c>
      <c r="Z265" s="48">
        <v>0</v>
      </c>
      <c r="AA265" s="48">
        <v>0</v>
      </c>
      <c r="AB265" s="48">
        <v>0</v>
      </c>
      <c r="AC265" s="48">
        <v>0</v>
      </c>
      <c r="AD265" s="55">
        <v>0</v>
      </c>
      <c r="AE265" s="213">
        <v>0</v>
      </c>
      <c r="AF265" s="212">
        <v>0</v>
      </c>
      <c r="AG265" s="121">
        <v>0</v>
      </c>
      <c r="AH265" s="51">
        <v>0</v>
      </c>
      <c r="AI265" s="51">
        <v>0</v>
      </c>
      <c r="AJ265" s="51">
        <v>0</v>
      </c>
      <c r="AK265" s="51">
        <v>0</v>
      </c>
      <c r="AL265" s="14"/>
      <c r="AM265" s="122"/>
      <c r="AN265" s="51">
        <v>0</v>
      </c>
      <c r="AO265" s="51">
        <v>0</v>
      </c>
      <c r="AP265" s="51">
        <v>0</v>
      </c>
      <c r="AQ265" s="47"/>
      <c r="AR265" s="51">
        <v>0</v>
      </c>
      <c r="AS265" s="51">
        <v>0</v>
      </c>
    </row>
    <row r="266" ht="97.5" customHeight="1" hidden="1">
      <c r="A266" t="s" s="220">
        <v>1151</v>
      </c>
      <c r="B266" t="s" s="52">
        <v>280</v>
      </c>
      <c r="C266" t="s" s="130">
        <v>765</v>
      </c>
      <c r="D266" t="s" s="209">
        <v>713</v>
      </c>
      <c r="E266" t="s" s="217">
        <v>1152</v>
      </c>
      <c r="F266" t="s" s="210">
        <v>714</v>
      </c>
      <c r="G266" s="211"/>
      <c r="H266" s="42">
        <f>SUM(J266,N266)</f>
        <v>0</v>
      </c>
      <c r="I266" s="207">
        <f>SUM(Q266,S266,U266,W266,Y266,AA266,AC266,AE266,AG266,AI266,AK266,AM266,AO266,AQ266,AS266)</f>
        <v>0</v>
      </c>
      <c r="J266" s="43">
        <f>SUM(P266,R266,T266,V266,X266,Z266,AB266,AD266,AF266,AH266,AJ266,AL266,AN266,AP266,AR266)</f>
        <v>0</v>
      </c>
      <c r="K266" s="44"/>
      <c r="L266" s="6"/>
      <c r="M266" s="6"/>
      <c r="N266" s="14"/>
      <c r="O266" s="122"/>
      <c r="P266" s="46"/>
      <c r="Q266" s="27">
        <v>0</v>
      </c>
      <c r="R266" s="51">
        <v>0</v>
      </c>
      <c r="S266" s="51">
        <v>0</v>
      </c>
      <c r="T266" s="51">
        <v>0</v>
      </c>
      <c r="U266" s="51">
        <v>0</v>
      </c>
      <c r="V266" s="51">
        <v>0</v>
      </c>
      <c r="W266" s="51">
        <v>0</v>
      </c>
      <c r="X266" s="51">
        <v>0</v>
      </c>
      <c r="Y266" s="51">
        <v>0</v>
      </c>
      <c r="Z266" s="48">
        <v>0</v>
      </c>
      <c r="AA266" s="48">
        <v>0</v>
      </c>
      <c r="AB266" s="48">
        <v>0</v>
      </c>
      <c r="AC266" s="48">
        <v>0</v>
      </c>
      <c r="AD266" s="55">
        <v>0</v>
      </c>
      <c r="AE266" s="213">
        <v>0</v>
      </c>
      <c r="AF266" s="212">
        <v>0</v>
      </c>
      <c r="AG266" s="121">
        <v>0</v>
      </c>
      <c r="AH266" s="51">
        <v>0</v>
      </c>
      <c r="AI266" s="51">
        <v>0</v>
      </c>
      <c r="AJ266" s="51">
        <v>0</v>
      </c>
      <c r="AK266" s="51">
        <v>0</v>
      </c>
      <c r="AL266" s="14"/>
      <c r="AM266" s="122"/>
      <c r="AN266" s="51">
        <v>0</v>
      </c>
      <c r="AO266" s="51">
        <v>0</v>
      </c>
      <c r="AP266" s="51">
        <v>0</v>
      </c>
      <c r="AQ266" s="47"/>
      <c r="AR266" s="51">
        <v>0</v>
      </c>
      <c r="AS266" s="51">
        <v>0</v>
      </c>
    </row>
    <row r="267" ht="19.5" customHeight="1" hidden="1">
      <c r="A267" t="s" s="88">
        <v>1153</v>
      </c>
      <c r="B267" t="s" s="67">
        <v>281</v>
      </c>
      <c r="C267" s="228"/>
      <c r="D267" s="228"/>
      <c r="E267" s="189"/>
      <c r="F267" s="182">
        <v>0</v>
      </c>
      <c r="G267" s="183"/>
      <c r="H267" s="42">
        <f>SUM(J267,N267)</f>
        <v>0</v>
      </c>
      <c r="I267" s="207">
        <f>SUM(Q267,S267,U267,W267,Y267,AA267,AC267,AE267,AG267,AI267,AK267,AM267,AO267,AQ267,AS267)</f>
        <v>0</v>
      </c>
      <c r="J267" s="43">
        <f>SUM(P267,R267,T267,V267,X267,Z267,AB267,AD267,AF267,AH267,AJ267,AL267,AN267,AP267,AR267)</f>
        <v>0</v>
      </c>
      <c r="K267" s="44"/>
      <c r="L267" s="6"/>
      <c r="M267" s="6"/>
      <c r="N267" s="14"/>
      <c r="O267" s="122"/>
      <c r="P267" s="46"/>
      <c r="Q267" s="46"/>
      <c r="R267" s="47"/>
      <c r="S267" s="47"/>
      <c r="T267" s="47"/>
      <c r="U267" s="47"/>
      <c r="V267" s="47"/>
      <c r="W267" s="47"/>
      <c r="X267" s="47"/>
      <c r="Y267" s="47"/>
      <c r="Z267" s="48">
        <v>0</v>
      </c>
      <c r="AA267" s="48">
        <v>0</v>
      </c>
      <c r="AB267" s="49"/>
      <c r="AC267" s="49"/>
      <c r="AD267" s="50"/>
      <c r="AE267" s="50"/>
      <c r="AF267" s="14"/>
      <c r="AG267" s="122"/>
      <c r="AH267" s="51">
        <v>0</v>
      </c>
      <c r="AI267" s="51">
        <v>0</v>
      </c>
      <c r="AJ267" s="47"/>
      <c r="AK267" s="47"/>
      <c r="AL267" s="14"/>
      <c r="AM267" s="122"/>
      <c r="AN267" s="47"/>
      <c r="AO267" s="47"/>
      <c r="AP267" s="47"/>
      <c r="AQ267" s="47"/>
      <c r="AR267" s="51">
        <v>0</v>
      </c>
      <c r="AS267" s="51">
        <v>0</v>
      </c>
    </row>
    <row r="268" ht="31.5" customHeight="1" hidden="1">
      <c r="A268" t="s" s="103">
        <v>1154</v>
      </c>
      <c r="B268" t="s" s="10">
        <v>282</v>
      </c>
      <c r="C268" t="s" s="103">
        <v>790</v>
      </c>
      <c r="D268" t="s" s="66">
        <v>791</v>
      </c>
      <c r="E268" s="181"/>
      <c r="F268" t="s" s="101">
        <v>720</v>
      </c>
      <c r="G268" s="203"/>
      <c r="H268" s="204">
        <f>SUM(J268,N268)</f>
        <v>69260</v>
      </c>
      <c r="I268" s="205">
        <f>SUM(Q268,S268,U268,W268,Y268,AA268,AC268,AE268,AG268,AI268,AK268,AM268,AO268,AQ268,AS268)</f>
        <v>31115</v>
      </c>
      <c r="J268" s="35">
        <f>SUM(P268,R268,T268,V268,X268,Z268,AB268,AD268,AF268,AH268,AJ268,AL268,AN268,AP268,AR268)</f>
        <v>69260</v>
      </c>
      <c r="K268" s="36"/>
      <c r="L268" s="196"/>
      <c r="M268" s="196"/>
      <c r="N268" s="196"/>
      <c r="O268" s="197"/>
      <c r="P268" s="27">
        <v>200</v>
      </c>
      <c r="Q268" s="27">
        <v>0</v>
      </c>
      <c r="R268" s="38">
        <v>2500</v>
      </c>
      <c r="S268" s="38">
        <v>2300</v>
      </c>
      <c r="T268" s="38">
        <v>2500</v>
      </c>
      <c r="U268" s="38">
        <v>400</v>
      </c>
      <c r="V268" s="38">
        <v>300</v>
      </c>
      <c r="W268" s="38">
        <v>635</v>
      </c>
      <c r="X268" s="38">
        <v>5000</v>
      </c>
      <c r="Y268" s="38">
        <v>1500</v>
      </c>
      <c r="Z268" s="40">
        <v>11500</v>
      </c>
      <c r="AA268" s="40">
        <v>0</v>
      </c>
      <c r="AB268" s="40">
        <v>12330</v>
      </c>
      <c r="AC268" s="40">
        <v>7304</v>
      </c>
      <c r="AD268" s="40">
        <v>13490</v>
      </c>
      <c r="AE268" s="40">
        <v>7599</v>
      </c>
      <c r="AF268" s="198">
        <v>7500</v>
      </c>
      <c r="AG268" s="206">
        <v>4770</v>
      </c>
      <c r="AH268" s="38">
        <v>13940</v>
      </c>
      <c r="AI268" s="38">
        <v>6607</v>
      </c>
      <c r="AJ268" s="38">
        <v>0</v>
      </c>
      <c r="AK268" s="38">
        <v>0</v>
      </c>
      <c r="AL268" s="202"/>
      <c r="AM268" s="197"/>
      <c r="AN268" s="38">
        <v>0</v>
      </c>
      <c r="AO268" s="38">
        <v>0</v>
      </c>
      <c r="AP268" s="38">
        <v>0</v>
      </c>
      <c r="AQ268" s="80"/>
      <c r="AR268" s="38">
        <v>0</v>
      </c>
      <c r="AS268" s="38">
        <v>0</v>
      </c>
    </row>
    <row r="269" ht="31.5" customHeight="1" hidden="1">
      <c r="A269" t="s" s="59">
        <v>1155</v>
      </c>
      <c r="B269" t="s" s="21">
        <v>283</v>
      </c>
      <c r="C269" t="s" s="59">
        <v>765</v>
      </c>
      <c r="D269" t="s" s="190">
        <v>713</v>
      </c>
      <c r="E269" s="191"/>
      <c r="F269" t="s" s="192">
        <v>720</v>
      </c>
      <c r="G269" s="193"/>
      <c r="H269" s="194">
        <f>SUM(J269,N269)</f>
        <v>112848</v>
      </c>
      <c r="I269" s="195">
        <f>SUM(Q269,S269,U269,W269,Y269,AA269,AC269,AE269,AG269,AI269,AK269,AM269,AO269,AQ269,AS269)</f>
        <v>67329</v>
      </c>
      <c r="J269" s="23">
        <f>SUM(P269,R269,T269,V269,X269,Z269,AB269,AD269,AF269,AH269,AJ269,AL269,AN269,AP269,AR269)</f>
        <v>112848</v>
      </c>
      <c r="K269" s="36"/>
      <c r="L269" s="196"/>
      <c r="M269" s="196"/>
      <c r="N269" s="196"/>
      <c r="O269" s="197"/>
      <c r="P269" s="27">
        <v>1000</v>
      </c>
      <c r="Q269" s="27">
        <v>480</v>
      </c>
      <c r="R269" s="28">
        <v>0</v>
      </c>
      <c r="S269" s="28">
        <v>0</v>
      </c>
      <c r="T269" s="28">
        <v>3000</v>
      </c>
      <c r="U269" s="28">
        <v>2000</v>
      </c>
      <c r="V269" s="28">
        <v>500</v>
      </c>
      <c r="W269" s="28">
        <v>330</v>
      </c>
      <c r="X269" s="28">
        <v>100</v>
      </c>
      <c r="Y269" s="28">
        <v>0</v>
      </c>
      <c r="Z269" s="30">
        <v>52500</v>
      </c>
      <c r="AA269" s="30">
        <v>33600</v>
      </c>
      <c r="AB269" s="30">
        <v>13390</v>
      </c>
      <c r="AC269" s="30">
        <v>6962</v>
      </c>
      <c r="AD269" s="30">
        <v>21158</v>
      </c>
      <c r="AE269" s="30">
        <v>13642</v>
      </c>
      <c r="AF269" s="198">
        <v>8500</v>
      </c>
      <c r="AG269" s="206">
        <v>4300</v>
      </c>
      <c r="AH269" s="28">
        <v>12700</v>
      </c>
      <c r="AI269" s="28">
        <v>6015</v>
      </c>
      <c r="AJ269" s="28">
        <v>0</v>
      </c>
      <c r="AK269" s="28">
        <v>0</v>
      </c>
      <c r="AL269" s="202"/>
      <c r="AM269" s="197"/>
      <c r="AN269" s="28">
        <v>0</v>
      </c>
      <c r="AO269" s="28">
        <v>0</v>
      </c>
      <c r="AP269" s="28">
        <v>0</v>
      </c>
      <c r="AQ269" s="87"/>
      <c r="AR269" s="28">
        <v>0</v>
      </c>
      <c r="AS269" s="28">
        <v>0</v>
      </c>
    </row>
    <row r="270" ht="58.5" customHeight="1" hidden="1">
      <c r="A270" t="s" s="130">
        <v>1156</v>
      </c>
      <c r="B270" t="s" s="52">
        <v>284</v>
      </c>
      <c r="C270" t="s" s="130">
        <v>765</v>
      </c>
      <c r="D270" t="s" s="209">
        <v>713</v>
      </c>
      <c r="E270" t="s" s="217">
        <v>1157</v>
      </c>
      <c r="F270" t="s" s="210">
        <v>714</v>
      </c>
      <c r="G270" s="211"/>
      <c r="H270" s="42">
        <f>SUM(J270,N270)</f>
        <v>3400</v>
      </c>
      <c r="I270" s="207">
        <f>SUM(Q270,S270,U270,W270,Y270,AA270,AC270,AE270,AG270,AI270,AK270,AM270,AO270,AQ270,AS270)</f>
        <v>2750</v>
      </c>
      <c r="J270" s="43">
        <f>SUM(P270,R270,T270,V270,X270,Z270,AB270,AD270,AF270,AH270,AJ270,AL270,AN270,AP270,AR270)</f>
        <v>3400</v>
      </c>
      <c r="K270" s="44"/>
      <c r="L270" s="6"/>
      <c r="M270" s="6"/>
      <c r="N270" s="14"/>
      <c r="O270" s="122"/>
      <c r="P270" s="27">
        <v>0</v>
      </c>
      <c r="Q270" s="27">
        <v>0</v>
      </c>
      <c r="R270" s="51">
        <v>0</v>
      </c>
      <c r="S270" s="51">
        <v>0</v>
      </c>
      <c r="T270" s="51">
        <v>3000</v>
      </c>
      <c r="U270" s="51">
        <v>2000</v>
      </c>
      <c r="V270" s="51">
        <v>400</v>
      </c>
      <c r="W270" s="51">
        <v>750</v>
      </c>
      <c r="X270" s="51">
        <v>0</v>
      </c>
      <c r="Y270" s="51">
        <v>0</v>
      </c>
      <c r="Z270" s="48">
        <v>0</v>
      </c>
      <c r="AA270" s="48">
        <v>0</v>
      </c>
      <c r="AB270" s="48">
        <v>0</v>
      </c>
      <c r="AC270" s="48">
        <v>0</v>
      </c>
      <c r="AD270" s="55">
        <v>0</v>
      </c>
      <c r="AE270" s="213">
        <v>0</v>
      </c>
      <c r="AF270" s="212">
        <v>0</v>
      </c>
      <c r="AG270" s="121">
        <v>0</v>
      </c>
      <c r="AH270" s="51">
        <v>0</v>
      </c>
      <c r="AI270" s="51">
        <v>0</v>
      </c>
      <c r="AJ270" s="51">
        <v>0</v>
      </c>
      <c r="AK270" s="51">
        <v>0</v>
      </c>
      <c r="AL270" s="14"/>
      <c r="AM270" s="122"/>
      <c r="AN270" s="51">
        <v>0</v>
      </c>
      <c r="AO270" s="51">
        <v>0</v>
      </c>
      <c r="AP270" s="51">
        <v>0</v>
      </c>
      <c r="AQ270" s="47"/>
      <c r="AR270" s="51">
        <v>0</v>
      </c>
      <c r="AS270" s="51">
        <v>0</v>
      </c>
    </row>
    <row r="271" ht="39" customHeight="1" hidden="1">
      <c r="A271" t="s" s="130">
        <v>1158</v>
      </c>
      <c r="B271" t="s" s="52">
        <v>285</v>
      </c>
      <c r="C271" t="s" s="130">
        <v>765</v>
      </c>
      <c r="D271" t="s" s="209">
        <v>713</v>
      </c>
      <c r="E271" t="s" s="217">
        <v>1159</v>
      </c>
      <c r="F271" t="s" s="210">
        <v>714</v>
      </c>
      <c r="G271" s="211"/>
      <c r="H271" s="42">
        <f>SUM(J271,N271)</f>
        <v>100</v>
      </c>
      <c r="I271" s="207">
        <f>SUM(Q271,S271,U271,W271,Y271,AA271,AC271,AE271,AG271,AI271,AK271,AM271,AO271,AQ271,AS271)</f>
        <v>0</v>
      </c>
      <c r="J271" s="43">
        <f>SUM(P271,R271,T271,V271,X271,Z271,AB271,AD271,AF271,AH271,AJ271,AL271,AN271,AP271,AR271)</f>
        <v>100</v>
      </c>
      <c r="K271" s="44"/>
      <c r="L271" s="6"/>
      <c r="M271" s="6"/>
      <c r="N271" s="14"/>
      <c r="O271" s="122"/>
      <c r="P271" s="46"/>
      <c r="Q271" s="46"/>
      <c r="R271" s="51">
        <v>0</v>
      </c>
      <c r="S271" s="51">
        <v>0</v>
      </c>
      <c r="T271" s="51">
        <v>100</v>
      </c>
      <c r="U271" s="51">
        <v>0</v>
      </c>
      <c r="V271" s="51">
        <v>0</v>
      </c>
      <c r="W271" s="51">
        <v>0</v>
      </c>
      <c r="X271" s="51">
        <v>0</v>
      </c>
      <c r="Y271" s="51">
        <v>0</v>
      </c>
      <c r="Z271" s="48">
        <v>0</v>
      </c>
      <c r="AA271" s="48">
        <v>0</v>
      </c>
      <c r="AB271" s="48">
        <v>0</v>
      </c>
      <c r="AC271" s="48">
        <v>0</v>
      </c>
      <c r="AD271" s="55">
        <v>0</v>
      </c>
      <c r="AE271" s="213">
        <v>0</v>
      </c>
      <c r="AF271" s="212">
        <v>0</v>
      </c>
      <c r="AG271" s="121">
        <v>0</v>
      </c>
      <c r="AH271" s="51">
        <v>0</v>
      </c>
      <c r="AI271" s="51">
        <v>0</v>
      </c>
      <c r="AJ271" s="51">
        <v>0</v>
      </c>
      <c r="AK271" s="51">
        <v>0</v>
      </c>
      <c r="AL271" s="14"/>
      <c r="AM271" s="122"/>
      <c r="AN271" s="51">
        <v>0</v>
      </c>
      <c r="AO271" s="51">
        <v>0</v>
      </c>
      <c r="AP271" s="51">
        <v>0</v>
      </c>
      <c r="AQ271" s="47"/>
      <c r="AR271" s="51">
        <v>0</v>
      </c>
      <c r="AS271" s="51">
        <v>0</v>
      </c>
    </row>
    <row r="272" ht="31.5" customHeight="1" hidden="1">
      <c r="A272" s="227">
        <v>6</v>
      </c>
      <c r="B272" t="s" s="10">
        <v>286</v>
      </c>
      <c r="C272" s="180"/>
      <c r="D272" s="180"/>
      <c r="E272" s="189"/>
      <c r="F272" s="182">
        <v>0</v>
      </c>
      <c r="G272" s="183"/>
      <c r="H272" s="42">
        <f>SUM(J272,N272)</f>
        <v>0</v>
      </c>
      <c r="I272" s="207">
        <f>SUM(Q272,S272,U272,W272,Y272,AA272,AC272,AE272,AG272,AI272,AK272,AM272,AO272,AQ272,AS272)</f>
        <v>0</v>
      </c>
      <c r="J272" s="43">
        <f>SUM(P272,R272,T272,V272,X272,Z272,AB272,AD272,AF272,AH272,AJ272,AL272,AN272,AP272,AR272)</f>
        <v>0</v>
      </c>
      <c r="K272" s="44"/>
      <c r="L272" s="6"/>
      <c r="M272" s="6"/>
      <c r="N272" s="14"/>
      <c r="O272" s="122"/>
      <c r="P272" s="46"/>
      <c r="Q272" s="46"/>
      <c r="R272" s="47"/>
      <c r="S272" s="47"/>
      <c r="T272" s="47"/>
      <c r="U272" s="47"/>
      <c r="V272" s="47"/>
      <c r="W272" s="47"/>
      <c r="X272" s="47"/>
      <c r="Y272" s="47"/>
      <c r="Z272" s="48">
        <v>0</v>
      </c>
      <c r="AA272" s="48">
        <v>0</v>
      </c>
      <c r="AB272" s="49"/>
      <c r="AC272" s="49"/>
      <c r="AD272" s="50"/>
      <c r="AE272" s="50"/>
      <c r="AF272" s="14"/>
      <c r="AG272" s="122"/>
      <c r="AH272" s="51">
        <v>0</v>
      </c>
      <c r="AI272" s="51">
        <v>0</v>
      </c>
      <c r="AJ272" s="47"/>
      <c r="AK272" s="47"/>
      <c r="AL272" s="14"/>
      <c r="AM272" s="122"/>
      <c r="AN272" s="47"/>
      <c r="AO272" s="47"/>
      <c r="AP272" s="47"/>
      <c r="AQ272" s="47"/>
      <c r="AR272" s="51">
        <v>0</v>
      </c>
      <c r="AS272" s="51">
        <v>0</v>
      </c>
    </row>
    <row r="273" ht="19.5" customHeight="1" hidden="1">
      <c r="A273" t="s" s="88">
        <v>1160</v>
      </c>
      <c r="B273" t="s" s="67">
        <v>287</v>
      </c>
      <c r="C273" s="228"/>
      <c r="D273" s="228"/>
      <c r="E273" s="189"/>
      <c r="F273" s="182">
        <v>0</v>
      </c>
      <c r="G273" s="183"/>
      <c r="H273" s="42">
        <f>SUM(J273,N273)</f>
        <v>0</v>
      </c>
      <c r="I273" s="207">
        <f>SUM(Q273,S273,U273,W273,Y273,AA273,AC273,AE273,AG273,AI273,AK273,AM273,AO273,AQ273,AS273)</f>
        <v>0</v>
      </c>
      <c r="J273" s="43">
        <f>SUM(P273,R273,T273,V273,X273,Z273,AB273,AD273,AF273,AH273,AJ273,AL273,AN273,AP273,AR273)</f>
        <v>0</v>
      </c>
      <c r="K273" s="44"/>
      <c r="L273" s="6"/>
      <c r="M273" s="6"/>
      <c r="N273" s="14"/>
      <c r="O273" s="122"/>
      <c r="P273" s="46"/>
      <c r="Q273" s="46"/>
      <c r="R273" s="47"/>
      <c r="S273" s="47"/>
      <c r="T273" s="47"/>
      <c r="U273" s="47"/>
      <c r="V273" s="47"/>
      <c r="W273" s="47"/>
      <c r="X273" s="47"/>
      <c r="Y273" s="47"/>
      <c r="Z273" s="48">
        <v>0</v>
      </c>
      <c r="AA273" s="48">
        <v>0</v>
      </c>
      <c r="AB273" s="49"/>
      <c r="AC273" s="49"/>
      <c r="AD273" s="50"/>
      <c r="AE273" s="50"/>
      <c r="AF273" s="14"/>
      <c r="AG273" s="122"/>
      <c r="AH273" s="51">
        <v>0</v>
      </c>
      <c r="AI273" s="51">
        <v>0</v>
      </c>
      <c r="AJ273" s="47"/>
      <c r="AK273" s="47"/>
      <c r="AL273" s="14"/>
      <c r="AM273" s="122"/>
      <c r="AN273" s="47"/>
      <c r="AO273" s="47"/>
      <c r="AP273" s="47"/>
      <c r="AQ273" s="47"/>
      <c r="AR273" s="51">
        <v>0</v>
      </c>
      <c r="AS273" s="51">
        <v>0</v>
      </c>
    </row>
    <row r="274" ht="31.5" customHeight="1" hidden="1">
      <c r="A274" t="s" s="88">
        <v>1161</v>
      </c>
      <c r="B274" t="s" s="67">
        <v>288</v>
      </c>
      <c r="C274" s="228"/>
      <c r="D274" s="228"/>
      <c r="E274" s="189"/>
      <c r="F274" s="182">
        <v>0</v>
      </c>
      <c r="G274" s="183"/>
      <c r="H274" s="42">
        <f>SUM(J274,N274)</f>
        <v>0</v>
      </c>
      <c r="I274" s="207">
        <f>SUM(Q274,S274,U274,W274,Y274,AA274,AC274,AE274,AG274,AI274,AK274,AM274,AO274,AQ274,AS274)</f>
        <v>0</v>
      </c>
      <c r="J274" s="43">
        <f>SUM(P274,R274,T274,V274,X274,Z274,AB274,AD274,AF274,AH274,AJ274,AL274,AN274,AP274,AR274)</f>
        <v>0</v>
      </c>
      <c r="K274" s="44"/>
      <c r="L274" s="6"/>
      <c r="M274" s="6"/>
      <c r="N274" s="14"/>
      <c r="O274" s="122"/>
      <c r="P274" s="46"/>
      <c r="Q274" s="46"/>
      <c r="R274" s="47"/>
      <c r="S274" s="47"/>
      <c r="T274" s="47"/>
      <c r="U274" s="47"/>
      <c r="V274" s="47"/>
      <c r="W274" s="47"/>
      <c r="X274" s="47"/>
      <c r="Y274" s="47"/>
      <c r="Z274" s="48">
        <v>0</v>
      </c>
      <c r="AA274" s="48">
        <v>0</v>
      </c>
      <c r="AB274" s="49"/>
      <c r="AC274" s="49"/>
      <c r="AD274" s="50"/>
      <c r="AE274" s="50"/>
      <c r="AF274" s="14"/>
      <c r="AG274" s="122"/>
      <c r="AH274" s="51">
        <v>0</v>
      </c>
      <c r="AI274" s="51">
        <v>0</v>
      </c>
      <c r="AJ274" s="47"/>
      <c r="AK274" s="47"/>
      <c r="AL274" s="14"/>
      <c r="AM274" s="122"/>
      <c r="AN274" s="47"/>
      <c r="AO274" s="47"/>
      <c r="AP274" s="47"/>
      <c r="AQ274" s="47"/>
      <c r="AR274" s="51">
        <v>0</v>
      </c>
      <c r="AS274" s="51">
        <v>0</v>
      </c>
    </row>
    <row r="275" ht="253.5" customHeight="1" hidden="1">
      <c r="A275" t="s" s="59">
        <v>1162</v>
      </c>
      <c r="B275" t="s" s="59">
        <v>289</v>
      </c>
      <c r="C275" t="s" s="59">
        <v>800</v>
      </c>
      <c r="D275" t="s" s="190">
        <v>717</v>
      </c>
      <c r="E275" t="s" s="216">
        <v>1163</v>
      </c>
      <c r="F275" t="s" s="192">
        <v>714</v>
      </c>
      <c r="G275" s="193"/>
      <c r="H275" s="194">
        <f>SUM(J275,N275)</f>
        <v>6515</v>
      </c>
      <c r="I275" s="195">
        <f>SUM(Q275,S275,U275,W275,Y275,AA275,AC275,AE275,AG275,AI275,AK275,AM275,AO275,AQ275,AS275)</f>
        <v>5343</v>
      </c>
      <c r="J275" s="23">
        <f>SUM(P275,R275,T275,V275,X275,Z275,AB275,AD275,AF275,AH275,AJ275,AL275,AN275,AP275,AR275)</f>
        <v>6515</v>
      </c>
      <c r="K275" s="36"/>
      <c r="L275" s="196"/>
      <c r="M275" s="196"/>
      <c r="N275" s="196"/>
      <c r="O275" s="197"/>
      <c r="P275" s="27">
        <v>500</v>
      </c>
      <c r="Q275" s="27">
        <v>470</v>
      </c>
      <c r="R275" s="28">
        <v>25</v>
      </c>
      <c r="S275" s="28">
        <v>31</v>
      </c>
      <c r="T275" s="28">
        <v>1300</v>
      </c>
      <c r="U275" s="28">
        <v>1156</v>
      </c>
      <c r="V275" s="28">
        <v>1500</v>
      </c>
      <c r="W275" s="28">
        <v>1808</v>
      </c>
      <c r="X275" s="28">
        <v>500</v>
      </c>
      <c r="Y275" s="28">
        <v>470</v>
      </c>
      <c r="Z275" s="30">
        <v>0</v>
      </c>
      <c r="AA275" s="30">
        <v>0</v>
      </c>
      <c r="AB275" s="30">
        <v>0</v>
      </c>
      <c r="AC275" s="30">
        <v>0</v>
      </c>
      <c r="AD275" s="30">
        <v>0</v>
      </c>
      <c r="AE275" s="30">
        <v>0</v>
      </c>
      <c r="AF275" s="198">
        <v>0</v>
      </c>
      <c r="AG275" s="206">
        <v>0</v>
      </c>
      <c r="AH275" s="28">
        <v>0</v>
      </c>
      <c r="AI275" s="28">
        <v>0</v>
      </c>
      <c r="AJ275" s="28">
        <v>2690</v>
      </c>
      <c r="AK275" s="28">
        <v>1408</v>
      </c>
      <c r="AL275" s="202"/>
      <c r="AM275" s="197"/>
      <c r="AN275" s="28">
        <v>0</v>
      </c>
      <c r="AO275" s="28">
        <v>0</v>
      </c>
      <c r="AP275" s="28">
        <v>0</v>
      </c>
      <c r="AQ275" s="87"/>
      <c r="AR275" s="28">
        <v>0</v>
      </c>
      <c r="AS275" s="28">
        <v>0</v>
      </c>
    </row>
    <row r="276" ht="390" customHeight="1" hidden="1">
      <c r="A276" t="s" s="103">
        <v>1164</v>
      </c>
      <c r="B276" t="s" s="10">
        <v>290</v>
      </c>
      <c r="C276" t="s" s="103">
        <v>800</v>
      </c>
      <c r="D276" t="s" s="66">
        <v>717</v>
      </c>
      <c r="E276" t="s" s="219">
        <v>1165</v>
      </c>
      <c r="F276" t="s" s="101">
        <v>714</v>
      </c>
      <c r="G276" s="203"/>
      <c r="H276" s="204">
        <f>SUM(J276,N276)</f>
        <v>13644</v>
      </c>
      <c r="I276" s="205">
        <f>SUM(Q276,S276,U276,W276,Y276,AA276,AC276,AE276,AG276,AI276,AK276,AM276,AO276,AQ276,AS276)</f>
        <v>9635</v>
      </c>
      <c r="J276" s="35">
        <f>SUM(P276,R276,T276,V276,X276,Z276,AB276,AD276,AF276,AH276,AJ276,AL276,AN276,AP276,AR276)</f>
        <v>13624</v>
      </c>
      <c r="K276" s="36"/>
      <c r="L276" s="196"/>
      <c r="M276" s="196"/>
      <c r="N276" s="199">
        <v>20</v>
      </c>
      <c r="O276" s="197"/>
      <c r="P276" s="27">
        <v>3000</v>
      </c>
      <c r="Q276" s="27">
        <v>1160</v>
      </c>
      <c r="R276" s="38">
        <v>5</v>
      </c>
      <c r="S276" s="38">
        <v>7</v>
      </c>
      <c r="T276" s="38">
        <v>2500</v>
      </c>
      <c r="U276" s="38">
        <v>1495</v>
      </c>
      <c r="V276" s="38">
        <v>1800</v>
      </c>
      <c r="W276" s="38">
        <v>2925</v>
      </c>
      <c r="X276" s="38">
        <v>300</v>
      </c>
      <c r="Y276" s="38">
        <v>287</v>
      </c>
      <c r="Z276" s="40">
        <v>0</v>
      </c>
      <c r="AA276" s="40">
        <v>0</v>
      </c>
      <c r="AB276" s="40">
        <v>0</v>
      </c>
      <c r="AC276" s="40">
        <v>0</v>
      </c>
      <c r="AD276" s="40">
        <v>0</v>
      </c>
      <c r="AE276" s="40">
        <v>0</v>
      </c>
      <c r="AF276" s="198">
        <v>0</v>
      </c>
      <c r="AG276" s="206">
        <v>0</v>
      </c>
      <c r="AH276" s="38">
        <v>0</v>
      </c>
      <c r="AI276" s="38">
        <v>0</v>
      </c>
      <c r="AJ276" s="38">
        <v>6019</v>
      </c>
      <c r="AK276" s="38">
        <v>3761</v>
      </c>
      <c r="AL276" s="202"/>
      <c r="AM276" s="197"/>
      <c r="AN276" s="38">
        <v>0</v>
      </c>
      <c r="AO276" s="38">
        <v>0</v>
      </c>
      <c r="AP276" s="38">
        <v>0</v>
      </c>
      <c r="AQ276" s="80"/>
      <c r="AR276" s="38">
        <v>0</v>
      </c>
      <c r="AS276" s="38">
        <v>0</v>
      </c>
    </row>
    <row r="277" ht="234" customHeight="1" hidden="1">
      <c r="A277" t="s" s="103">
        <v>1166</v>
      </c>
      <c r="B277" t="s" s="10">
        <v>291</v>
      </c>
      <c r="C277" t="s" s="103">
        <v>800</v>
      </c>
      <c r="D277" t="s" s="66">
        <v>717</v>
      </c>
      <c r="E277" t="s" s="129">
        <v>1167</v>
      </c>
      <c r="F277" t="s" s="101">
        <v>714</v>
      </c>
      <c r="G277" s="203"/>
      <c r="H277" s="204">
        <f>SUM(J277,N277)</f>
        <v>16242</v>
      </c>
      <c r="I277" s="205">
        <f>SUM(Q277,S277,U277,W277,Y277,AA277,AC277,AE277,AG277,AI277,AK277,AM277,AO277,AQ277,AS277)</f>
        <v>13492</v>
      </c>
      <c r="J277" s="35">
        <f>SUM(P277,R277,T277,V277,X277,Z277,AB277,AD277,AF277,AH277,AJ277,AL277,AN277,AP277,AR277)</f>
        <v>16232</v>
      </c>
      <c r="K277" s="36"/>
      <c r="L277" s="196"/>
      <c r="M277" s="196"/>
      <c r="N277" s="199">
        <v>10</v>
      </c>
      <c r="O277" s="197"/>
      <c r="P277" s="27">
        <v>3000</v>
      </c>
      <c r="Q277" s="27">
        <v>1183</v>
      </c>
      <c r="R277" s="38">
        <v>25</v>
      </c>
      <c r="S277" s="38">
        <v>23</v>
      </c>
      <c r="T277" s="38">
        <v>5000</v>
      </c>
      <c r="U277" s="38">
        <v>4469</v>
      </c>
      <c r="V277" s="38">
        <v>1200</v>
      </c>
      <c r="W277" s="38">
        <v>950</v>
      </c>
      <c r="X277" s="38">
        <v>1800</v>
      </c>
      <c r="Y277" s="38">
        <v>1660</v>
      </c>
      <c r="Z277" s="40">
        <v>0</v>
      </c>
      <c r="AA277" s="40">
        <v>0</v>
      </c>
      <c r="AB277" s="40">
        <v>0</v>
      </c>
      <c r="AC277" s="40">
        <v>0</v>
      </c>
      <c r="AD277" s="40">
        <v>0</v>
      </c>
      <c r="AE277" s="40">
        <v>0</v>
      </c>
      <c r="AF277" s="198">
        <v>0</v>
      </c>
      <c r="AG277" s="206">
        <v>0</v>
      </c>
      <c r="AH277" s="38">
        <v>0</v>
      </c>
      <c r="AI277" s="38">
        <v>0</v>
      </c>
      <c r="AJ277" s="38">
        <v>5207</v>
      </c>
      <c r="AK277" s="38">
        <v>5207</v>
      </c>
      <c r="AL277" s="202"/>
      <c r="AM277" s="197"/>
      <c r="AN277" s="38">
        <v>0</v>
      </c>
      <c r="AO277" s="38">
        <v>0</v>
      </c>
      <c r="AP277" s="38">
        <v>0</v>
      </c>
      <c r="AQ277" s="80"/>
      <c r="AR277" s="38">
        <v>0</v>
      </c>
      <c r="AS277" s="38">
        <v>0</v>
      </c>
    </row>
    <row r="278" ht="141.75" customHeight="1" hidden="1">
      <c r="A278" t="s" s="255">
        <v>1168</v>
      </c>
      <c r="B278" t="s" s="94">
        <v>292</v>
      </c>
      <c r="C278" t="s" s="260">
        <v>1169</v>
      </c>
      <c r="D278" t="s" s="261">
        <v>717</v>
      </c>
      <c r="E278" t="s" s="257">
        <v>1170</v>
      </c>
      <c r="F278" t="s" s="258">
        <v>714</v>
      </c>
      <c r="G278" s="96"/>
      <c r="H278" s="42">
        <f>SUM(J278,N278)</f>
        <v>12500</v>
      </c>
      <c r="I278" s="259">
        <f>SUM(Q278,S278,U278,W278,Y278,AA278,AC278,AE278,AG278,AI278,AK278,AM278,AO278,AQ278,AS278)</f>
        <v>0</v>
      </c>
      <c r="J278" s="91">
        <f>SUM(P278,R278,T278,V278,X278,Z278,AB278,AD278,AF278,AH278,AJ278,AL278,AN278,AP278,AR278)</f>
        <v>12500</v>
      </c>
      <c r="K278" s="36"/>
      <c r="L278" s="196"/>
      <c r="M278" s="196"/>
      <c r="N278" s="196"/>
      <c r="O278" s="197"/>
      <c r="P278" s="46"/>
      <c r="Q278" s="27">
        <v>0</v>
      </c>
      <c r="R278" s="92">
        <v>0</v>
      </c>
      <c r="S278" s="92">
        <v>0</v>
      </c>
      <c r="T278" s="92">
        <v>0</v>
      </c>
      <c r="U278" s="92">
        <v>0</v>
      </c>
      <c r="V278" s="92">
        <v>500</v>
      </c>
      <c r="W278" s="92">
        <v>0</v>
      </c>
      <c r="X278" s="92">
        <v>0</v>
      </c>
      <c r="Y278" s="92">
        <v>0</v>
      </c>
      <c r="Z278" s="93">
        <v>0</v>
      </c>
      <c r="AA278" s="93">
        <v>0</v>
      </c>
      <c r="AB278" s="93">
        <v>0</v>
      </c>
      <c r="AC278" s="93">
        <v>0</v>
      </c>
      <c r="AD278" s="93">
        <v>0</v>
      </c>
      <c r="AE278" s="93">
        <v>0</v>
      </c>
      <c r="AF278" s="198">
        <v>0</v>
      </c>
      <c r="AG278" s="206">
        <v>0</v>
      </c>
      <c r="AH278" s="92">
        <v>0</v>
      </c>
      <c r="AI278" s="92">
        <v>0</v>
      </c>
      <c r="AJ278" s="92">
        <v>12000</v>
      </c>
      <c r="AK278" s="92">
        <v>0</v>
      </c>
      <c r="AL278" s="202"/>
      <c r="AM278" s="197"/>
      <c r="AN278" s="92">
        <v>0</v>
      </c>
      <c r="AO278" s="92">
        <v>0</v>
      </c>
      <c r="AP278" s="92">
        <v>0</v>
      </c>
      <c r="AQ278" s="12"/>
      <c r="AR278" s="92">
        <v>0</v>
      </c>
      <c r="AS278" s="92">
        <v>0</v>
      </c>
    </row>
    <row r="279" ht="19.5" customHeight="1" hidden="1">
      <c r="A279" t="s" s="88">
        <v>1171</v>
      </c>
      <c r="B279" t="s" s="67">
        <v>293</v>
      </c>
      <c r="C279" s="228"/>
      <c r="D279" s="228"/>
      <c r="E279" s="189"/>
      <c r="F279" s="189"/>
      <c r="G279" s="183"/>
      <c r="H279" s="96"/>
      <c r="I279" s="13"/>
      <c r="J279" s="97"/>
      <c r="K279" s="44"/>
      <c r="L279" s="6"/>
      <c r="M279" s="6"/>
      <c r="N279" s="14"/>
      <c r="O279" s="122"/>
      <c r="P279" s="46"/>
      <c r="Q279" s="46"/>
      <c r="R279" s="47"/>
      <c r="S279" s="47"/>
      <c r="T279" s="47"/>
      <c r="U279" s="47"/>
      <c r="V279" s="47"/>
      <c r="W279" s="47"/>
      <c r="X279" s="47"/>
      <c r="Y279" s="47"/>
      <c r="Z279" s="48">
        <v>0</v>
      </c>
      <c r="AA279" s="48">
        <v>0</v>
      </c>
      <c r="AB279" s="49"/>
      <c r="AC279" s="49"/>
      <c r="AD279" s="50"/>
      <c r="AE279" s="50"/>
      <c r="AF279" s="14"/>
      <c r="AG279" s="122"/>
      <c r="AH279" s="51">
        <v>0</v>
      </c>
      <c r="AI279" s="51">
        <v>0</v>
      </c>
      <c r="AJ279" s="47"/>
      <c r="AK279" s="47"/>
      <c r="AL279" s="14"/>
      <c r="AM279" s="122"/>
      <c r="AN279" s="47"/>
      <c r="AO279" s="47"/>
      <c r="AP279" s="47"/>
      <c r="AQ279" s="47"/>
      <c r="AR279" s="51">
        <v>0</v>
      </c>
      <c r="AS279" s="51">
        <v>0</v>
      </c>
    </row>
    <row r="280" ht="39" customHeight="1" hidden="1">
      <c r="A280" t="s" s="59">
        <v>1172</v>
      </c>
      <c r="B280" t="s" s="21">
        <v>294</v>
      </c>
      <c r="C280" t="s" s="59">
        <v>765</v>
      </c>
      <c r="D280" t="s" s="190">
        <v>713</v>
      </c>
      <c r="E280" t="s" s="216">
        <v>1173</v>
      </c>
      <c r="F280" t="s" s="192">
        <v>720</v>
      </c>
      <c r="G280" s="193"/>
      <c r="H280" s="194">
        <f>SUM(J280,N280)</f>
        <v>82570</v>
      </c>
      <c r="I280" s="195">
        <f>SUM(Q280,S280,U280,W280,Y280,AA280,AC280,AE280,AG280,AI280,AK280,AM280,AO280,AQ280,AS280)</f>
        <v>43975</v>
      </c>
      <c r="J280" s="23">
        <f>SUM(P280,R280,T280,V280,X280,Z280,AB280,AD280,AF280,AH280,AJ280,AL280,AN280,AP280,AR280)</f>
        <v>82570</v>
      </c>
      <c r="K280" s="36"/>
      <c r="L280" s="196"/>
      <c r="M280" s="196"/>
      <c r="N280" s="196"/>
      <c r="O280" s="197"/>
      <c r="P280" s="27">
        <v>1000</v>
      </c>
      <c r="Q280" s="27">
        <v>255</v>
      </c>
      <c r="R280" s="28">
        <v>0</v>
      </c>
      <c r="S280" s="28">
        <v>0</v>
      </c>
      <c r="T280" s="28">
        <v>15000</v>
      </c>
      <c r="U280" s="28">
        <v>9470</v>
      </c>
      <c r="V280" s="28">
        <v>3000</v>
      </c>
      <c r="W280" s="28">
        <v>6160</v>
      </c>
      <c r="X280" s="28">
        <v>3000</v>
      </c>
      <c r="Y280" s="28">
        <v>4050</v>
      </c>
      <c r="Z280" s="30">
        <v>12400</v>
      </c>
      <c r="AA280" s="30">
        <v>0</v>
      </c>
      <c r="AB280" s="30">
        <v>18120</v>
      </c>
      <c r="AC280" s="30">
        <v>6640</v>
      </c>
      <c r="AD280" s="30">
        <v>14100</v>
      </c>
      <c r="AE280" s="30">
        <v>4210</v>
      </c>
      <c r="AF280" s="198">
        <v>6000</v>
      </c>
      <c r="AG280" s="206">
        <v>0</v>
      </c>
      <c r="AH280" s="28">
        <v>7950</v>
      </c>
      <c r="AI280" s="28">
        <v>2690</v>
      </c>
      <c r="AJ280" s="28">
        <v>2000</v>
      </c>
      <c r="AK280" s="28">
        <v>10500</v>
      </c>
      <c r="AL280" s="202"/>
      <c r="AM280" s="197"/>
      <c r="AN280" s="28">
        <v>0</v>
      </c>
      <c r="AO280" s="28">
        <v>0</v>
      </c>
      <c r="AP280" s="28">
        <v>0</v>
      </c>
      <c r="AQ280" s="87"/>
      <c r="AR280" s="28">
        <v>0</v>
      </c>
      <c r="AS280" s="28">
        <v>0</v>
      </c>
    </row>
    <row r="281" ht="117" customHeight="1" hidden="1">
      <c r="A281" t="s" s="103">
        <v>1174</v>
      </c>
      <c r="B281" t="s" s="10">
        <v>295</v>
      </c>
      <c r="C281" t="s" s="103">
        <v>765</v>
      </c>
      <c r="D281" t="s" s="66">
        <v>713</v>
      </c>
      <c r="E281" t="s" s="219">
        <v>1175</v>
      </c>
      <c r="F281" t="s" s="101">
        <v>714</v>
      </c>
      <c r="G281" s="203"/>
      <c r="H281" s="204">
        <f>SUM(J281,N281)</f>
        <v>141986</v>
      </c>
      <c r="I281" s="205">
        <f>SUM(Q281,S281,U281,W281,Y281,AA281,AC281,AE281,AG281,AI281,AK281,AM281,AO281,AQ281,AS281)</f>
        <v>55990</v>
      </c>
      <c r="J281" s="35">
        <f>SUM(P281,R281,T281,V281,X281,Z281,AB281,AD281,AF281,AH281,AJ281,AL281,AN281,AP281,AR281)</f>
        <v>141986</v>
      </c>
      <c r="K281" s="36"/>
      <c r="L281" s="196"/>
      <c r="M281" s="196"/>
      <c r="N281" s="196"/>
      <c r="O281" s="197"/>
      <c r="P281" s="27">
        <v>15000</v>
      </c>
      <c r="Q281" s="27">
        <v>7400</v>
      </c>
      <c r="R281" s="38">
        <v>5000</v>
      </c>
      <c r="S281" s="38">
        <v>0</v>
      </c>
      <c r="T281" s="38">
        <v>12000</v>
      </c>
      <c r="U281" s="38">
        <v>8280</v>
      </c>
      <c r="V281" s="38">
        <v>8000</v>
      </c>
      <c r="W281" s="38">
        <v>5630</v>
      </c>
      <c r="X281" s="38">
        <v>3800</v>
      </c>
      <c r="Y281" s="38">
        <v>770</v>
      </c>
      <c r="Z281" s="40">
        <v>20000</v>
      </c>
      <c r="AA281" s="40">
        <v>0</v>
      </c>
      <c r="AB281" s="40">
        <v>27250</v>
      </c>
      <c r="AC281" s="40">
        <v>7870</v>
      </c>
      <c r="AD281" s="40">
        <v>14650</v>
      </c>
      <c r="AE281" s="40">
        <v>2490</v>
      </c>
      <c r="AF281" s="198">
        <v>6000</v>
      </c>
      <c r="AG281" s="206">
        <v>0</v>
      </c>
      <c r="AH281" s="38">
        <v>4750</v>
      </c>
      <c r="AI281" s="38">
        <v>2020</v>
      </c>
      <c r="AJ281" s="38">
        <v>24036</v>
      </c>
      <c r="AK281" s="38">
        <v>20030</v>
      </c>
      <c r="AL281" s="202"/>
      <c r="AM281" s="197"/>
      <c r="AN281" s="38">
        <v>0</v>
      </c>
      <c r="AO281" s="38">
        <v>0</v>
      </c>
      <c r="AP281" s="38">
        <v>1500</v>
      </c>
      <c r="AQ281" s="38">
        <v>1500</v>
      </c>
      <c r="AR281" s="38">
        <v>0</v>
      </c>
      <c r="AS281" s="38">
        <v>0</v>
      </c>
    </row>
    <row r="282" ht="97.5" customHeight="1" hidden="1">
      <c r="A282" t="s" s="59">
        <v>1176</v>
      </c>
      <c r="B282" t="s" s="21">
        <v>296</v>
      </c>
      <c r="C282" t="s" s="59">
        <v>765</v>
      </c>
      <c r="D282" t="s" s="190">
        <v>713</v>
      </c>
      <c r="E282" t="s" s="216">
        <v>737</v>
      </c>
      <c r="F282" t="s" s="192">
        <v>714</v>
      </c>
      <c r="G282" s="193"/>
      <c r="H282" s="194">
        <f>SUM(J282,N282)</f>
        <v>27000</v>
      </c>
      <c r="I282" s="195">
        <f>SUM(Q282,S282,U282,W282,Y282,AA282,AC282,AE282,AG282,AI282,AK282,AM282,AO282,AQ282,AS282)</f>
        <v>525</v>
      </c>
      <c r="J282" s="23">
        <f>SUM(P282,R282,T282,V282,X282,Z282,AB282,AD282,AF282,AH282,AJ282,AL282,AN282,AP282,AR282)</f>
        <v>27000</v>
      </c>
      <c r="K282" s="36"/>
      <c r="L282" s="196"/>
      <c r="M282" s="196"/>
      <c r="N282" s="196"/>
      <c r="O282" s="197"/>
      <c r="P282" s="27">
        <v>1000</v>
      </c>
      <c r="Q282" s="27">
        <v>0</v>
      </c>
      <c r="R282" s="28">
        <v>0</v>
      </c>
      <c r="S282" s="28">
        <v>0</v>
      </c>
      <c r="T282" s="28">
        <v>2000</v>
      </c>
      <c r="U282" s="28">
        <v>0</v>
      </c>
      <c r="V282" s="28">
        <v>4000</v>
      </c>
      <c r="W282" s="28">
        <v>0</v>
      </c>
      <c r="X282" s="28">
        <v>0</v>
      </c>
      <c r="Y282" s="28">
        <v>0</v>
      </c>
      <c r="Z282" s="30">
        <v>0</v>
      </c>
      <c r="AA282" s="30">
        <v>0</v>
      </c>
      <c r="AB282" s="30">
        <v>0</v>
      </c>
      <c r="AC282" s="30">
        <v>0</v>
      </c>
      <c r="AD282" s="30">
        <v>0</v>
      </c>
      <c r="AE282" s="30">
        <v>0</v>
      </c>
      <c r="AF282" s="198">
        <v>0</v>
      </c>
      <c r="AG282" s="206">
        <v>0</v>
      </c>
      <c r="AH282" s="28">
        <v>0</v>
      </c>
      <c r="AI282" s="28">
        <v>0</v>
      </c>
      <c r="AJ282" s="28">
        <v>20000</v>
      </c>
      <c r="AK282" s="28">
        <v>525</v>
      </c>
      <c r="AL282" s="202"/>
      <c r="AM282" s="197"/>
      <c r="AN282" s="28">
        <v>0</v>
      </c>
      <c r="AO282" s="28">
        <v>0</v>
      </c>
      <c r="AP282" s="28">
        <v>0</v>
      </c>
      <c r="AQ282" s="87"/>
      <c r="AR282" s="28">
        <v>0</v>
      </c>
      <c r="AS282" s="28">
        <v>0</v>
      </c>
    </row>
    <row r="283" ht="97.5" customHeight="1" hidden="1">
      <c r="A283" t="s" s="260">
        <v>1177</v>
      </c>
      <c r="B283" t="s" s="94">
        <v>297</v>
      </c>
      <c r="C283" t="s" s="260">
        <v>765</v>
      </c>
      <c r="D283" t="s" s="261">
        <v>713</v>
      </c>
      <c r="E283" t="s" s="257">
        <v>737</v>
      </c>
      <c r="F283" t="s" s="258">
        <v>714</v>
      </c>
      <c r="G283" s="96"/>
      <c r="H283" s="42">
        <f>SUM(J283,N283)</f>
        <v>106400</v>
      </c>
      <c r="I283" s="259">
        <f>SUM(Q283,S283,U283,W283,Y283,AA283,AC283,AE283,AG283,AI283,AK283,AM283,AO283,AQ283,AS283)</f>
        <v>12930</v>
      </c>
      <c r="J283" s="91">
        <f>SUM(P283,R283,T283,V283,X283,Z283,AB283,AD283,AF283,AH283,AJ283,AL283,AN283,AP283,AR283)</f>
        <v>106400</v>
      </c>
      <c r="K283" s="36"/>
      <c r="L283" s="196"/>
      <c r="M283" s="196"/>
      <c r="N283" s="196"/>
      <c r="O283" s="197"/>
      <c r="P283" s="27">
        <v>1000</v>
      </c>
      <c r="Q283" s="27">
        <v>0</v>
      </c>
      <c r="R283" s="92">
        <v>0</v>
      </c>
      <c r="S283" s="92">
        <v>0</v>
      </c>
      <c r="T283" s="92">
        <v>10000</v>
      </c>
      <c r="U283" s="92">
        <v>0</v>
      </c>
      <c r="V283" s="92">
        <v>1500</v>
      </c>
      <c r="W283" s="92">
        <v>1500</v>
      </c>
      <c r="X283" s="92">
        <v>200</v>
      </c>
      <c r="Y283" s="92">
        <v>0</v>
      </c>
      <c r="Z283" s="93">
        <v>2500</v>
      </c>
      <c r="AA283" s="93">
        <v>0</v>
      </c>
      <c r="AB283" s="93">
        <v>1350</v>
      </c>
      <c r="AC283" s="93">
        <v>0</v>
      </c>
      <c r="AD283" s="93">
        <v>9850</v>
      </c>
      <c r="AE283" s="93">
        <v>0</v>
      </c>
      <c r="AF283" s="198">
        <v>0</v>
      </c>
      <c r="AG283" s="206">
        <v>0</v>
      </c>
      <c r="AH283" s="92">
        <v>0</v>
      </c>
      <c r="AI283" s="92">
        <v>0</v>
      </c>
      <c r="AJ283" s="92">
        <v>80000</v>
      </c>
      <c r="AK283" s="92">
        <v>11430</v>
      </c>
      <c r="AL283" s="202"/>
      <c r="AM283" s="197"/>
      <c r="AN283" s="92">
        <v>0</v>
      </c>
      <c r="AO283" s="92">
        <v>0</v>
      </c>
      <c r="AP283" s="92">
        <v>0</v>
      </c>
      <c r="AQ283" s="12"/>
      <c r="AR283" s="92">
        <v>0</v>
      </c>
      <c r="AS283" s="92">
        <v>0</v>
      </c>
    </row>
    <row r="284" ht="63" customHeight="1" hidden="1">
      <c r="A284" t="s" s="59">
        <v>1178</v>
      </c>
      <c r="B284" t="s" s="21">
        <v>298</v>
      </c>
      <c r="C284" t="s" s="59">
        <v>1179</v>
      </c>
      <c r="D284" t="s" s="190">
        <v>713</v>
      </c>
      <c r="E284" t="s" s="269">
        <v>1180</v>
      </c>
      <c r="F284" t="s" s="192">
        <v>720</v>
      </c>
      <c r="G284" s="193"/>
      <c r="H284" s="194">
        <f>SUM(J284,N284)</f>
        <v>62500</v>
      </c>
      <c r="I284" s="195">
        <f>SUM(Q284,S284,U284,W284,Y284,AA284,AC284,AE284,AG284,AI284,AK284,AM284,AO284,AQ284,AS284)</f>
        <v>15284</v>
      </c>
      <c r="J284" s="23">
        <f>SUM(P284,R284,T284,V284,X284,Z284,AB284,AD284,AF284,AH284,AJ284,AL284,AN284,AP284,AR284)</f>
        <v>62500</v>
      </c>
      <c r="K284" s="36"/>
      <c r="L284" s="196"/>
      <c r="M284" s="196"/>
      <c r="N284" s="196"/>
      <c r="O284" s="197"/>
      <c r="P284" s="27">
        <v>5000</v>
      </c>
      <c r="Q284" s="27">
        <v>0</v>
      </c>
      <c r="R284" s="28">
        <v>0</v>
      </c>
      <c r="S284" s="28">
        <v>0</v>
      </c>
      <c r="T284" s="28">
        <v>3000</v>
      </c>
      <c r="U284" s="28">
        <v>1800</v>
      </c>
      <c r="V284" s="28">
        <v>4000</v>
      </c>
      <c r="W284" s="28">
        <v>1080</v>
      </c>
      <c r="X284" s="28">
        <v>500</v>
      </c>
      <c r="Y284" s="28">
        <v>0</v>
      </c>
      <c r="Z284" s="30">
        <v>0</v>
      </c>
      <c r="AA284" s="30">
        <v>0</v>
      </c>
      <c r="AB284" s="30">
        <v>0</v>
      </c>
      <c r="AC284" s="30">
        <v>0</v>
      </c>
      <c r="AD284" s="30">
        <v>0</v>
      </c>
      <c r="AE284" s="30">
        <v>0</v>
      </c>
      <c r="AF284" s="198">
        <v>0</v>
      </c>
      <c r="AG284" s="206">
        <v>0</v>
      </c>
      <c r="AH284" s="28">
        <v>0</v>
      </c>
      <c r="AI284" s="28">
        <v>0</v>
      </c>
      <c r="AJ284" s="28">
        <v>50000</v>
      </c>
      <c r="AK284" s="28">
        <v>12404</v>
      </c>
      <c r="AL284" s="202"/>
      <c r="AM284" s="197"/>
      <c r="AN284" s="28">
        <v>0</v>
      </c>
      <c r="AO284" s="28">
        <v>0</v>
      </c>
      <c r="AP284" s="28">
        <v>0</v>
      </c>
      <c r="AQ284" s="87"/>
      <c r="AR284" s="28">
        <v>0</v>
      </c>
      <c r="AS284" s="28">
        <v>0</v>
      </c>
    </row>
    <row r="285" ht="19.5" customHeight="1" hidden="1">
      <c r="A285" t="s" s="103">
        <v>1181</v>
      </c>
      <c r="B285" t="s" s="10">
        <v>299</v>
      </c>
      <c r="C285" t="s" s="103">
        <v>765</v>
      </c>
      <c r="D285" t="s" s="66">
        <v>713</v>
      </c>
      <c r="E285" s="181"/>
      <c r="F285" t="s" s="101">
        <v>714</v>
      </c>
      <c r="G285" s="203"/>
      <c r="H285" s="204">
        <f>SUM(J285,N285)</f>
        <v>18920</v>
      </c>
      <c r="I285" s="205">
        <f>SUM(Q285,S285,U285,W285,Y285,AA285,AC285,AE285,AG285,AI285,AK285,AM285,AO285,AQ285,AS285)</f>
        <v>510</v>
      </c>
      <c r="J285" s="35">
        <f>SUM(P285,R285,T285,V285,X285,Z285,AB285,AD285,AF285,AH285,AJ285,AL285,AN285,AP285,AR285)</f>
        <v>18920</v>
      </c>
      <c r="K285" s="36"/>
      <c r="L285" s="196"/>
      <c r="M285" s="196"/>
      <c r="N285" s="196"/>
      <c r="O285" s="197"/>
      <c r="P285" s="27">
        <v>1500</v>
      </c>
      <c r="Q285" s="27">
        <v>0</v>
      </c>
      <c r="R285" s="38">
        <v>0</v>
      </c>
      <c r="S285" s="38">
        <v>0</v>
      </c>
      <c r="T285" s="38">
        <v>1000</v>
      </c>
      <c r="U285" s="38">
        <v>0</v>
      </c>
      <c r="V285" s="38">
        <v>10000</v>
      </c>
      <c r="W285" s="38">
        <v>510</v>
      </c>
      <c r="X285" s="38">
        <v>420</v>
      </c>
      <c r="Y285" s="38">
        <v>0</v>
      </c>
      <c r="Z285" s="40">
        <v>0</v>
      </c>
      <c r="AA285" s="40">
        <v>0</v>
      </c>
      <c r="AB285" s="40">
        <v>0</v>
      </c>
      <c r="AC285" s="40">
        <v>0</v>
      </c>
      <c r="AD285" s="40">
        <v>0</v>
      </c>
      <c r="AE285" s="40">
        <v>0</v>
      </c>
      <c r="AF285" s="198">
        <v>0</v>
      </c>
      <c r="AG285" s="206">
        <v>0</v>
      </c>
      <c r="AH285" s="38">
        <v>0</v>
      </c>
      <c r="AI285" s="38">
        <v>0</v>
      </c>
      <c r="AJ285" s="38">
        <v>6000</v>
      </c>
      <c r="AK285" s="38">
        <v>0</v>
      </c>
      <c r="AL285" s="202"/>
      <c r="AM285" s="197"/>
      <c r="AN285" s="38">
        <v>0</v>
      </c>
      <c r="AO285" s="38">
        <v>0</v>
      </c>
      <c r="AP285" s="38">
        <v>0</v>
      </c>
      <c r="AQ285" s="80"/>
      <c r="AR285" s="38">
        <v>0</v>
      </c>
      <c r="AS285" s="38">
        <v>0</v>
      </c>
    </row>
    <row r="286" ht="47.25" customHeight="1" hidden="1">
      <c r="A286" t="s" s="103">
        <v>1182</v>
      </c>
      <c r="B286" t="s" s="10">
        <v>300</v>
      </c>
      <c r="C286" t="s" s="103">
        <v>765</v>
      </c>
      <c r="D286" t="s" s="66">
        <v>713</v>
      </c>
      <c r="E286" t="s" s="270">
        <v>1183</v>
      </c>
      <c r="F286" t="s" s="101">
        <v>714</v>
      </c>
      <c r="G286" s="203"/>
      <c r="H286" s="204">
        <f>SUM(J286,N286)</f>
        <v>12000</v>
      </c>
      <c r="I286" s="205">
        <f>SUM(Q286,S286,U286,W286,Y286,AA286,AC286,AE286,AG286,AI286,AK286,AM286,AO286,AQ286,AS286)</f>
        <v>1800</v>
      </c>
      <c r="J286" s="35">
        <f>SUM(P286,R286,T286,V286,X286,Z286,AB286,AD286,AF286,AH286,AJ286,AL286,AN286,AP286,AR286)</f>
        <v>12000</v>
      </c>
      <c r="K286" s="36"/>
      <c r="L286" s="196"/>
      <c r="M286" s="196"/>
      <c r="N286" s="196"/>
      <c r="O286" s="197"/>
      <c r="P286" s="27">
        <v>1000</v>
      </c>
      <c r="Q286" s="27">
        <v>0</v>
      </c>
      <c r="R286" s="38">
        <v>0</v>
      </c>
      <c r="S286" s="38">
        <v>0</v>
      </c>
      <c r="T286" s="38">
        <v>1000</v>
      </c>
      <c r="U286" s="38">
        <v>0</v>
      </c>
      <c r="V286" s="38">
        <v>10000</v>
      </c>
      <c r="W286" s="38">
        <v>300</v>
      </c>
      <c r="X286" s="38">
        <v>0</v>
      </c>
      <c r="Y286" s="38">
        <v>0</v>
      </c>
      <c r="Z286" s="40">
        <v>0</v>
      </c>
      <c r="AA286" s="40">
        <v>0</v>
      </c>
      <c r="AB286" s="40">
        <v>0</v>
      </c>
      <c r="AC286" s="40">
        <v>0</v>
      </c>
      <c r="AD286" s="40">
        <v>0</v>
      </c>
      <c r="AE286" s="40">
        <v>0</v>
      </c>
      <c r="AF286" s="198">
        <v>0</v>
      </c>
      <c r="AG286" s="206">
        <v>0</v>
      </c>
      <c r="AH286" s="38">
        <v>0</v>
      </c>
      <c r="AI286" s="38">
        <v>0</v>
      </c>
      <c r="AJ286" s="38">
        <v>0</v>
      </c>
      <c r="AK286" s="38">
        <v>1500</v>
      </c>
      <c r="AL286" s="202"/>
      <c r="AM286" s="197"/>
      <c r="AN286" s="38">
        <v>0</v>
      </c>
      <c r="AO286" s="38">
        <v>0</v>
      </c>
      <c r="AP286" s="38">
        <v>0</v>
      </c>
      <c r="AQ286" s="80"/>
      <c r="AR286" s="38">
        <v>0</v>
      </c>
      <c r="AS286" s="38">
        <v>0</v>
      </c>
    </row>
    <row r="287" ht="31.5" customHeight="1" hidden="1">
      <c r="A287" t="s" s="103">
        <v>1184</v>
      </c>
      <c r="B287" t="s" s="10">
        <v>301</v>
      </c>
      <c r="C287" t="s" s="103">
        <v>765</v>
      </c>
      <c r="D287" t="s" s="66">
        <v>713</v>
      </c>
      <c r="E287" s="271">
        <v>1204</v>
      </c>
      <c r="F287" t="s" s="101">
        <v>714</v>
      </c>
      <c r="G287" s="203"/>
      <c r="H287" s="204">
        <f>SUM(J287,N287)</f>
        <v>56000</v>
      </c>
      <c r="I287" s="205">
        <f>SUM(Q287,S287,U287,W287,Y287,AA287,AC287,AE287,AG287,AI287,AK287,AM287,AO287,AQ287,AS287)</f>
        <v>7430</v>
      </c>
      <c r="J287" s="35">
        <f>SUM(P287,R287,T287,V287,X287,Z287,AB287,AD287,AF287,AH287,AJ287,AL287,AN287,AP287,AR287)</f>
        <v>56000</v>
      </c>
      <c r="K287" s="36"/>
      <c r="L287" s="196"/>
      <c r="M287" s="196"/>
      <c r="N287" s="196"/>
      <c r="O287" s="197"/>
      <c r="P287" s="27">
        <v>10000</v>
      </c>
      <c r="Q287" s="27">
        <v>5000</v>
      </c>
      <c r="R287" s="38">
        <v>0</v>
      </c>
      <c r="S287" s="38">
        <v>0</v>
      </c>
      <c r="T287" s="38">
        <v>1000</v>
      </c>
      <c r="U287" s="38">
        <v>0</v>
      </c>
      <c r="V287" s="38">
        <v>10000</v>
      </c>
      <c r="W287" s="38">
        <v>600</v>
      </c>
      <c r="X287" s="38">
        <v>0</v>
      </c>
      <c r="Y287" s="38">
        <v>0</v>
      </c>
      <c r="Z287" s="40">
        <v>0</v>
      </c>
      <c r="AA287" s="40">
        <v>0</v>
      </c>
      <c r="AB287" s="40">
        <v>0</v>
      </c>
      <c r="AC287" s="40">
        <v>0</v>
      </c>
      <c r="AD287" s="40">
        <v>0</v>
      </c>
      <c r="AE287" s="40">
        <v>0</v>
      </c>
      <c r="AF287" s="198">
        <v>0</v>
      </c>
      <c r="AG287" s="206">
        <v>0</v>
      </c>
      <c r="AH287" s="38">
        <v>0</v>
      </c>
      <c r="AI287" s="38">
        <v>0</v>
      </c>
      <c r="AJ287" s="38">
        <v>35000</v>
      </c>
      <c r="AK287" s="38">
        <v>1830</v>
      </c>
      <c r="AL287" s="202"/>
      <c r="AM287" s="197"/>
      <c r="AN287" s="38">
        <v>0</v>
      </c>
      <c r="AO287" s="38">
        <v>0</v>
      </c>
      <c r="AP287" s="38">
        <v>0</v>
      </c>
      <c r="AQ287" s="80"/>
      <c r="AR287" s="38">
        <v>0</v>
      </c>
      <c r="AS287" s="38">
        <v>0</v>
      </c>
    </row>
    <row r="288" ht="31.5" customHeight="1" hidden="1">
      <c r="A288" t="s" s="88">
        <v>1185</v>
      </c>
      <c r="B288" t="s" s="67">
        <v>302</v>
      </c>
      <c r="C288" s="228"/>
      <c r="D288" s="228"/>
      <c r="E288" s="189"/>
      <c r="F288" s="182">
        <v>0</v>
      </c>
      <c r="G288" s="183"/>
      <c r="H288" s="42">
        <f>SUM(J288,N288)</f>
        <v>0</v>
      </c>
      <c r="I288" s="207">
        <f>SUM(Q288,S288,U288,W288,Y288,AA288,AC288,AE288,AG288,AI288,AK288,AM288,AO288,AQ288,AS288)</f>
        <v>0</v>
      </c>
      <c r="J288" s="43">
        <f>SUM(P288,R288,T288,V288,X288,Z288,AB288,AD288,AF288,AH288,AJ288,AL288,AN288,AP288,AR288)</f>
        <v>0</v>
      </c>
      <c r="K288" s="44"/>
      <c r="L288" s="6"/>
      <c r="M288" s="6"/>
      <c r="N288" s="14"/>
      <c r="O288" s="122"/>
      <c r="P288" s="46"/>
      <c r="Q288" s="46"/>
      <c r="R288" s="47"/>
      <c r="S288" s="47"/>
      <c r="T288" s="47"/>
      <c r="U288" s="47"/>
      <c r="V288" s="47"/>
      <c r="W288" s="47"/>
      <c r="X288" s="47"/>
      <c r="Y288" s="47"/>
      <c r="Z288" s="48">
        <v>0</v>
      </c>
      <c r="AA288" s="48">
        <v>0</v>
      </c>
      <c r="AB288" s="49"/>
      <c r="AC288" s="49"/>
      <c r="AD288" s="50"/>
      <c r="AE288" s="50"/>
      <c r="AF288" s="14"/>
      <c r="AG288" s="122"/>
      <c r="AH288" s="51">
        <v>0</v>
      </c>
      <c r="AI288" s="51">
        <v>0</v>
      </c>
      <c r="AJ288" s="47"/>
      <c r="AK288" s="47"/>
      <c r="AL288" s="14"/>
      <c r="AM288" s="122"/>
      <c r="AN288" s="47"/>
      <c r="AO288" s="47"/>
      <c r="AP288" s="47"/>
      <c r="AQ288" s="47"/>
      <c r="AR288" s="51">
        <v>0</v>
      </c>
      <c r="AS288" s="51">
        <v>0</v>
      </c>
    </row>
    <row r="289" ht="47.25" customHeight="1" hidden="1">
      <c r="A289" t="s" s="59">
        <v>1186</v>
      </c>
      <c r="B289" t="s" s="21">
        <v>303</v>
      </c>
      <c r="C289" t="s" s="59">
        <v>800</v>
      </c>
      <c r="D289" t="s" s="190">
        <v>717</v>
      </c>
      <c r="E289" s="191"/>
      <c r="F289" t="s" s="192">
        <v>714</v>
      </c>
      <c r="G289" s="193"/>
      <c r="H289" s="194">
        <f>SUM(J289,N289)</f>
        <v>445</v>
      </c>
      <c r="I289" s="195">
        <f>SUM(Q289,S289,U289,W289,Y289,AA289,AC289,AE289,AG289,AI289,AK289,AM289,AO289,AQ289,AS289)</f>
        <v>50</v>
      </c>
      <c r="J289" s="23">
        <f>SUM(P289,R289,T289,V289,X289,Z289,AB289,AD289,AF289,AH289,AJ289,AL289,AN289,AP289,AR289)</f>
        <v>425</v>
      </c>
      <c r="K289" s="36"/>
      <c r="L289" s="196"/>
      <c r="M289" s="196"/>
      <c r="N289" s="199">
        <v>20</v>
      </c>
      <c r="O289" s="197"/>
      <c r="P289" s="27">
        <v>100</v>
      </c>
      <c r="Q289" s="27">
        <v>17</v>
      </c>
      <c r="R289" s="28">
        <v>5</v>
      </c>
      <c r="S289" s="28">
        <v>0</v>
      </c>
      <c r="T289" s="28">
        <v>10</v>
      </c>
      <c r="U289" s="28">
        <v>0</v>
      </c>
      <c r="V289" s="28">
        <v>10</v>
      </c>
      <c r="W289" s="28">
        <v>5</v>
      </c>
      <c r="X289" s="28">
        <v>0</v>
      </c>
      <c r="Y289" s="28">
        <v>0</v>
      </c>
      <c r="Z289" s="30">
        <v>0</v>
      </c>
      <c r="AA289" s="30">
        <v>0</v>
      </c>
      <c r="AB289" s="30">
        <v>0</v>
      </c>
      <c r="AC289" s="30">
        <v>0</v>
      </c>
      <c r="AD289" s="30">
        <v>0</v>
      </c>
      <c r="AE289" s="30">
        <v>0</v>
      </c>
      <c r="AF289" s="198">
        <v>0</v>
      </c>
      <c r="AG289" s="206">
        <v>0</v>
      </c>
      <c r="AH289" s="28">
        <v>0</v>
      </c>
      <c r="AI289" s="28">
        <v>0</v>
      </c>
      <c r="AJ289" s="28">
        <v>300</v>
      </c>
      <c r="AK289" s="28">
        <v>28</v>
      </c>
      <c r="AL289" s="202"/>
      <c r="AM289" s="197"/>
      <c r="AN289" s="28">
        <v>0</v>
      </c>
      <c r="AO289" s="28">
        <v>0</v>
      </c>
      <c r="AP289" s="28">
        <v>0</v>
      </c>
      <c r="AQ289" s="87"/>
      <c r="AR289" s="28">
        <v>0</v>
      </c>
      <c r="AS289" s="28">
        <v>0</v>
      </c>
    </row>
    <row r="290" ht="47.25" customHeight="1" hidden="1">
      <c r="A290" t="s" s="88">
        <v>1187</v>
      </c>
      <c r="B290" t="s" s="67">
        <v>304</v>
      </c>
      <c r="C290" s="228"/>
      <c r="D290" s="228"/>
      <c r="E290" s="189"/>
      <c r="F290" s="182">
        <v>0</v>
      </c>
      <c r="G290" s="183"/>
      <c r="H290" s="42">
        <f>SUM(J290,N290)</f>
        <v>0</v>
      </c>
      <c r="I290" s="207">
        <f>SUM(Q290,S290,U290,W290,Y290,AA290,AC290,AE290,AG290,AI290,AK290,AM290,AO290,AQ290,AS290)</f>
        <v>0</v>
      </c>
      <c r="J290" s="43">
        <f>SUM(P290,R290,T290,V290,X290,Z290,AB290,AD290,AF290,AH290,AJ290,AL290,AN290,AP290,AR290)</f>
        <v>0</v>
      </c>
      <c r="K290" s="44"/>
      <c r="L290" s="6"/>
      <c r="M290" s="6"/>
      <c r="N290" s="14"/>
      <c r="O290" s="122"/>
      <c r="P290" s="46"/>
      <c r="Q290" s="46"/>
      <c r="R290" s="47"/>
      <c r="S290" s="47"/>
      <c r="T290" s="47"/>
      <c r="U290" s="47"/>
      <c r="V290" s="47"/>
      <c r="W290" s="47"/>
      <c r="X290" s="47"/>
      <c r="Y290" s="47"/>
      <c r="Z290" s="48">
        <v>0</v>
      </c>
      <c r="AA290" s="48">
        <v>0</v>
      </c>
      <c r="AB290" s="49"/>
      <c r="AC290" s="49"/>
      <c r="AD290" s="50"/>
      <c r="AE290" s="50"/>
      <c r="AF290" s="14"/>
      <c r="AG290" s="122"/>
      <c r="AH290" s="51">
        <v>0</v>
      </c>
      <c r="AI290" s="51">
        <v>0</v>
      </c>
      <c r="AJ290" s="47"/>
      <c r="AK290" s="47"/>
      <c r="AL290" s="14"/>
      <c r="AM290" s="122"/>
      <c r="AN290" s="47"/>
      <c r="AO290" s="47"/>
      <c r="AP290" s="47"/>
      <c r="AQ290" s="47"/>
      <c r="AR290" s="51">
        <v>0</v>
      </c>
      <c r="AS290" s="51">
        <v>0</v>
      </c>
    </row>
    <row r="291" ht="409.5" customHeight="1" hidden="1">
      <c r="A291" t="s" s="218">
        <v>1188</v>
      </c>
      <c r="B291" t="s" s="10">
        <v>305</v>
      </c>
      <c r="C291" t="s" s="103">
        <v>790</v>
      </c>
      <c r="D291" t="s" s="66">
        <v>791</v>
      </c>
      <c r="E291" t="s" s="129">
        <v>1189</v>
      </c>
      <c r="F291" t="s" s="101">
        <v>714</v>
      </c>
      <c r="G291" s="203"/>
      <c r="H291" s="204">
        <f>SUM(J291,N291)</f>
        <v>25</v>
      </c>
      <c r="I291" s="205">
        <f>SUM(Q291,S291,U291,W291,Y291,AA291,AC291,AE291,AG291,AI291,AK291,AM291,AO291,AQ291,AS291)</f>
        <v>0</v>
      </c>
      <c r="J291" s="35">
        <f>SUM(P291,R291,T291,V291,X291,Z291,AB291,AD291,AF291,AH291,AJ291,AL291,AN291,AP291,AR291)</f>
        <v>25</v>
      </c>
      <c r="K291" s="36"/>
      <c r="L291" s="196"/>
      <c r="M291" s="196"/>
      <c r="N291" s="196"/>
      <c r="O291" s="197"/>
      <c r="P291" s="27">
        <v>0</v>
      </c>
      <c r="Q291" s="27">
        <v>0</v>
      </c>
      <c r="R291" s="38">
        <v>0</v>
      </c>
      <c r="S291" s="38">
        <v>0</v>
      </c>
      <c r="T291" s="38">
        <v>25</v>
      </c>
      <c r="U291" s="38">
        <v>0</v>
      </c>
      <c r="V291" s="38">
        <v>0</v>
      </c>
      <c r="W291" s="38">
        <v>0</v>
      </c>
      <c r="X291" s="38">
        <v>0</v>
      </c>
      <c r="Y291" s="38">
        <v>0</v>
      </c>
      <c r="Z291" s="40">
        <v>0</v>
      </c>
      <c r="AA291" s="40">
        <v>0</v>
      </c>
      <c r="AB291" s="40">
        <v>0</v>
      </c>
      <c r="AC291" s="40">
        <v>0</v>
      </c>
      <c r="AD291" s="40">
        <v>0</v>
      </c>
      <c r="AE291" s="40">
        <v>0</v>
      </c>
      <c r="AF291" s="198">
        <v>0</v>
      </c>
      <c r="AG291" s="206">
        <v>0</v>
      </c>
      <c r="AH291" s="38">
        <v>0</v>
      </c>
      <c r="AI291" s="38">
        <v>0</v>
      </c>
      <c r="AJ291" s="38">
        <v>0</v>
      </c>
      <c r="AK291" s="38">
        <v>0</v>
      </c>
      <c r="AL291" s="202"/>
      <c r="AM291" s="197"/>
      <c r="AN291" s="38">
        <v>0</v>
      </c>
      <c r="AO291" s="38">
        <v>0</v>
      </c>
      <c r="AP291" s="38">
        <v>0</v>
      </c>
      <c r="AQ291" s="80"/>
      <c r="AR291" s="38">
        <v>0</v>
      </c>
      <c r="AS291" s="38">
        <v>0</v>
      </c>
    </row>
    <row r="292" ht="253.5" customHeight="1" hidden="1">
      <c r="A292" t="s" s="103">
        <v>1190</v>
      </c>
      <c r="B292" t="s" s="98">
        <v>306</v>
      </c>
      <c r="C292" t="s" s="103">
        <v>1191</v>
      </c>
      <c r="D292" t="s" s="66">
        <v>717</v>
      </c>
      <c r="E292" t="s" s="219">
        <v>1192</v>
      </c>
      <c r="F292" t="s" s="101">
        <v>714</v>
      </c>
      <c r="G292" s="203"/>
      <c r="H292" s="204">
        <f>SUM(J292,N292)</f>
        <v>127370</v>
      </c>
      <c r="I292" s="205">
        <f>SUM(Q292,S292,U292,W292,Y292,AA292,AC292,AE292,AG292,AI292,AK292,AM292,AO292,AQ292,AS292)</f>
        <v>120000</v>
      </c>
      <c r="J292" s="35">
        <f>SUM(P292,R292,T292,V292,X292,Z292,AB292,AD292,AF292,AH292,AJ292,AL292,AN292,AP292,AR292)</f>
        <v>127370</v>
      </c>
      <c r="K292" s="36"/>
      <c r="L292" s="196"/>
      <c r="M292" s="196"/>
      <c r="N292" s="196"/>
      <c r="O292" s="197"/>
      <c r="P292" s="27">
        <v>0</v>
      </c>
      <c r="Q292" s="27">
        <v>0</v>
      </c>
      <c r="R292" s="38">
        <v>127370</v>
      </c>
      <c r="S292" s="38">
        <v>120000</v>
      </c>
      <c r="T292" s="38">
        <v>0</v>
      </c>
      <c r="U292" s="38">
        <v>0</v>
      </c>
      <c r="V292" s="38">
        <v>0</v>
      </c>
      <c r="W292" s="38">
        <v>0</v>
      </c>
      <c r="X292" s="38">
        <v>0</v>
      </c>
      <c r="Y292" s="38">
        <v>0</v>
      </c>
      <c r="Z292" s="40">
        <v>0</v>
      </c>
      <c r="AA292" s="40">
        <v>0</v>
      </c>
      <c r="AB292" s="40">
        <v>0</v>
      </c>
      <c r="AC292" s="40">
        <v>0</v>
      </c>
      <c r="AD292" s="40">
        <v>0</v>
      </c>
      <c r="AE292" s="40">
        <v>0</v>
      </c>
      <c r="AF292" s="198">
        <v>0</v>
      </c>
      <c r="AG292" s="206">
        <v>0</v>
      </c>
      <c r="AH292" s="38">
        <v>0</v>
      </c>
      <c r="AI292" s="38">
        <v>0</v>
      </c>
      <c r="AJ292" s="38">
        <v>0</v>
      </c>
      <c r="AK292" s="38">
        <v>0</v>
      </c>
      <c r="AL292" s="202"/>
      <c r="AM292" s="197"/>
      <c r="AN292" s="38">
        <v>0</v>
      </c>
      <c r="AO292" s="38">
        <v>0</v>
      </c>
      <c r="AP292" s="38">
        <v>0</v>
      </c>
      <c r="AQ292" s="80"/>
      <c r="AR292" s="80"/>
      <c r="AS292" s="80"/>
    </row>
    <row r="293" ht="292.5" customHeight="1" hidden="1">
      <c r="A293" t="s" s="70">
        <v>1193</v>
      </c>
      <c r="B293" t="s" s="99">
        <v>307</v>
      </c>
      <c r="C293" t="s" s="130">
        <v>1031</v>
      </c>
      <c r="D293" t="s" s="209">
        <v>717</v>
      </c>
      <c r="E293" t="s" s="217">
        <v>1194</v>
      </c>
      <c r="F293" t="s" s="210">
        <v>714</v>
      </c>
      <c r="G293" s="211"/>
      <c r="H293" s="42">
        <f>SUM(J293,N293)</f>
        <v>700</v>
      </c>
      <c r="I293" s="207">
        <f>SUM(Q293,S293,U293,W293,Y293,AA293,AC293,AE293,AG293,AI293,AK293,AM293,AO293,AQ293,AS293)</f>
        <v>0</v>
      </c>
      <c r="J293" s="43">
        <f>SUM(P293,R293,T293,V293,X293,Z293,AB293,AD293,AF293,AH293,AJ293,AL293,AN293,AP293,AR293)</f>
        <v>700</v>
      </c>
      <c r="K293" s="44"/>
      <c r="L293" s="6"/>
      <c r="M293" s="6"/>
      <c r="N293" s="14"/>
      <c r="O293" s="122"/>
      <c r="P293" s="27">
        <v>0</v>
      </c>
      <c r="Q293" s="27">
        <v>0</v>
      </c>
      <c r="R293" s="51">
        <v>0</v>
      </c>
      <c r="S293" s="51">
        <v>0</v>
      </c>
      <c r="T293" s="51">
        <v>500</v>
      </c>
      <c r="U293" s="51">
        <v>0</v>
      </c>
      <c r="V293" s="51">
        <v>200</v>
      </c>
      <c r="W293" s="51">
        <v>0</v>
      </c>
      <c r="X293" s="51">
        <v>0</v>
      </c>
      <c r="Y293" s="51">
        <v>0</v>
      </c>
      <c r="Z293" s="48">
        <v>0</v>
      </c>
      <c r="AA293" s="48">
        <v>0</v>
      </c>
      <c r="AB293" s="48">
        <v>0</v>
      </c>
      <c r="AC293" s="48">
        <v>0</v>
      </c>
      <c r="AD293" s="55">
        <v>0</v>
      </c>
      <c r="AE293" s="213">
        <v>0</v>
      </c>
      <c r="AF293" s="212">
        <v>0</v>
      </c>
      <c r="AG293" s="121">
        <v>0</v>
      </c>
      <c r="AH293" s="51">
        <v>0</v>
      </c>
      <c r="AI293" s="51">
        <v>0</v>
      </c>
      <c r="AJ293" s="51">
        <v>0</v>
      </c>
      <c r="AK293" s="51">
        <v>0</v>
      </c>
      <c r="AL293" s="14"/>
      <c r="AM293" s="122"/>
      <c r="AN293" s="51">
        <v>0</v>
      </c>
      <c r="AO293" s="51">
        <v>0</v>
      </c>
      <c r="AP293" s="51">
        <v>0</v>
      </c>
      <c r="AQ293" s="47"/>
      <c r="AR293" s="51">
        <v>0</v>
      </c>
      <c r="AS293" s="51">
        <v>0</v>
      </c>
    </row>
    <row r="294" ht="141.75" customHeight="1" hidden="1">
      <c r="A294" t="s" s="70">
        <v>1195</v>
      </c>
      <c r="B294" t="s" s="69">
        <v>308</v>
      </c>
      <c r="C294" t="s" s="130">
        <v>800</v>
      </c>
      <c r="D294" t="s" s="209">
        <v>717</v>
      </c>
      <c r="E294" t="s" s="217">
        <v>1196</v>
      </c>
      <c r="F294" t="s" s="210">
        <v>714</v>
      </c>
      <c r="G294" s="211"/>
      <c r="H294" s="42">
        <f>SUM(J294,N294)</f>
        <v>850</v>
      </c>
      <c r="I294" s="207">
        <f>SUM(Q294,S294,U294,W294,Y294,AA294,AC294,AE294,AG294,AI294,AK294,AM294,AO294,AQ294,AS294)</f>
        <v>386</v>
      </c>
      <c r="J294" s="43">
        <f>SUM(P294,R294,T294,V294,X294,Z294,AB294,AD294,AF294,AH294,AJ294,AL294,AN294,AP294,AR294)</f>
        <v>850</v>
      </c>
      <c r="K294" s="44"/>
      <c r="L294" s="6"/>
      <c r="M294" s="6"/>
      <c r="N294" s="14"/>
      <c r="O294" s="122"/>
      <c r="P294" s="27">
        <v>0</v>
      </c>
      <c r="Q294" s="27">
        <v>0</v>
      </c>
      <c r="R294" s="51">
        <v>150</v>
      </c>
      <c r="S294" s="51">
        <v>386</v>
      </c>
      <c r="T294" s="51">
        <v>500</v>
      </c>
      <c r="U294" s="51">
        <v>0</v>
      </c>
      <c r="V294" s="51">
        <v>200</v>
      </c>
      <c r="W294" s="51">
        <v>0</v>
      </c>
      <c r="X294" s="51">
        <v>0</v>
      </c>
      <c r="Y294" s="51">
        <v>0</v>
      </c>
      <c r="Z294" s="48">
        <v>0</v>
      </c>
      <c r="AA294" s="48">
        <v>0</v>
      </c>
      <c r="AB294" s="48">
        <v>0</v>
      </c>
      <c r="AC294" s="48">
        <v>0</v>
      </c>
      <c r="AD294" s="55">
        <v>0</v>
      </c>
      <c r="AE294" s="213">
        <v>0</v>
      </c>
      <c r="AF294" s="212">
        <v>0</v>
      </c>
      <c r="AG294" s="121">
        <v>0</v>
      </c>
      <c r="AH294" s="51">
        <v>0</v>
      </c>
      <c r="AI294" s="51">
        <v>0</v>
      </c>
      <c r="AJ294" s="51">
        <v>0</v>
      </c>
      <c r="AK294" s="51">
        <v>0</v>
      </c>
      <c r="AL294" s="14"/>
      <c r="AM294" s="122"/>
      <c r="AN294" s="51">
        <v>0</v>
      </c>
      <c r="AO294" s="51">
        <v>0</v>
      </c>
      <c r="AP294" s="51">
        <v>0</v>
      </c>
      <c r="AQ294" s="47"/>
      <c r="AR294" s="47"/>
      <c r="AS294" s="47"/>
    </row>
    <row r="295" ht="236.25" customHeight="1" hidden="1">
      <c r="A295" t="s" s="70">
        <v>1197</v>
      </c>
      <c r="B295" t="s" s="99">
        <v>309</v>
      </c>
      <c r="C295" t="s" s="130">
        <v>1031</v>
      </c>
      <c r="D295" t="s" s="209">
        <v>717</v>
      </c>
      <c r="E295" t="s" s="217">
        <v>1198</v>
      </c>
      <c r="F295" t="s" s="210">
        <v>714</v>
      </c>
      <c r="G295" s="211"/>
      <c r="H295" s="42">
        <f>SUM(J295,N295)</f>
        <v>300</v>
      </c>
      <c r="I295" s="207">
        <f>SUM(Q295,S295,U295,W295,Y295,AA295,AC295,AE295,AG295,AI295,AK295,AM295,AO295,AQ295,AS295)</f>
        <v>0</v>
      </c>
      <c r="J295" s="43">
        <f>SUM(P295,R295,T295,V295,X295,Z295,AB295,AD295,AF295,AH295,AJ295,AL295,AN295,AP295,AR295)</f>
        <v>300</v>
      </c>
      <c r="K295" s="44"/>
      <c r="L295" s="6"/>
      <c r="M295" s="6"/>
      <c r="N295" s="14"/>
      <c r="O295" s="122"/>
      <c r="P295" s="27">
        <v>200</v>
      </c>
      <c r="Q295" s="27">
        <v>0</v>
      </c>
      <c r="R295" s="51">
        <v>0</v>
      </c>
      <c r="S295" s="51">
        <v>0</v>
      </c>
      <c r="T295" s="51">
        <v>100</v>
      </c>
      <c r="U295" s="51">
        <v>0</v>
      </c>
      <c r="V295" s="51">
        <v>0</v>
      </c>
      <c r="W295" s="51">
        <v>0</v>
      </c>
      <c r="X295" s="51">
        <v>0</v>
      </c>
      <c r="Y295" s="51">
        <v>0</v>
      </c>
      <c r="Z295" s="48">
        <v>0</v>
      </c>
      <c r="AA295" s="48">
        <v>0</v>
      </c>
      <c r="AB295" s="48">
        <v>0</v>
      </c>
      <c r="AC295" s="48">
        <v>0</v>
      </c>
      <c r="AD295" s="55">
        <v>0</v>
      </c>
      <c r="AE295" s="213">
        <v>0</v>
      </c>
      <c r="AF295" s="212">
        <v>0</v>
      </c>
      <c r="AG295" s="121">
        <v>0</v>
      </c>
      <c r="AH295" s="51">
        <v>0</v>
      </c>
      <c r="AI295" s="51">
        <v>0</v>
      </c>
      <c r="AJ295" s="51">
        <v>0</v>
      </c>
      <c r="AK295" s="51">
        <v>0</v>
      </c>
      <c r="AL295" s="14"/>
      <c r="AM295" s="122"/>
      <c r="AN295" s="51">
        <v>0</v>
      </c>
      <c r="AO295" s="51">
        <v>0</v>
      </c>
      <c r="AP295" s="51">
        <v>0</v>
      </c>
      <c r="AQ295" s="47"/>
      <c r="AR295" s="51">
        <v>0</v>
      </c>
      <c r="AS295" s="51">
        <v>0</v>
      </c>
    </row>
    <row r="296" ht="370.5" customHeight="1" hidden="1">
      <c r="A296" t="s" s="272">
        <v>1199</v>
      </c>
      <c r="B296" t="s" s="100">
        <v>310</v>
      </c>
      <c r="C296" t="s" s="59">
        <v>1031</v>
      </c>
      <c r="D296" t="s" s="190">
        <v>717</v>
      </c>
      <c r="E296" t="s" s="223">
        <v>1200</v>
      </c>
      <c r="F296" t="s" s="192">
        <v>714</v>
      </c>
      <c r="G296" s="193"/>
      <c r="H296" s="194">
        <f>SUM(J296,N296)</f>
        <v>1750</v>
      </c>
      <c r="I296" s="195">
        <f>SUM(Q296,S296,U296,W296,Y296,AA296,AC296,AE296,AG296,AI296,AK296,AM296,AO296,AQ296,AS296)</f>
        <v>132</v>
      </c>
      <c r="J296" s="23">
        <f>SUM(P296,R296,T296,V296,X296,Z296,AB296,AD296,AF296,AH296,AJ296,AL296,AN296,AP296,AR296)</f>
        <v>1750</v>
      </c>
      <c r="K296" s="36"/>
      <c r="L296" s="196"/>
      <c r="M296" s="196"/>
      <c r="N296" s="196"/>
      <c r="O296" s="197"/>
      <c r="P296" s="27">
        <v>600</v>
      </c>
      <c r="Q296" s="27">
        <v>132</v>
      </c>
      <c r="R296" s="28">
        <v>150</v>
      </c>
      <c r="S296" s="28">
        <v>0</v>
      </c>
      <c r="T296" s="28">
        <v>500</v>
      </c>
      <c r="U296" s="28">
        <v>0</v>
      </c>
      <c r="V296" s="28">
        <v>500</v>
      </c>
      <c r="W296" s="28">
        <v>0</v>
      </c>
      <c r="X296" s="28">
        <v>0</v>
      </c>
      <c r="Y296" s="28">
        <v>0</v>
      </c>
      <c r="Z296" s="30">
        <v>0</v>
      </c>
      <c r="AA296" s="30">
        <v>0</v>
      </c>
      <c r="AB296" s="30">
        <v>0</v>
      </c>
      <c r="AC296" s="30">
        <v>0</v>
      </c>
      <c r="AD296" s="30">
        <v>0</v>
      </c>
      <c r="AE296" s="30">
        <v>0</v>
      </c>
      <c r="AF296" s="198">
        <v>0</v>
      </c>
      <c r="AG296" s="206">
        <v>0</v>
      </c>
      <c r="AH296" s="28">
        <v>0</v>
      </c>
      <c r="AI296" s="28">
        <v>0</v>
      </c>
      <c r="AJ296" s="28">
        <v>0</v>
      </c>
      <c r="AK296" s="28">
        <v>0</v>
      </c>
      <c r="AL296" s="202"/>
      <c r="AM296" s="197"/>
      <c r="AN296" s="28">
        <v>0</v>
      </c>
      <c r="AO296" s="28">
        <v>0</v>
      </c>
      <c r="AP296" s="28">
        <v>0</v>
      </c>
      <c r="AQ296" s="87"/>
      <c r="AR296" s="28">
        <v>0</v>
      </c>
      <c r="AS296" s="28">
        <v>0</v>
      </c>
    </row>
    <row r="297" ht="173.25" customHeight="1" hidden="1">
      <c r="A297" t="s" s="70">
        <v>1201</v>
      </c>
      <c r="B297" t="s" s="69">
        <v>311</v>
      </c>
      <c r="C297" t="s" s="130">
        <v>1202</v>
      </c>
      <c r="D297" t="s" s="209">
        <v>717</v>
      </c>
      <c r="E297" t="s" s="132">
        <v>1203</v>
      </c>
      <c r="F297" t="s" s="210">
        <v>714</v>
      </c>
      <c r="G297" s="211"/>
      <c r="H297" s="42">
        <f>SUM(J297,N297)</f>
        <v>4650</v>
      </c>
      <c r="I297" s="207">
        <f>SUM(Q297,S297,U297,W297,Y297,AA297,AC297,AE297,AG297,AI297,AK297,AM297,AO297,AQ297,AS297)</f>
        <v>335</v>
      </c>
      <c r="J297" s="43">
        <f>SUM(P297,R297,T297,V297,X297,Z297,AB297,AD297,AF297,AH297,AJ297,AL297,AN297,AP297,AR297)</f>
        <v>4650</v>
      </c>
      <c r="K297" s="44"/>
      <c r="L297" s="6"/>
      <c r="M297" s="6"/>
      <c r="N297" s="14"/>
      <c r="O297" s="122"/>
      <c r="P297" s="27">
        <v>0</v>
      </c>
      <c r="Q297" s="27">
        <v>0</v>
      </c>
      <c r="R297" s="51">
        <v>150</v>
      </c>
      <c r="S297" s="51">
        <v>135</v>
      </c>
      <c r="T297" s="51">
        <v>500</v>
      </c>
      <c r="U297" s="51">
        <v>0</v>
      </c>
      <c r="V297" s="51">
        <v>500</v>
      </c>
      <c r="W297" s="51">
        <v>200</v>
      </c>
      <c r="X297" s="51">
        <v>0</v>
      </c>
      <c r="Y297" s="51">
        <v>0</v>
      </c>
      <c r="Z297" s="48">
        <v>0</v>
      </c>
      <c r="AA297" s="48">
        <v>0</v>
      </c>
      <c r="AB297" s="48">
        <v>0</v>
      </c>
      <c r="AC297" s="48">
        <v>0</v>
      </c>
      <c r="AD297" s="55">
        <v>0</v>
      </c>
      <c r="AE297" s="213">
        <v>0</v>
      </c>
      <c r="AF297" s="212">
        <v>0</v>
      </c>
      <c r="AG297" s="121">
        <v>0</v>
      </c>
      <c r="AH297" s="51">
        <v>0</v>
      </c>
      <c r="AI297" s="51">
        <v>0</v>
      </c>
      <c r="AJ297" s="51">
        <v>3500</v>
      </c>
      <c r="AK297" s="51">
        <v>0</v>
      </c>
      <c r="AL297" s="14"/>
      <c r="AM297" s="122"/>
      <c r="AN297" s="51">
        <v>0</v>
      </c>
      <c r="AO297" s="51">
        <v>0</v>
      </c>
      <c r="AP297" s="51">
        <v>0</v>
      </c>
      <c r="AQ297" s="47"/>
      <c r="AR297" s="51">
        <v>0</v>
      </c>
      <c r="AS297" s="51">
        <v>0</v>
      </c>
    </row>
    <row r="298" ht="409.5" customHeight="1" hidden="1">
      <c r="A298" t="s" s="70">
        <v>1204</v>
      </c>
      <c r="B298" t="s" s="69">
        <v>312</v>
      </c>
      <c r="C298" t="s" s="130">
        <v>800</v>
      </c>
      <c r="D298" t="s" s="209">
        <v>717</v>
      </c>
      <c r="E298" t="s" s="217">
        <v>1205</v>
      </c>
      <c r="F298" t="s" s="210">
        <v>714</v>
      </c>
      <c r="G298" s="211"/>
      <c r="H298" s="42">
        <f>SUM(J298,N298)</f>
        <v>0</v>
      </c>
      <c r="I298" s="207">
        <f>SUM(Q298,S298,U298,W298,Y298,AA298,AC298,AE298,AG298,AI298,AK298,AM298,AO298,AQ298,AS298)</f>
        <v>0</v>
      </c>
      <c r="J298" s="43">
        <f>SUM(P298,R298,T298,V298,X298,Z298,AB298,AD298,AF298,AH298,AJ298,AL298,AN298,AP298,AR298)</f>
        <v>0</v>
      </c>
      <c r="K298" s="44"/>
      <c r="L298" s="6"/>
      <c r="M298" s="6"/>
      <c r="N298" s="14"/>
      <c r="O298" s="122"/>
      <c r="P298" s="27">
        <v>0</v>
      </c>
      <c r="Q298" s="27">
        <v>0</v>
      </c>
      <c r="R298" s="51">
        <v>0</v>
      </c>
      <c r="S298" s="51">
        <v>0</v>
      </c>
      <c r="T298" s="51">
        <v>0</v>
      </c>
      <c r="U298" s="51">
        <v>0</v>
      </c>
      <c r="V298" s="51">
        <v>0</v>
      </c>
      <c r="W298" s="51">
        <v>0</v>
      </c>
      <c r="X298" s="51">
        <v>0</v>
      </c>
      <c r="Y298" s="51">
        <v>0</v>
      </c>
      <c r="Z298" s="48">
        <v>0</v>
      </c>
      <c r="AA298" s="48">
        <v>0</v>
      </c>
      <c r="AB298" s="48">
        <v>0</v>
      </c>
      <c r="AC298" s="48">
        <v>0</v>
      </c>
      <c r="AD298" s="55">
        <v>0</v>
      </c>
      <c r="AE298" s="213">
        <v>0</v>
      </c>
      <c r="AF298" s="212">
        <v>0</v>
      </c>
      <c r="AG298" s="121">
        <v>0</v>
      </c>
      <c r="AH298" s="51">
        <v>0</v>
      </c>
      <c r="AI298" s="51">
        <v>0</v>
      </c>
      <c r="AJ298" s="51">
        <v>0</v>
      </c>
      <c r="AK298" s="51">
        <v>0</v>
      </c>
      <c r="AL298" s="14"/>
      <c r="AM298" s="122"/>
      <c r="AN298" s="51">
        <v>0</v>
      </c>
      <c r="AO298" s="51">
        <v>0</v>
      </c>
      <c r="AP298" s="51">
        <v>0</v>
      </c>
      <c r="AQ298" s="47"/>
      <c r="AR298" s="51">
        <v>0</v>
      </c>
      <c r="AS298" s="51">
        <v>0</v>
      </c>
    </row>
    <row r="299" ht="31.5" customHeight="1" hidden="1">
      <c r="A299" t="s" s="88">
        <v>1206</v>
      </c>
      <c r="B299" t="s" s="67">
        <v>313</v>
      </c>
      <c r="C299" s="228"/>
      <c r="D299" s="228"/>
      <c r="E299" s="189"/>
      <c r="F299" s="182">
        <v>0</v>
      </c>
      <c r="G299" s="183"/>
      <c r="H299" s="42">
        <f>SUM(J299,N299)</f>
        <v>0</v>
      </c>
      <c r="I299" s="207">
        <f>SUM(Q299,S299,U299,W299,Y299,AA299,AC299,AE299,AG299,AI299,AK299,AM299,AO299,AQ299,AS299)</f>
        <v>0</v>
      </c>
      <c r="J299" s="43">
        <f>SUM(P299,R299,T299,V299,X299,Z299,AB299,AD299,AF299,AH299,AJ299,AL299,AN299,AP299,AR299)</f>
        <v>0</v>
      </c>
      <c r="K299" s="44"/>
      <c r="L299" s="6"/>
      <c r="M299" s="6"/>
      <c r="N299" s="14"/>
      <c r="O299" s="122"/>
      <c r="P299" s="46"/>
      <c r="Q299" s="46"/>
      <c r="R299" s="47"/>
      <c r="S299" s="47"/>
      <c r="T299" s="47"/>
      <c r="U299" s="47"/>
      <c r="V299" s="47"/>
      <c r="W299" s="47"/>
      <c r="X299" s="47"/>
      <c r="Y299" s="47"/>
      <c r="Z299" s="48">
        <v>0</v>
      </c>
      <c r="AA299" s="48">
        <v>0</v>
      </c>
      <c r="AB299" s="49"/>
      <c r="AC299" s="49"/>
      <c r="AD299" s="50"/>
      <c r="AE299" s="50"/>
      <c r="AF299" s="14"/>
      <c r="AG299" s="122"/>
      <c r="AH299" s="51">
        <v>0</v>
      </c>
      <c r="AI299" s="51">
        <v>0</v>
      </c>
      <c r="AJ299" s="47"/>
      <c r="AK299" s="47"/>
      <c r="AL299" s="14"/>
      <c r="AM299" s="122"/>
      <c r="AN299" s="47"/>
      <c r="AO299" s="47"/>
      <c r="AP299" s="47"/>
      <c r="AQ299" s="47"/>
      <c r="AR299" s="47"/>
      <c r="AS299" s="47"/>
    </row>
    <row r="300" ht="19.5" customHeight="1" hidden="1">
      <c r="A300" t="s" s="59">
        <v>1207</v>
      </c>
      <c r="B300" t="s" s="21">
        <v>314</v>
      </c>
      <c r="C300" t="s" s="59">
        <v>765</v>
      </c>
      <c r="D300" t="s" s="190">
        <v>713</v>
      </c>
      <c r="E300" s="191"/>
      <c r="F300" t="s" s="192">
        <v>714</v>
      </c>
      <c r="G300" s="193"/>
      <c r="H300" s="194">
        <f>SUM(J300,N300)</f>
        <v>41000</v>
      </c>
      <c r="I300" s="195">
        <f>SUM(Q300,S300,U300,W300,Y300,AA300,AC300,AE300,AG300,AI300,AK300,AM300,AO300,AQ300,AS300)</f>
        <v>200</v>
      </c>
      <c r="J300" s="23">
        <f>SUM(P300,R300,T300,V300,X300,Z300,AB300,AD300,AF300,AH300,AJ300,AL300,AN300,AP300,AR300)</f>
        <v>41000</v>
      </c>
      <c r="K300" s="36"/>
      <c r="L300" s="196"/>
      <c r="M300" s="196"/>
      <c r="N300" s="196"/>
      <c r="O300" s="197"/>
      <c r="P300" s="27">
        <v>10000</v>
      </c>
      <c r="Q300" s="27">
        <v>0</v>
      </c>
      <c r="R300" s="28">
        <v>0</v>
      </c>
      <c r="S300" s="28">
        <v>0</v>
      </c>
      <c r="T300" s="28">
        <v>500</v>
      </c>
      <c r="U300" s="28">
        <v>0</v>
      </c>
      <c r="V300" s="28">
        <v>500</v>
      </c>
      <c r="W300" s="28">
        <v>0</v>
      </c>
      <c r="X300" s="28">
        <v>0</v>
      </c>
      <c r="Y300" s="28">
        <v>0</v>
      </c>
      <c r="Z300" s="30">
        <v>0</v>
      </c>
      <c r="AA300" s="30">
        <v>0</v>
      </c>
      <c r="AB300" s="30">
        <v>0</v>
      </c>
      <c r="AC300" s="30">
        <v>0</v>
      </c>
      <c r="AD300" s="30">
        <v>0</v>
      </c>
      <c r="AE300" s="30">
        <v>0</v>
      </c>
      <c r="AF300" s="198">
        <v>0</v>
      </c>
      <c r="AG300" s="206">
        <v>0</v>
      </c>
      <c r="AH300" s="28">
        <v>0</v>
      </c>
      <c r="AI300" s="28">
        <v>0</v>
      </c>
      <c r="AJ300" s="28">
        <v>30000</v>
      </c>
      <c r="AK300" s="28">
        <v>200</v>
      </c>
      <c r="AL300" s="202"/>
      <c r="AM300" s="197"/>
      <c r="AN300" s="28">
        <v>0</v>
      </c>
      <c r="AO300" s="28">
        <v>0</v>
      </c>
      <c r="AP300" s="28">
        <v>0</v>
      </c>
      <c r="AQ300" s="87"/>
      <c r="AR300" s="28">
        <v>0</v>
      </c>
      <c r="AS300" s="28">
        <v>0</v>
      </c>
    </row>
    <row r="301" ht="47.25" customHeight="1" hidden="1">
      <c r="A301" t="s" s="59">
        <v>1208</v>
      </c>
      <c r="B301" t="s" s="21">
        <v>315</v>
      </c>
      <c r="C301" t="s" s="59">
        <v>765</v>
      </c>
      <c r="D301" t="s" s="190">
        <v>713</v>
      </c>
      <c r="E301" s="191"/>
      <c r="F301" t="s" s="192">
        <v>714</v>
      </c>
      <c r="G301" s="193"/>
      <c r="H301" s="194">
        <f>SUM(J301,N301)</f>
        <v>43000</v>
      </c>
      <c r="I301" s="195">
        <f>SUM(Q301,S301,U301,W301,Y301,AA301,AC301,AE301,AG301,AI301,AK301,AM301,AO301,AQ301,AS301)</f>
        <v>3375</v>
      </c>
      <c r="J301" s="23">
        <f>SUM(P301,R301,T301,V301,X301,Z301,AB301,AD301,AF301,AH301,AJ301,AL301,AN301,AP301,AR301)</f>
        <v>43000</v>
      </c>
      <c r="K301" s="36"/>
      <c r="L301" s="196"/>
      <c r="M301" s="196"/>
      <c r="N301" s="196"/>
      <c r="O301" s="197"/>
      <c r="P301" s="27">
        <v>15000</v>
      </c>
      <c r="Q301" s="27">
        <v>2000</v>
      </c>
      <c r="R301" s="28">
        <v>0</v>
      </c>
      <c r="S301" s="28">
        <v>0</v>
      </c>
      <c r="T301" s="28">
        <v>20000</v>
      </c>
      <c r="U301" s="28">
        <v>0</v>
      </c>
      <c r="V301" s="28">
        <v>4000</v>
      </c>
      <c r="W301" s="28">
        <v>0</v>
      </c>
      <c r="X301" s="28">
        <v>1500</v>
      </c>
      <c r="Y301" s="28">
        <v>0</v>
      </c>
      <c r="Z301" s="30">
        <v>0</v>
      </c>
      <c r="AA301" s="30">
        <v>0</v>
      </c>
      <c r="AB301" s="30">
        <v>0</v>
      </c>
      <c r="AC301" s="30">
        <v>0</v>
      </c>
      <c r="AD301" s="30">
        <v>0</v>
      </c>
      <c r="AE301" s="30">
        <v>0</v>
      </c>
      <c r="AF301" s="198">
        <v>0</v>
      </c>
      <c r="AG301" s="206">
        <v>0</v>
      </c>
      <c r="AH301" s="28">
        <v>0</v>
      </c>
      <c r="AI301" s="28">
        <v>0</v>
      </c>
      <c r="AJ301" s="28">
        <v>2500</v>
      </c>
      <c r="AK301" s="28">
        <v>1375</v>
      </c>
      <c r="AL301" s="202"/>
      <c r="AM301" s="197"/>
      <c r="AN301" s="28">
        <v>0</v>
      </c>
      <c r="AO301" s="28">
        <v>0</v>
      </c>
      <c r="AP301" s="28">
        <v>0</v>
      </c>
      <c r="AQ301" s="87"/>
      <c r="AR301" s="28">
        <v>0</v>
      </c>
      <c r="AS301" s="28">
        <v>0</v>
      </c>
    </row>
    <row r="302" ht="47.25" customHeight="1" hidden="1">
      <c r="A302" t="s" s="59">
        <v>1209</v>
      </c>
      <c r="B302" t="s" s="21">
        <v>316</v>
      </c>
      <c r="C302" t="s" s="59">
        <v>765</v>
      </c>
      <c r="D302" t="s" s="190">
        <v>713</v>
      </c>
      <c r="E302" s="191"/>
      <c r="F302" t="s" s="192">
        <v>714</v>
      </c>
      <c r="G302" s="193"/>
      <c r="H302" s="194">
        <f>SUM(J302,N302)</f>
        <v>44000</v>
      </c>
      <c r="I302" s="195">
        <f>SUM(Q302,S302,U302,W302,Y302,AA302,AC302,AE302,AG302,AI302,AK302,AM302,AO302,AQ302,AS302)</f>
        <v>3855</v>
      </c>
      <c r="J302" s="23">
        <f>SUM(P302,R302,T302,V302,X302,Z302,AB302,AD302,AF302,AH302,AJ302,AL302,AN302,AP302,AR302)</f>
        <v>44000</v>
      </c>
      <c r="K302" s="36"/>
      <c r="L302" s="196"/>
      <c r="M302" s="196"/>
      <c r="N302" s="196"/>
      <c r="O302" s="197"/>
      <c r="P302" s="27">
        <v>15000</v>
      </c>
      <c r="Q302" s="27">
        <v>2000</v>
      </c>
      <c r="R302" s="28">
        <v>0</v>
      </c>
      <c r="S302" s="28">
        <v>0</v>
      </c>
      <c r="T302" s="28">
        <v>20000</v>
      </c>
      <c r="U302" s="28">
        <v>0</v>
      </c>
      <c r="V302" s="28">
        <v>4000</v>
      </c>
      <c r="W302" s="28">
        <v>0</v>
      </c>
      <c r="X302" s="28">
        <v>0</v>
      </c>
      <c r="Y302" s="28">
        <v>0</v>
      </c>
      <c r="Z302" s="30">
        <v>0</v>
      </c>
      <c r="AA302" s="30">
        <v>0</v>
      </c>
      <c r="AB302" s="30">
        <v>0</v>
      </c>
      <c r="AC302" s="30">
        <v>0</v>
      </c>
      <c r="AD302" s="30">
        <v>0</v>
      </c>
      <c r="AE302" s="30">
        <v>0</v>
      </c>
      <c r="AF302" s="198">
        <v>0</v>
      </c>
      <c r="AG302" s="206">
        <v>0</v>
      </c>
      <c r="AH302" s="28">
        <v>0</v>
      </c>
      <c r="AI302" s="28">
        <v>0</v>
      </c>
      <c r="AJ302" s="28">
        <v>5000</v>
      </c>
      <c r="AK302" s="28">
        <v>1855</v>
      </c>
      <c r="AL302" s="202"/>
      <c r="AM302" s="197"/>
      <c r="AN302" s="28">
        <v>0</v>
      </c>
      <c r="AO302" s="28">
        <v>0</v>
      </c>
      <c r="AP302" s="28">
        <v>0</v>
      </c>
      <c r="AQ302" s="87"/>
      <c r="AR302" s="28">
        <v>0</v>
      </c>
      <c r="AS302" s="28">
        <v>0</v>
      </c>
    </row>
    <row r="303" ht="141.75" customHeight="1" hidden="1">
      <c r="A303" t="s" s="68">
        <v>1210</v>
      </c>
      <c r="B303" t="s" s="68">
        <v>317</v>
      </c>
      <c r="C303" t="s" s="68">
        <v>765</v>
      </c>
      <c r="D303" t="s" s="229">
        <v>713</v>
      </c>
      <c r="E303" t="s" s="68">
        <v>1211</v>
      </c>
      <c r="F303" t="s" s="68">
        <v>853</v>
      </c>
      <c r="G303" s="230"/>
      <c r="H303" s="42">
        <f>SUM(J303,N303)</f>
        <v>0</v>
      </c>
      <c r="I303" s="207">
        <f>SUM(Q303,S303,U303,W303,Y303,AA303,AC303,AE303,AG303,AI303,AK303,AM303,AO303,AQ303,AS303)</f>
        <v>0</v>
      </c>
      <c r="J303" s="43">
        <f>SUM(P303,R303,T303,V303,X303,Z303,AB303,AD303,AF303,AH303,AJ303,AL303,AN303,AP303,AR303)</f>
        <v>0</v>
      </c>
      <c r="K303" s="44"/>
      <c r="L303" s="6"/>
      <c r="M303" s="6"/>
      <c r="N303" s="14"/>
      <c r="O303" s="122"/>
      <c r="P303" s="27">
        <v>0</v>
      </c>
      <c r="Q303" s="27">
        <v>0</v>
      </c>
      <c r="R303" s="47"/>
      <c r="S303" s="47"/>
      <c r="T303" s="47"/>
      <c r="U303" s="47"/>
      <c r="V303" s="47"/>
      <c r="W303" s="47"/>
      <c r="X303" s="51">
        <v>0</v>
      </c>
      <c r="Y303" s="51">
        <v>0</v>
      </c>
      <c r="Z303" s="48">
        <v>0</v>
      </c>
      <c r="AA303" s="48">
        <v>0</v>
      </c>
      <c r="AB303" s="48">
        <v>0</v>
      </c>
      <c r="AC303" s="48">
        <v>0</v>
      </c>
      <c r="AD303" s="55">
        <v>0</v>
      </c>
      <c r="AE303" s="213">
        <v>0</v>
      </c>
      <c r="AF303" s="212">
        <v>0</v>
      </c>
      <c r="AG303" s="121">
        <v>0</v>
      </c>
      <c r="AH303" s="51">
        <v>0</v>
      </c>
      <c r="AI303" s="51">
        <v>0</v>
      </c>
      <c r="AJ303" s="47"/>
      <c r="AK303" s="47"/>
      <c r="AL303" s="14"/>
      <c r="AM303" s="122"/>
      <c r="AN303" s="51">
        <v>0</v>
      </c>
      <c r="AO303" s="51">
        <v>0</v>
      </c>
      <c r="AP303" s="51">
        <v>0</v>
      </c>
      <c r="AQ303" s="47"/>
      <c r="AR303" s="51">
        <v>0</v>
      </c>
      <c r="AS303" s="51">
        <v>0</v>
      </c>
    </row>
    <row r="304" ht="31.5" customHeight="1" hidden="1">
      <c r="A304" t="s" s="88">
        <v>1212</v>
      </c>
      <c r="B304" t="s" s="67">
        <v>318</v>
      </c>
      <c r="C304" s="228"/>
      <c r="D304" s="228"/>
      <c r="E304" t="s" s="252">
        <v>1213</v>
      </c>
      <c r="F304" s="182">
        <v>0</v>
      </c>
      <c r="G304" s="183"/>
      <c r="H304" s="42">
        <f>SUM(J304,N304)</f>
        <v>0</v>
      </c>
      <c r="I304" s="207">
        <f>SUM(Q304,S304,U304,W304,Y304,AA304,AC304,AE304,AG304,AI304,AK304,AM304,AO304,AQ304,AS304)</f>
        <v>0</v>
      </c>
      <c r="J304" s="43">
        <f>SUM(P304,R304,T304,V304,X304,Z304,AB304,AD304,AF304,AH304,AJ304,AL304,AN304,AP304,AR304)</f>
        <v>0</v>
      </c>
      <c r="K304" s="44"/>
      <c r="L304" s="6"/>
      <c r="M304" s="6"/>
      <c r="N304" s="14"/>
      <c r="O304" s="122"/>
      <c r="P304" s="46"/>
      <c r="Q304" s="46"/>
      <c r="R304" s="47"/>
      <c r="S304" s="47"/>
      <c r="T304" s="47"/>
      <c r="U304" s="47"/>
      <c r="V304" s="47"/>
      <c r="W304" s="47"/>
      <c r="X304" s="47"/>
      <c r="Y304" s="47"/>
      <c r="Z304" s="48">
        <v>0</v>
      </c>
      <c r="AA304" s="48">
        <v>0</v>
      </c>
      <c r="AB304" s="49"/>
      <c r="AC304" s="49"/>
      <c r="AD304" s="50"/>
      <c r="AE304" s="50"/>
      <c r="AF304" s="14"/>
      <c r="AG304" s="122"/>
      <c r="AH304" s="51">
        <v>0</v>
      </c>
      <c r="AI304" s="51">
        <v>0</v>
      </c>
      <c r="AJ304" s="47"/>
      <c r="AK304" s="47"/>
      <c r="AL304" s="14"/>
      <c r="AM304" s="122"/>
      <c r="AN304" s="47"/>
      <c r="AO304" s="47"/>
      <c r="AP304" s="47"/>
      <c r="AQ304" s="47"/>
      <c r="AR304" s="51">
        <v>0</v>
      </c>
      <c r="AS304" s="51">
        <v>0</v>
      </c>
    </row>
    <row r="305" ht="409.5" customHeight="1" hidden="1">
      <c r="A305" t="s" s="130">
        <v>1214</v>
      </c>
      <c r="B305" t="s" s="52">
        <v>319</v>
      </c>
      <c r="C305" t="s" s="130">
        <v>1215</v>
      </c>
      <c r="D305" t="s" s="209">
        <v>717</v>
      </c>
      <c r="E305" t="s" s="132">
        <v>1216</v>
      </c>
      <c r="F305" t="s" s="210">
        <v>714</v>
      </c>
      <c r="G305" s="211"/>
      <c r="H305" s="42">
        <f>SUM(J305,N305)</f>
        <v>419797</v>
      </c>
      <c r="I305" s="207">
        <f>SUM(Q305,S305,U305,W305,Y305,AA305,AC305,AE305,AG305,AI305,AK305,AM305,AO305,AQ305,AS305)</f>
        <v>334357</v>
      </c>
      <c r="J305" s="43">
        <f>SUM(P305,R305,T305,V305,X305,Z305,AB305,AD305,AF305,AH305,AJ305,AL305,AN305,AP305,AR305)</f>
        <v>414797</v>
      </c>
      <c r="K305" s="44"/>
      <c r="L305" s="6"/>
      <c r="M305" s="6"/>
      <c r="N305" s="212">
        <v>5000</v>
      </c>
      <c r="O305" s="122"/>
      <c r="P305" s="27">
        <v>60000</v>
      </c>
      <c r="Q305" s="27">
        <v>51165</v>
      </c>
      <c r="R305" s="51">
        <v>66240</v>
      </c>
      <c r="S305" s="51">
        <v>60240</v>
      </c>
      <c r="T305" s="51">
        <v>100000</v>
      </c>
      <c r="U305" s="51">
        <v>74462</v>
      </c>
      <c r="V305" s="51">
        <v>35000</v>
      </c>
      <c r="W305" s="51">
        <v>35875</v>
      </c>
      <c r="X305" s="51">
        <v>45000</v>
      </c>
      <c r="Y305" s="51">
        <v>40320</v>
      </c>
      <c r="Z305" s="48">
        <v>17000</v>
      </c>
      <c r="AA305" s="48">
        <v>11400</v>
      </c>
      <c r="AB305" s="48">
        <v>15511</v>
      </c>
      <c r="AC305" s="48">
        <v>9278</v>
      </c>
      <c r="AD305" s="55">
        <v>34500</v>
      </c>
      <c r="AE305" s="213">
        <v>25035</v>
      </c>
      <c r="AF305" s="212">
        <v>2800</v>
      </c>
      <c r="AG305" s="121">
        <v>1850</v>
      </c>
      <c r="AH305" s="51">
        <v>38100</v>
      </c>
      <c r="AI305" s="51">
        <v>24200</v>
      </c>
      <c r="AJ305" s="51">
        <v>100</v>
      </c>
      <c r="AK305" s="51">
        <v>0</v>
      </c>
      <c r="AL305" s="14"/>
      <c r="AM305" s="122"/>
      <c r="AN305" s="51">
        <v>526</v>
      </c>
      <c r="AO305" s="51">
        <v>526</v>
      </c>
      <c r="AP305" s="51">
        <v>0</v>
      </c>
      <c r="AQ305" s="47"/>
      <c r="AR305" s="51">
        <v>20</v>
      </c>
      <c r="AS305" s="51">
        <v>6</v>
      </c>
    </row>
    <row r="306" ht="409.5" customHeight="1" hidden="1">
      <c r="A306" t="s" s="130">
        <v>1217</v>
      </c>
      <c r="B306" t="s" s="52">
        <v>320</v>
      </c>
      <c r="C306" t="s" s="130">
        <v>1218</v>
      </c>
      <c r="D306" t="s" s="209">
        <v>717</v>
      </c>
      <c r="E306" t="s" s="273">
        <v>1219</v>
      </c>
      <c r="F306" t="s" s="210">
        <v>714</v>
      </c>
      <c r="G306" s="211"/>
      <c r="H306" s="42">
        <f>SUM(J306,N306)</f>
        <v>212655</v>
      </c>
      <c r="I306" s="207">
        <f>SUM(Q306,S306,U306,W306,Y306,AA306,AC306,AE306,AG306,AI306,AK306,AM306,AO306,AQ306,AS306)</f>
        <v>99834</v>
      </c>
      <c r="J306" s="43">
        <f>SUM(P306,R306,T306,V306,X306,Z306,AB306,AD306,AF306,AH306,AJ306,AL306,AN306,AP306,AR306)</f>
        <v>207655</v>
      </c>
      <c r="K306" s="44"/>
      <c r="L306" s="6"/>
      <c r="M306" s="6"/>
      <c r="N306" s="212">
        <v>5000</v>
      </c>
      <c r="O306" s="122"/>
      <c r="P306" s="27">
        <v>40000</v>
      </c>
      <c r="Q306" s="27">
        <v>20071</v>
      </c>
      <c r="R306" s="51">
        <v>10000</v>
      </c>
      <c r="S306" s="51">
        <v>9008</v>
      </c>
      <c r="T306" s="51">
        <v>70000</v>
      </c>
      <c r="U306" s="51">
        <v>25159</v>
      </c>
      <c r="V306" s="51">
        <v>20000</v>
      </c>
      <c r="W306" s="51">
        <v>11510</v>
      </c>
      <c r="X306" s="51">
        <v>5800</v>
      </c>
      <c r="Y306" s="51">
        <v>5353</v>
      </c>
      <c r="Z306" s="48">
        <v>16000</v>
      </c>
      <c r="AA306" s="48">
        <v>9800</v>
      </c>
      <c r="AB306" s="48">
        <v>6785</v>
      </c>
      <c r="AC306" s="48">
        <v>2774</v>
      </c>
      <c r="AD306" s="55">
        <v>16350</v>
      </c>
      <c r="AE306" s="213">
        <v>4360</v>
      </c>
      <c r="AF306" s="212">
        <v>3300</v>
      </c>
      <c r="AG306" s="121">
        <v>1850</v>
      </c>
      <c r="AH306" s="51">
        <v>17300</v>
      </c>
      <c r="AI306" s="51">
        <v>8449</v>
      </c>
      <c r="AJ306" s="51">
        <v>100</v>
      </c>
      <c r="AK306" s="51">
        <v>0</v>
      </c>
      <c r="AL306" s="14"/>
      <c r="AM306" s="122"/>
      <c r="AN306" s="51">
        <v>0</v>
      </c>
      <c r="AO306" s="51">
        <v>0</v>
      </c>
      <c r="AP306" s="51">
        <v>2000</v>
      </c>
      <c r="AQ306" s="51">
        <v>1500</v>
      </c>
      <c r="AR306" s="51">
        <v>20</v>
      </c>
      <c r="AS306" s="51">
        <v>0</v>
      </c>
    </row>
    <row r="307" ht="31.5" customHeight="1" hidden="1">
      <c r="A307" t="s" s="59">
        <v>1220</v>
      </c>
      <c r="B307" t="s" s="21">
        <v>321</v>
      </c>
      <c r="C307" t="s" s="59">
        <v>765</v>
      </c>
      <c r="D307" t="s" s="190">
        <v>713</v>
      </c>
      <c r="E307" s="215">
        <v>1012</v>
      </c>
      <c r="F307" t="s" s="192">
        <v>720</v>
      </c>
      <c r="G307" s="193"/>
      <c r="H307" s="194">
        <f>SUM(J307,N307)</f>
        <v>157800</v>
      </c>
      <c r="I307" s="195">
        <f>SUM(Q307,S307,U307,W307,Y307,AA307,AC307,AE307,AG307,AI307,AK307,AM307,AO307,AQ307,AS307)</f>
        <v>49585</v>
      </c>
      <c r="J307" s="23">
        <f>SUM(P307,R307,T307,V307,X307,Z307,AB307,AD307,AF307,AH307,AJ307,AL307,AN307,AP307,AR307)</f>
        <v>157800</v>
      </c>
      <c r="K307" s="36"/>
      <c r="L307" s="196"/>
      <c r="M307" s="196"/>
      <c r="N307" s="196"/>
      <c r="O307" s="197"/>
      <c r="P307" s="27">
        <v>100000</v>
      </c>
      <c r="Q307" s="27">
        <v>28415</v>
      </c>
      <c r="R307" s="28">
        <v>0</v>
      </c>
      <c r="S307" s="28">
        <v>0</v>
      </c>
      <c r="T307" s="28">
        <v>20000</v>
      </c>
      <c r="U307" s="28">
        <v>1170</v>
      </c>
      <c r="V307" s="28">
        <v>16000</v>
      </c>
      <c r="W307" s="28">
        <v>6790</v>
      </c>
      <c r="X307" s="28">
        <v>3500</v>
      </c>
      <c r="Y307" s="28">
        <v>3200</v>
      </c>
      <c r="Z307" s="30">
        <v>0</v>
      </c>
      <c r="AA307" s="30">
        <v>0</v>
      </c>
      <c r="AB307" s="30">
        <v>0</v>
      </c>
      <c r="AC307" s="30">
        <v>0</v>
      </c>
      <c r="AD307" s="30">
        <v>0</v>
      </c>
      <c r="AE307" s="30">
        <v>0</v>
      </c>
      <c r="AF307" s="198">
        <v>0</v>
      </c>
      <c r="AG307" s="206">
        <v>0</v>
      </c>
      <c r="AH307" s="28">
        <v>0</v>
      </c>
      <c r="AI307" s="28">
        <v>0</v>
      </c>
      <c r="AJ307" s="28">
        <v>1200</v>
      </c>
      <c r="AK307" s="28">
        <v>1000</v>
      </c>
      <c r="AL307" s="234">
        <v>12000</v>
      </c>
      <c r="AM307" s="234">
        <v>5000</v>
      </c>
      <c r="AN307" s="28">
        <v>1000</v>
      </c>
      <c r="AO307" s="28">
        <v>0</v>
      </c>
      <c r="AP307" s="28">
        <v>4000</v>
      </c>
      <c r="AQ307" s="28">
        <v>4000</v>
      </c>
      <c r="AR307" s="28">
        <v>100</v>
      </c>
      <c r="AS307" s="28">
        <v>10</v>
      </c>
    </row>
    <row r="308" ht="173.25" customHeight="1" hidden="1">
      <c r="A308" t="s" s="59">
        <v>1221</v>
      </c>
      <c r="B308" t="s" s="21">
        <v>322</v>
      </c>
      <c r="C308" t="s" s="59">
        <v>1215</v>
      </c>
      <c r="D308" t="s" s="190">
        <v>717</v>
      </c>
      <c r="E308" s="191"/>
      <c r="F308" t="s" s="192">
        <v>714</v>
      </c>
      <c r="G308" s="193"/>
      <c r="H308" s="194">
        <f>SUM(J308,N308)</f>
        <v>1150</v>
      </c>
      <c r="I308" s="195">
        <f>SUM(Q308,S308,U308,W308,Y308,AA308,AC308,AE308,AG308,AI308,AK308,AM308,AO308,AQ308,AS308)</f>
        <v>250</v>
      </c>
      <c r="J308" s="23">
        <f>SUM(P308,R308,T308,V308,X308,Z308,AB308,AD308,AF308,AH308,AJ308,AL308,AN308,AP308,AR308)</f>
        <v>1150</v>
      </c>
      <c r="K308" s="36"/>
      <c r="L308" s="196"/>
      <c r="M308" s="196"/>
      <c r="N308" s="196"/>
      <c r="O308" s="197"/>
      <c r="P308" s="27">
        <v>1000</v>
      </c>
      <c r="Q308" s="27">
        <v>250</v>
      </c>
      <c r="R308" s="28">
        <v>0</v>
      </c>
      <c r="S308" s="28">
        <v>0</v>
      </c>
      <c r="T308" s="28">
        <v>0</v>
      </c>
      <c r="U308" s="28">
        <v>0</v>
      </c>
      <c r="V308" s="28">
        <v>100</v>
      </c>
      <c r="W308" s="28">
        <v>0</v>
      </c>
      <c r="X308" s="28">
        <v>50</v>
      </c>
      <c r="Y308" s="28">
        <v>0</v>
      </c>
      <c r="Z308" s="30">
        <v>0</v>
      </c>
      <c r="AA308" s="30">
        <v>0</v>
      </c>
      <c r="AB308" s="30">
        <v>0</v>
      </c>
      <c r="AC308" s="30">
        <v>0</v>
      </c>
      <c r="AD308" s="30">
        <v>0</v>
      </c>
      <c r="AE308" s="30">
        <v>0</v>
      </c>
      <c r="AF308" s="198">
        <v>0</v>
      </c>
      <c r="AG308" s="206">
        <v>0</v>
      </c>
      <c r="AH308" s="28">
        <v>0</v>
      </c>
      <c r="AI308" s="28">
        <v>0</v>
      </c>
      <c r="AJ308" s="28">
        <v>0</v>
      </c>
      <c r="AK308" s="28">
        <v>0</v>
      </c>
      <c r="AL308" s="202"/>
      <c r="AM308" s="197"/>
      <c r="AN308" s="28">
        <v>0</v>
      </c>
      <c r="AO308" s="28">
        <v>0</v>
      </c>
      <c r="AP308" s="28">
        <v>0</v>
      </c>
      <c r="AQ308" s="87"/>
      <c r="AR308" s="28">
        <v>0</v>
      </c>
      <c r="AS308" s="28">
        <v>0</v>
      </c>
    </row>
    <row r="309" ht="19.5" customHeight="1" hidden="1">
      <c r="A309" t="s" s="88">
        <v>1222</v>
      </c>
      <c r="B309" t="s" s="67">
        <v>323</v>
      </c>
      <c r="C309" t="s" s="88">
        <v>765</v>
      </c>
      <c r="D309" s="228"/>
      <c r="E309" s="189"/>
      <c r="F309" s="182">
        <v>0</v>
      </c>
      <c r="G309" s="183"/>
      <c r="H309" s="42">
        <f>SUM(J309,N309)</f>
        <v>0</v>
      </c>
      <c r="I309" s="207">
        <f>SUM(Q309,S309,U309,W309,Y309,AA309,AC309,AE309,AG309,AI309,AK309,AM309,AO309,AQ309,AS309)</f>
        <v>0</v>
      </c>
      <c r="J309" s="43">
        <f>SUM(P309,R309,T309,V309,X309,Z309,AB309,AD309,AF309,AH309,AJ309,AL309,AN309,AP309,AR309)</f>
        <v>0</v>
      </c>
      <c r="K309" s="44"/>
      <c r="L309" s="6"/>
      <c r="M309" s="6"/>
      <c r="N309" s="14"/>
      <c r="O309" s="122"/>
      <c r="P309" s="46"/>
      <c r="Q309" s="46"/>
      <c r="R309" s="47"/>
      <c r="S309" s="47"/>
      <c r="T309" s="47"/>
      <c r="U309" s="47"/>
      <c r="V309" s="47"/>
      <c r="W309" s="47"/>
      <c r="X309" s="47"/>
      <c r="Y309" s="47"/>
      <c r="Z309" s="48">
        <v>0</v>
      </c>
      <c r="AA309" s="48">
        <v>0</v>
      </c>
      <c r="AB309" s="49"/>
      <c r="AC309" s="49"/>
      <c r="AD309" s="50"/>
      <c r="AE309" s="50"/>
      <c r="AF309" s="14"/>
      <c r="AG309" s="122"/>
      <c r="AH309" s="51">
        <v>0</v>
      </c>
      <c r="AI309" s="51">
        <v>0</v>
      </c>
      <c r="AJ309" s="47"/>
      <c r="AK309" s="47"/>
      <c r="AL309" s="14"/>
      <c r="AM309" s="122"/>
      <c r="AN309" s="47"/>
      <c r="AO309" s="47"/>
      <c r="AP309" s="47"/>
      <c r="AQ309" s="47"/>
      <c r="AR309" s="51">
        <v>0</v>
      </c>
      <c r="AS309" s="51">
        <v>0</v>
      </c>
    </row>
    <row r="310" ht="29.25" customHeight="1" hidden="1">
      <c r="A310" t="s" s="59">
        <v>1223</v>
      </c>
      <c r="B310" t="s" s="21">
        <v>324</v>
      </c>
      <c r="C310" t="s" s="59">
        <v>765</v>
      </c>
      <c r="D310" t="s" s="190">
        <v>713</v>
      </c>
      <c r="E310" s="215">
        <v>1012</v>
      </c>
      <c r="F310" t="s" s="192">
        <v>714</v>
      </c>
      <c r="G310" s="193"/>
      <c r="H310" s="194">
        <f>SUM(J310,N310)</f>
        <v>66600</v>
      </c>
      <c r="I310" s="195">
        <f>SUM(Q310,S310,U310,W310,Y310,AA310,AC310,AE310,AG310,AI310,AK310,AM310,AO310,AQ310,AS310)</f>
        <v>10690</v>
      </c>
      <c r="J310" s="23">
        <f>SUM(P310,R310,T310,V310,X310,Z310,AB310,AD310,AF310,AH310,AJ310,AL310,AN310,AP310,AR310)</f>
        <v>66600</v>
      </c>
      <c r="K310" s="36"/>
      <c r="L310" s="196"/>
      <c r="M310" s="196"/>
      <c r="N310" s="196"/>
      <c r="O310" s="197"/>
      <c r="P310" s="27">
        <v>0</v>
      </c>
      <c r="Q310" s="27">
        <v>0</v>
      </c>
      <c r="R310" s="28">
        <v>40000</v>
      </c>
      <c r="S310" s="28">
        <v>10690</v>
      </c>
      <c r="T310" s="28">
        <v>25000</v>
      </c>
      <c r="U310" s="28">
        <v>0</v>
      </c>
      <c r="V310" s="28">
        <v>1600</v>
      </c>
      <c r="W310" s="28">
        <v>0</v>
      </c>
      <c r="X310" s="28">
        <v>0</v>
      </c>
      <c r="Y310" s="28">
        <v>0</v>
      </c>
      <c r="Z310" s="30">
        <v>0</v>
      </c>
      <c r="AA310" s="30">
        <v>0</v>
      </c>
      <c r="AB310" s="30">
        <v>0</v>
      </c>
      <c r="AC310" s="30">
        <v>0</v>
      </c>
      <c r="AD310" s="30">
        <v>0</v>
      </c>
      <c r="AE310" s="30">
        <v>0</v>
      </c>
      <c r="AF310" s="198">
        <v>0</v>
      </c>
      <c r="AG310" s="206">
        <v>0</v>
      </c>
      <c r="AH310" s="28">
        <v>0</v>
      </c>
      <c r="AI310" s="28">
        <v>0</v>
      </c>
      <c r="AJ310" s="28">
        <v>0</v>
      </c>
      <c r="AK310" s="28">
        <v>0</v>
      </c>
      <c r="AL310" s="202"/>
      <c r="AM310" s="197"/>
      <c r="AN310" s="28">
        <v>0</v>
      </c>
      <c r="AO310" s="28">
        <v>0</v>
      </c>
      <c r="AP310" s="28">
        <v>0</v>
      </c>
      <c r="AQ310" s="87"/>
      <c r="AR310" s="28">
        <v>0</v>
      </c>
      <c r="AS310" s="28">
        <v>0</v>
      </c>
    </row>
    <row r="311" ht="31.5" customHeight="1" hidden="1">
      <c r="A311" t="s" s="103">
        <v>1224</v>
      </c>
      <c r="B311" t="s" s="10">
        <v>325</v>
      </c>
      <c r="C311" t="s" s="103">
        <v>800</v>
      </c>
      <c r="D311" t="s" s="66">
        <v>717</v>
      </c>
      <c r="E311" s="221">
        <v>1064</v>
      </c>
      <c r="F311" t="s" s="101">
        <v>714</v>
      </c>
      <c r="G311" s="203"/>
      <c r="H311" s="204">
        <f>SUM(J311,N311)</f>
        <v>6530</v>
      </c>
      <c r="I311" s="205">
        <f>SUM(Q311,S311,U311,W311,Y311,AA311,AC311,AE311,AG311,AI311,AK311,AM311,AO311,AQ311,AS311)</f>
        <v>1292</v>
      </c>
      <c r="J311" s="35">
        <f>SUM(P311,R311,T311,V311,X311,Z311,AB311,AD311,AF311,AH311,AJ311,AL311,AN311,AP311,AR311)</f>
        <v>6530</v>
      </c>
      <c r="K311" s="36"/>
      <c r="L311" s="196"/>
      <c r="M311" s="196"/>
      <c r="N311" s="196"/>
      <c r="O311" s="197"/>
      <c r="P311" s="27">
        <v>0</v>
      </c>
      <c r="Q311" s="27">
        <v>0</v>
      </c>
      <c r="R311" s="38">
        <v>200</v>
      </c>
      <c r="S311" s="38">
        <v>100</v>
      </c>
      <c r="T311" s="38">
        <v>1500</v>
      </c>
      <c r="U311" s="38">
        <v>250</v>
      </c>
      <c r="V311" s="38">
        <v>180</v>
      </c>
      <c r="W311" s="38">
        <v>0</v>
      </c>
      <c r="X311" s="38">
        <v>350</v>
      </c>
      <c r="Y311" s="38">
        <v>0</v>
      </c>
      <c r="Z311" s="40">
        <v>1000</v>
      </c>
      <c r="AA311" s="40">
        <v>0</v>
      </c>
      <c r="AB311" s="40">
        <v>1000</v>
      </c>
      <c r="AC311" s="40">
        <v>36</v>
      </c>
      <c r="AD311" s="40">
        <v>1000</v>
      </c>
      <c r="AE311" s="40">
        <v>16</v>
      </c>
      <c r="AF311" s="198">
        <v>500</v>
      </c>
      <c r="AG311" s="206">
        <v>90</v>
      </c>
      <c r="AH311" s="38">
        <v>800</v>
      </c>
      <c r="AI311" s="38">
        <v>800</v>
      </c>
      <c r="AJ311" s="38">
        <v>0</v>
      </c>
      <c r="AK311" s="38">
        <v>0</v>
      </c>
      <c r="AL311" s="202"/>
      <c r="AM311" s="197"/>
      <c r="AN311" s="38">
        <v>0</v>
      </c>
      <c r="AO311" s="38">
        <v>0</v>
      </c>
      <c r="AP311" s="38">
        <v>0</v>
      </c>
      <c r="AQ311" s="80"/>
      <c r="AR311" s="38">
        <v>0</v>
      </c>
      <c r="AS311" s="38">
        <v>0</v>
      </c>
    </row>
    <row r="312" ht="45.75" customHeight="1" hidden="1">
      <c r="A312" t="s" s="101">
        <v>1225</v>
      </c>
      <c r="B312" t="s" s="101">
        <v>326</v>
      </c>
      <c r="C312" t="s" s="101">
        <v>1226</v>
      </c>
      <c r="D312" t="s" s="274">
        <v>791</v>
      </c>
      <c r="E312" t="s" s="274">
        <v>1227</v>
      </c>
      <c r="F312" t="s" s="101">
        <v>853</v>
      </c>
      <c r="G312" s="203"/>
      <c r="H312" s="204">
        <f>SUM(J312,N312)</f>
        <v>400</v>
      </c>
      <c r="I312" s="205">
        <f>SUM(Q312,S312,U312,W312,Y312,AA312,AC312,AE312,AG312,AI312,AK312,AM312,AO312,AQ312,AS312)</f>
        <v>0</v>
      </c>
      <c r="J312" s="35">
        <f>SUM(P312,R312,T312,V312,X312,Z312,AB312,AD312,AF312,AH312,AJ312,AL312,AN312,AP312,AR312)</f>
        <v>400</v>
      </c>
      <c r="K312" s="36"/>
      <c r="L312" s="196"/>
      <c r="M312" s="196"/>
      <c r="N312" s="196"/>
      <c r="O312" s="197"/>
      <c r="P312" s="27">
        <v>0</v>
      </c>
      <c r="Q312" s="27">
        <v>0</v>
      </c>
      <c r="R312" s="38">
        <v>0</v>
      </c>
      <c r="S312" s="38">
        <v>0</v>
      </c>
      <c r="T312" s="38">
        <v>0</v>
      </c>
      <c r="U312" s="38">
        <v>0</v>
      </c>
      <c r="V312" s="38">
        <v>200</v>
      </c>
      <c r="W312" s="80"/>
      <c r="X312" s="38">
        <v>200</v>
      </c>
      <c r="Y312" s="38">
        <v>0</v>
      </c>
      <c r="Z312" s="40">
        <v>0</v>
      </c>
      <c r="AA312" s="40">
        <v>0</v>
      </c>
      <c r="AB312" s="79"/>
      <c r="AC312" s="79"/>
      <c r="AD312" s="40">
        <v>0</v>
      </c>
      <c r="AE312" s="40">
        <v>0</v>
      </c>
      <c r="AF312" s="198">
        <v>0</v>
      </c>
      <c r="AG312" s="206">
        <v>0</v>
      </c>
      <c r="AH312" s="38">
        <v>0</v>
      </c>
      <c r="AI312" s="38">
        <v>0</v>
      </c>
      <c r="AJ312" s="80"/>
      <c r="AK312" s="80"/>
      <c r="AL312" s="202"/>
      <c r="AM312" s="197"/>
      <c r="AN312" s="38">
        <v>0</v>
      </c>
      <c r="AO312" s="38">
        <v>0</v>
      </c>
      <c r="AP312" s="38">
        <v>0</v>
      </c>
      <c r="AQ312" s="80"/>
      <c r="AR312" s="38">
        <v>0</v>
      </c>
      <c r="AS312" s="38">
        <v>0</v>
      </c>
    </row>
    <row r="313" ht="31.5" customHeight="1" hidden="1">
      <c r="A313" t="s" s="88">
        <v>1228</v>
      </c>
      <c r="B313" t="s" s="67">
        <v>327</v>
      </c>
      <c r="C313" s="228"/>
      <c r="D313" s="228"/>
      <c r="E313" s="189"/>
      <c r="F313" s="182">
        <v>0</v>
      </c>
      <c r="G313" s="183"/>
      <c r="H313" s="42">
        <f>SUM(J313,N313)</f>
        <v>0</v>
      </c>
      <c r="I313" s="207">
        <f>SUM(Q313,S313,U313,W313,Y313,AA313,AC313,AE313,AG313,AI313,AK313,AM313,AO313,AQ313,AS313)</f>
        <v>0</v>
      </c>
      <c r="J313" s="43">
        <f>SUM(P313,R313,T313,V313,X313,Z313,AB313,AD313,AF313,AH313,AJ313,AL313,AN313,AP313,AR313)</f>
        <v>0</v>
      </c>
      <c r="K313" s="44"/>
      <c r="L313" s="6"/>
      <c r="M313" s="6"/>
      <c r="N313" s="14"/>
      <c r="O313" s="122"/>
      <c r="P313" s="46"/>
      <c r="Q313" s="46"/>
      <c r="R313" s="47"/>
      <c r="S313" s="47"/>
      <c r="T313" s="47"/>
      <c r="U313" s="47"/>
      <c r="V313" s="47"/>
      <c r="W313" s="47"/>
      <c r="X313" s="47"/>
      <c r="Y313" s="47"/>
      <c r="Z313" s="48">
        <v>0</v>
      </c>
      <c r="AA313" s="48">
        <v>0</v>
      </c>
      <c r="AB313" s="49"/>
      <c r="AC313" s="49"/>
      <c r="AD313" s="50"/>
      <c r="AE313" s="50"/>
      <c r="AF313" s="14"/>
      <c r="AG313" s="122"/>
      <c r="AH313" s="51">
        <v>0</v>
      </c>
      <c r="AI313" s="51">
        <v>0</v>
      </c>
      <c r="AJ313" s="47"/>
      <c r="AK313" s="47"/>
      <c r="AL313" s="14"/>
      <c r="AM313" s="122"/>
      <c r="AN313" s="47"/>
      <c r="AO313" s="47"/>
      <c r="AP313" s="47"/>
      <c r="AQ313" s="47"/>
      <c r="AR313" s="51">
        <v>0</v>
      </c>
      <c r="AS313" s="51">
        <v>0</v>
      </c>
    </row>
    <row r="314" ht="19.5" customHeight="1" hidden="1">
      <c r="A314" t="s" s="59">
        <v>1229</v>
      </c>
      <c r="B314" t="s" s="21">
        <v>328</v>
      </c>
      <c r="C314" t="s" s="59">
        <v>765</v>
      </c>
      <c r="D314" t="s" s="190">
        <v>713</v>
      </c>
      <c r="E314" s="191"/>
      <c r="F314" t="s" s="192">
        <v>714</v>
      </c>
      <c r="G314" s="193"/>
      <c r="H314" s="194">
        <f>SUM(J314,N314)</f>
        <v>21000</v>
      </c>
      <c r="I314" s="195">
        <f>SUM(Q314,S314,U314,W314,Y314,AA314,AC314,AE314,AG314,AI314,AK314,AM314,AO314,AQ314,AS314)</f>
        <v>690</v>
      </c>
      <c r="J314" s="23">
        <f>SUM(P314,R314,T314,V314,X314,Z314,AB314,AD314,AF314,AH314,AJ314,AL314,AN314,AP314,AR314)</f>
        <v>21000</v>
      </c>
      <c r="K314" s="36"/>
      <c r="L314" s="196"/>
      <c r="M314" s="196"/>
      <c r="N314" s="196"/>
      <c r="O314" s="197"/>
      <c r="P314" s="27">
        <v>20000</v>
      </c>
      <c r="Q314" s="27">
        <v>690</v>
      </c>
      <c r="R314" s="28">
        <v>0</v>
      </c>
      <c r="S314" s="28">
        <v>0</v>
      </c>
      <c r="T314" s="28">
        <v>100</v>
      </c>
      <c r="U314" s="28">
        <v>0</v>
      </c>
      <c r="V314" s="28">
        <v>600</v>
      </c>
      <c r="W314" s="28">
        <v>0</v>
      </c>
      <c r="X314" s="28">
        <v>300</v>
      </c>
      <c r="Y314" s="28">
        <v>0</v>
      </c>
      <c r="Z314" s="30">
        <v>0</v>
      </c>
      <c r="AA314" s="30">
        <v>0</v>
      </c>
      <c r="AB314" s="30">
        <v>0</v>
      </c>
      <c r="AC314" s="30">
        <v>0</v>
      </c>
      <c r="AD314" s="30">
        <v>0</v>
      </c>
      <c r="AE314" s="30">
        <v>0</v>
      </c>
      <c r="AF314" s="198">
        <v>0</v>
      </c>
      <c r="AG314" s="206">
        <v>0</v>
      </c>
      <c r="AH314" s="28">
        <v>0</v>
      </c>
      <c r="AI314" s="28">
        <v>0</v>
      </c>
      <c r="AJ314" s="28">
        <v>0</v>
      </c>
      <c r="AK314" s="28">
        <v>0</v>
      </c>
      <c r="AL314" s="202"/>
      <c r="AM314" s="197"/>
      <c r="AN314" s="28">
        <v>0</v>
      </c>
      <c r="AO314" s="28">
        <v>0</v>
      </c>
      <c r="AP314" s="28">
        <v>0</v>
      </c>
      <c r="AQ314" s="87"/>
      <c r="AR314" s="28">
        <v>0</v>
      </c>
      <c r="AS314" s="28">
        <v>0</v>
      </c>
    </row>
    <row r="315" ht="31.5" customHeight="1" hidden="1">
      <c r="A315" t="s" s="88">
        <v>1230</v>
      </c>
      <c r="B315" t="s" s="67">
        <v>329</v>
      </c>
      <c r="C315" s="228"/>
      <c r="D315" s="228"/>
      <c r="E315" s="189"/>
      <c r="F315" s="182">
        <v>0</v>
      </c>
      <c r="G315" s="183"/>
      <c r="H315" s="42">
        <f>SUM(J315,N315)</f>
        <v>0</v>
      </c>
      <c r="I315" s="207">
        <f>SUM(Q315,S315,U315,W315,Y315,AA315,AC315,AE315,AG315,AI315,AK315,AM315,AO315,AQ315,AS315)</f>
        <v>0</v>
      </c>
      <c r="J315" s="43">
        <f>SUM(P315,R315,T315,V315,X315,Z315,AB315,AD315,AF315,AH315,AJ315,AL315,AN315,AP315,AR315)</f>
        <v>0</v>
      </c>
      <c r="K315" s="44"/>
      <c r="L315" s="6"/>
      <c r="M315" s="6"/>
      <c r="N315" s="14"/>
      <c r="O315" s="122"/>
      <c r="P315" s="46"/>
      <c r="Q315" s="46"/>
      <c r="R315" s="47"/>
      <c r="S315" s="47"/>
      <c r="T315" s="47"/>
      <c r="U315" s="47"/>
      <c r="V315" s="47"/>
      <c r="W315" s="47"/>
      <c r="X315" s="47"/>
      <c r="Y315" s="47"/>
      <c r="Z315" s="48">
        <v>0</v>
      </c>
      <c r="AA315" s="48">
        <v>0</v>
      </c>
      <c r="AB315" s="49"/>
      <c r="AC315" s="49"/>
      <c r="AD315" s="50"/>
      <c r="AE315" s="50"/>
      <c r="AF315" s="14"/>
      <c r="AG315" s="122"/>
      <c r="AH315" s="51">
        <v>0</v>
      </c>
      <c r="AI315" s="51">
        <v>0</v>
      </c>
      <c r="AJ315" s="47"/>
      <c r="AK315" s="47"/>
      <c r="AL315" s="14"/>
      <c r="AM315" s="122"/>
      <c r="AN315" s="47"/>
      <c r="AO315" s="47"/>
      <c r="AP315" s="47"/>
      <c r="AQ315" s="47"/>
      <c r="AR315" s="51">
        <v>0</v>
      </c>
      <c r="AS315" s="51">
        <v>0</v>
      </c>
    </row>
    <row r="316" ht="19.5" customHeight="1" hidden="1">
      <c r="A316" t="s" s="83">
        <v>1231</v>
      </c>
      <c r="B316" t="s" s="67">
        <v>330</v>
      </c>
      <c r="C316" s="228"/>
      <c r="D316" s="228"/>
      <c r="E316" s="189"/>
      <c r="F316" s="182">
        <v>0</v>
      </c>
      <c r="G316" s="183"/>
      <c r="H316" s="42">
        <f>SUM(J316,N316)</f>
        <v>0</v>
      </c>
      <c r="I316" s="207">
        <f>SUM(Q316,S316,U316,W316,Y316,AA316,AC316,AE316,AG316,AI316,AK316,AM316,AO316,AQ316,AS316)</f>
        <v>0</v>
      </c>
      <c r="J316" s="43">
        <f>SUM(P316,R316,T316,V316,X316,Z316,AB316,AD316,AF316,AH316,AJ316,AL316,AN316,AP316,AR316)</f>
        <v>0</v>
      </c>
      <c r="K316" s="44"/>
      <c r="L316" s="6"/>
      <c r="M316" s="6"/>
      <c r="N316" s="14"/>
      <c r="O316" s="122"/>
      <c r="P316" s="46"/>
      <c r="Q316" s="46"/>
      <c r="R316" s="47"/>
      <c r="S316" s="47"/>
      <c r="T316" s="51">
        <v>0</v>
      </c>
      <c r="U316" s="51">
        <v>0</v>
      </c>
      <c r="V316" s="47"/>
      <c r="W316" s="47"/>
      <c r="X316" s="47"/>
      <c r="Y316" s="47"/>
      <c r="Z316" s="48">
        <v>0</v>
      </c>
      <c r="AA316" s="48">
        <v>0</v>
      </c>
      <c r="AB316" s="49"/>
      <c r="AC316" s="49"/>
      <c r="AD316" s="50"/>
      <c r="AE316" s="50"/>
      <c r="AF316" s="14"/>
      <c r="AG316" s="122"/>
      <c r="AH316" s="51">
        <v>0</v>
      </c>
      <c r="AI316" s="51">
        <v>0</v>
      </c>
      <c r="AJ316" s="47"/>
      <c r="AK316" s="47"/>
      <c r="AL316" s="14"/>
      <c r="AM316" s="122"/>
      <c r="AN316" s="47"/>
      <c r="AO316" s="47"/>
      <c r="AP316" s="47"/>
      <c r="AQ316" s="47"/>
      <c r="AR316" s="51">
        <v>0</v>
      </c>
      <c r="AS316" s="51">
        <v>0</v>
      </c>
    </row>
    <row r="317" ht="409.5" customHeight="1" hidden="1">
      <c r="A317" t="s" s="130">
        <v>1232</v>
      </c>
      <c r="B317" t="s" s="52">
        <v>331</v>
      </c>
      <c r="C317" t="s" s="130">
        <v>765</v>
      </c>
      <c r="D317" t="s" s="209">
        <v>713</v>
      </c>
      <c r="E317" t="s" s="217">
        <v>1233</v>
      </c>
      <c r="F317" t="s" s="210">
        <v>714</v>
      </c>
      <c r="G317" s="211"/>
      <c r="H317" s="42">
        <f>SUM(J317,N317)</f>
        <v>0</v>
      </c>
      <c r="I317" s="207">
        <f>SUM(Q317,S317,U317,W317,Y317,AA317,AC317,AE317,AG317,AI317,AK317,AM317,AO317,AQ317,AS317)</f>
        <v>0</v>
      </c>
      <c r="J317" s="43">
        <f>SUM(P317,R317,T317,V317,X317,Z317,AB317,AD317,AF317,AH317,AJ317,AL317,AN317,AP317,AR317)</f>
        <v>0</v>
      </c>
      <c r="K317" s="44"/>
      <c r="L317" s="6"/>
      <c r="M317" s="6"/>
      <c r="N317" s="14"/>
      <c r="O317" s="122"/>
      <c r="P317" s="27">
        <v>0</v>
      </c>
      <c r="Q317" s="27">
        <v>0</v>
      </c>
      <c r="R317" s="51">
        <v>0</v>
      </c>
      <c r="S317" s="51">
        <v>0</v>
      </c>
      <c r="T317" s="51">
        <v>0</v>
      </c>
      <c r="U317" s="51">
        <v>0</v>
      </c>
      <c r="V317" s="51">
        <v>0</v>
      </c>
      <c r="W317" s="51">
        <v>0</v>
      </c>
      <c r="X317" s="51">
        <v>0</v>
      </c>
      <c r="Y317" s="51">
        <v>0</v>
      </c>
      <c r="Z317" s="48">
        <v>0</v>
      </c>
      <c r="AA317" s="48">
        <v>0</v>
      </c>
      <c r="AB317" s="48">
        <v>0</v>
      </c>
      <c r="AC317" s="48">
        <v>0</v>
      </c>
      <c r="AD317" s="55">
        <v>0</v>
      </c>
      <c r="AE317" s="213">
        <v>0</v>
      </c>
      <c r="AF317" s="212">
        <v>0</v>
      </c>
      <c r="AG317" s="121">
        <v>0</v>
      </c>
      <c r="AH317" s="51">
        <v>0</v>
      </c>
      <c r="AI317" s="51">
        <v>0</v>
      </c>
      <c r="AJ317" s="51">
        <v>0</v>
      </c>
      <c r="AK317" s="51">
        <v>0</v>
      </c>
      <c r="AL317" s="14"/>
      <c r="AM317" s="122"/>
      <c r="AN317" s="51">
        <v>0</v>
      </c>
      <c r="AO317" s="51">
        <v>0</v>
      </c>
      <c r="AP317" s="51">
        <v>0</v>
      </c>
      <c r="AQ317" s="47"/>
      <c r="AR317" s="51">
        <v>0</v>
      </c>
      <c r="AS317" s="51">
        <v>0</v>
      </c>
    </row>
    <row r="318" ht="409.5" customHeight="1" hidden="1">
      <c r="A318" t="s" s="130">
        <v>1234</v>
      </c>
      <c r="B318" t="s" s="52">
        <v>332</v>
      </c>
      <c r="C318" t="s" s="130">
        <v>765</v>
      </c>
      <c r="D318" t="s" s="209">
        <v>713</v>
      </c>
      <c r="E318" t="s" s="217">
        <v>1235</v>
      </c>
      <c r="F318" t="s" s="210">
        <v>714</v>
      </c>
      <c r="G318" s="211"/>
      <c r="H318" s="42">
        <f>SUM(J318,N318)</f>
        <v>0</v>
      </c>
      <c r="I318" s="207">
        <f>SUM(Q318,S318,U318,W318,Y318,AA318,AC318,AE318,AG318,AI318,AK318,AM318,AO318,AQ318,AS318)</f>
        <v>0</v>
      </c>
      <c r="J318" s="43">
        <f>SUM(P318,R318,T318,V318,X318,Z318,AB318,AD318,AF318,AH318,AJ318,AL318,AN318,AP318,AR318)</f>
        <v>0</v>
      </c>
      <c r="K318" s="44"/>
      <c r="L318" s="6"/>
      <c r="M318" s="6"/>
      <c r="N318" s="14"/>
      <c r="O318" s="122"/>
      <c r="P318" s="27">
        <v>0</v>
      </c>
      <c r="Q318" s="27">
        <v>0</v>
      </c>
      <c r="R318" s="51">
        <v>0</v>
      </c>
      <c r="S318" s="51">
        <v>0</v>
      </c>
      <c r="T318" s="47"/>
      <c r="U318" s="47"/>
      <c r="V318" s="51">
        <v>0</v>
      </c>
      <c r="W318" s="51">
        <v>0</v>
      </c>
      <c r="X318" s="51">
        <v>0</v>
      </c>
      <c r="Y318" s="51">
        <v>0</v>
      </c>
      <c r="Z318" s="48">
        <v>0</v>
      </c>
      <c r="AA318" s="48">
        <v>0</v>
      </c>
      <c r="AB318" s="48">
        <v>0</v>
      </c>
      <c r="AC318" s="48">
        <v>0</v>
      </c>
      <c r="AD318" s="55">
        <v>0</v>
      </c>
      <c r="AE318" s="213">
        <v>0</v>
      </c>
      <c r="AF318" s="212">
        <v>0</v>
      </c>
      <c r="AG318" s="121">
        <v>0</v>
      </c>
      <c r="AH318" s="51">
        <v>0</v>
      </c>
      <c r="AI318" s="51">
        <v>0</v>
      </c>
      <c r="AJ318" s="51">
        <v>0</v>
      </c>
      <c r="AK318" s="51">
        <v>0</v>
      </c>
      <c r="AL318" s="14"/>
      <c r="AM318" s="122"/>
      <c r="AN318" s="51">
        <v>0</v>
      </c>
      <c r="AO318" s="51">
        <v>0</v>
      </c>
      <c r="AP318" s="51">
        <v>0</v>
      </c>
      <c r="AQ318" s="47"/>
      <c r="AR318" s="51">
        <v>0</v>
      </c>
      <c r="AS318" s="51">
        <v>0</v>
      </c>
    </row>
    <row r="319" ht="45.75" customHeight="1" hidden="1">
      <c r="A319" t="s" s="83">
        <v>1236</v>
      </c>
      <c r="B319" t="s" s="67">
        <v>333</v>
      </c>
      <c r="C319" s="228"/>
      <c r="D319" s="228"/>
      <c r="E319" s="189"/>
      <c r="F319" s="182">
        <v>0</v>
      </c>
      <c r="G319" s="183"/>
      <c r="H319" s="42">
        <f>SUM(J319,N319)</f>
        <v>0</v>
      </c>
      <c r="I319" s="207">
        <f>SUM(Q319,S319,U319,W319,Y319,AA319,AC319,AE319,AG319,AI319,AK319,AM319,AO319,AQ319,AS319)</f>
        <v>0</v>
      </c>
      <c r="J319" s="43">
        <f>SUM(P319,R319,T319,V319,X319,Z319,AB319,AD319,AF319,AH319,AJ319,AL319,AN319,AP319,AR319)</f>
        <v>0</v>
      </c>
      <c r="K319" s="44"/>
      <c r="L319" s="6"/>
      <c r="M319" s="6"/>
      <c r="N319" s="14"/>
      <c r="O319" s="122"/>
      <c r="P319" s="46"/>
      <c r="Q319" s="46"/>
      <c r="R319" s="47"/>
      <c r="S319" s="47"/>
      <c r="T319" s="47"/>
      <c r="U319" s="47"/>
      <c r="V319" s="47"/>
      <c r="W319" s="47"/>
      <c r="X319" s="51">
        <v>0</v>
      </c>
      <c r="Y319" s="51">
        <v>0</v>
      </c>
      <c r="Z319" s="48">
        <v>0</v>
      </c>
      <c r="AA319" s="48">
        <v>0</v>
      </c>
      <c r="AB319" s="49"/>
      <c r="AC319" s="49"/>
      <c r="AD319" s="50"/>
      <c r="AE319" s="50"/>
      <c r="AF319" s="14"/>
      <c r="AG319" s="122"/>
      <c r="AH319" s="51">
        <v>0</v>
      </c>
      <c r="AI319" s="51">
        <v>0</v>
      </c>
      <c r="AJ319" s="51">
        <v>0</v>
      </c>
      <c r="AK319" s="51">
        <v>0</v>
      </c>
      <c r="AL319" s="14"/>
      <c r="AM319" s="122"/>
      <c r="AN319" s="47"/>
      <c r="AO319" s="47"/>
      <c r="AP319" s="47"/>
      <c r="AQ319" s="47"/>
      <c r="AR319" s="47"/>
      <c r="AS319" s="47"/>
    </row>
    <row r="320" ht="38.25" customHeight="1" hidden="1">
      <c r="A320" t="s" s="103">
        <v>1237</v>
      </c>
      <c r="B320" t="s" s="10">
        <v>334</v>
      </c>
      <c r="C320" t="s" s="103">
        <v>800</v>
      </c>
      <c r="D320" t="s" s="66">
        <v>717</v>
      </c>
      <c r="E320" s="181"/>
      <c r="F320" t="s" s="101">
        <v>714</v>
      </c>
      <c r="G320" s="203"/>
      <c r="H320" s="204">
        <f>SUM(J320,N320)</f>
        <v>500</v>
      </c>
      <c r="I320" s="205">
        <f>SUM(Q320,S320,U320,W320,Y320,AA320,AC320,AE320,AG320,AI320,AK320,AM320,AO320,AQ320,AS320)</f>
        <v>0</v>
      </c>
      <c r="J320" s="35">
        <f>SUM(P320,R320,T320,V320,X320,Z320,AB320,AD320,AF320,AH320,AJ320,AL320,AN320,AP320,AR320)</f>
        <v>500</v>
      </c>
      <c r="K320" s="36"/>
      <c r="L320" s="196"/>
      <c r="M320" s="196"/>
      <c r="N320" s="196"/>
      <c r="O320" s="197"/>
      <c r="P320" s="27">
        <v>300</v>
      </c>
      <c r="Q320" s="27">
        <v>0</v>
      </c>
      <c r="R320" s="38">
        <v>0</v>
      </c>
      <c r="S320" s="38">
        <v>0</v>
      </c>
      <c r="T320" s="38">
        <v>200</v>
      </c>
      <c r="U320" s="38">
        <v>0</v>
      </c>
      <c r="V320" s="38">
        <v>0</v>
      </c>
      <c r="W320" s="38">
        <v>0</v>
      </c>
      <c r="X320" s="38">
        <v>0</v>
      </c>
      <c r="Y320" s="38">
        <v>0</v>
      </c>
      <c r="Z320" s="40">
        <v>0</v>
      </c>
      <c r="AA320" s="40">
        <v>0</v>
      </c>
      <c r="AB320" s="40">
        <v>0</v>
      </c>
      <c r="AC320" s="40">
        <v>0</v>
      </c>
      <c r="AD320" s="40">
        <v>0</v>
      </c>
      <c r="AE320" s="40">
        <v>0</v>
      </c>
      <c r="AF320" s="198">
        <v>0</v>
      </c>
      <c r="AG320" s="206">
        <v>0</v>
      </c>
      <c r="AH320" s="38">
        <v>0</v>
      </c>
      <c r="AI320" s="38">
        <v>0</v>
      </c>
      <c r="AJ320" s="38">
        <v>0</v>
      </c>
      <c r="AK320" s="38">
        <v>0</v>
      </c>
      <c r="AL320" s="202"/>
      <c r="AM320" s="197"/>
      <c r="AN320" s="38">
        <v>0</v>
      </c>
      <c r="AO320" s="38">
        <v>0</v>
      </c>
      <c r="AP320" s="38">
        <v>0</v>
      </c>
      <c r="AQ320" s="80"/>
      <c r="AR320" s="38">
        <v>0</v>
      </c>
      <c r="AS320" s="38">
        <v>0</v>
      </c>
    </row>
    <row r="321" ht="31.5" customHeight="1" hidden="1">
      <c r="A321" t="s" s="103">
        <v>1238</v>
      </c>
      <c r="B321" t="s" s="10">
        <v>335</v>
      </c>
      <c r="C321" t="s" s="103">
        <v>765</v>
      </c>
      <c r="D321" t="s" s="66">
        <v>713</v>
      </c>
      <c r="E321" s="181"/>
      <c r="F321" t="s" s="101">
        <v>714</v>
      </c>
      <c r="G321" s="203"/>
      <c r="H321" s="204">
        <f>SUM(J321,N321)</f>
        <v>500</v>
      </c>
      <c r="I321" s="205">
        <f>SUM(Q321,S321,U321,W321,Y321,AA321,AC321,AE321,AG321,AI321,AK321,AM321,AO321,AQ321,AS321)</f>
        <v>0</v>
      </c>
      <c r="J321" s="35">
        <f>SUM(P321,R321,T321,V321,X321,Z321,AB321,AD321,AF321,AH321,AJ321,AL321,AN321,AP321,AR321)</f>
        <v>500</v>
      </c>
      <c r="K321" s="36"/>
      <c r="L321" s="196"/>
      <c r="M321" s="196"/>
      <c r="N321" s="196"/>
      <c r="O321" s="197"/>
      <c r="P321" s="27">
        <v>0</v>
      </c>
      <c r="Q321" s="27">
        <v>0</v>
      </c>
      <c r="R321" s="38">
        <v>0</v>
      </c>
      <c r="S321" s="38">
        <v>0</v>
      </c>
      <c r="T321" s="38">
        <v>0</v>
      </c>
      <c r="U321" s="38">
        <v>0</v>
      </c>
      <c r="V321" s="38">
        <v>0</v>
      </c>
      <c r="W321" s="38">
        <v>0</v>
      </c>
      <c r="X321" s="38">
        <v>0</v>
      </c>
      <c r="Y321" s="38">
        <v>0</v>
      </c>
      <c r="Z321" s="40">
        <v>0</v>
      </c>
      <c r="AA321" s="40">
        <v>0</v>
      </c>
      <c r="AB321" s="40">
        <v>0</v>
      </c>
      <c r="AC321" s="40">
        <v>0</v>
      </c>
      <c r="AD321" s="40">
        <v>0</v>
      </c>
      <c r="AE321" s="40">
        <v>0</v>
      </c>
      <c r="AF321" s="198">
        <v>0</v>
      </c>
      <c r="AG321" s="206">
        <v>0</v>
      </c>
      <c r="AH321" s="38">
        <v>0</v>
      </c>
      <c r="AI321" s="38">
        <v>0</v>
      </c>
      <c r="AJ321" s="38">
        <v>0</v>
      </c>
      <c r="AK321" s="38">
        <v>0</v>
      </c>
      <c r="AL321" s="275">
        <v>500</v>
      </c>
      <c r="AM321" s="275">
        <v>0</v>
      </c>
      <c r="AN321" s="38">
        <v>0</v>
      </c>
      <c r="AO321" s="38">
        <v>0</v>
      </c>
      <c r="AP321" s="38">
        <v>0</v>
      </c>
      <c r="AQ321" s="80"/>
      <c r="AR321" s="38">
        <v>0</v>
      </c>
      <c r="AS321" s="38">
        <v>0</v>
      </c>
    </row>
    <row r="322" ht="409.5" customHeight="1" hidden="1">
      <c r="A322" t="s" s="103">
        <v>1239</v>
      </c>
      <c r="B322" t="s" s="103">
        <v>336</v>
      </c>
      <c r="C322" t="s" s="103">
        <v>1240</v>
      </c>
      <c r="D322" t="s" s="66">
        <v>717</v>
      </c>
      <c r="E322" t="s" s="124">
        <v>1241</v>
      </c>
      <c r="F322" s="203"/>
      <c r="G322" s="203"/>
      <c r="H322" s="204">
        <f>SUM(J322,N322)</f>
        <v>0</v>
      </c>
      <c r="I322" s="205">
        <f>SUM(Q322,S322,U322,W322,Y322,AA322,AC322,AE322,AG322,AI322,AK322,AM322,AO322,AQ322,AS322)</f>
        <v>0</v>
      </c>
      <c r="J322" s="35">
        <f>SUM(P322,R322,T322,V322,X322,Z322,AB322,AD322,AF322,AH322,AJ322,AL322,AN322,AP322,AR322)</f>
        <v>0</v>
      </c>
      <c r="K322" s="36"/>
      <c r="L322" s="196"/>
      <c r="M322" s="196"/>
      <c r="N322" s="196"/>
      <c r="O322" s="197"/>
      <c r="P322" s="27">
        <v>0</v>
      </c>
      <c r="Q322" s="27">
        <v>0</v>
      </c>
      <c r="R322" s="38">
        <v>0</v>
      </c>
      <c r="S322" s="38">
        <v>0</v>
      </c>
      <c r="T322" s="38">
        <v>0</v>
      </c>
      <c r="U322" s="38">
        <v>0</v>
      </c>
      <c r="V322" s="38">
        <v>0</v>
      </c>
      <c r="W322" s="38">
        <v>0</v>
      </c>
      <c r="X322" s="38">
        <v>0</v>
      </c>
      <c r="Y322" s="38">
        <v>0</v>
      </c>
      <c r="Z322" s="40">
        <v>0</v>
      </c>
      <c r="AA322" s="40">
        <v>0</v>
      </c>
      <c r="AB322" s="40">
        <v>0</v>
      </c>
      <c r="AC322" s="40">
        <v>0</v>
      </c>
      <c r="AD322" s="40">
        <v>0</v>
      </c>
      <c r="AE322" s="40">
        <v>0</v>
      </c>
      <c r="AF322" s="198">
        <v>0</v>
      </c>
      <c r="AG322" s="206">
        <v>0</v>
      </c>
      <c r="AH322" s="38">
        <v>0</v>
      </c>
      <c r="AI322" s="38">
        <v>0</v>
      </c>
      <c r="AJ322" s="38">
        <v>0</v>
      </c>
      <c r="AK322" s="38">
        <v>0</v>
      </c>
      <c r="AL322" s="202"/>
      <c r="AM322" s="197"/>
      <c r="AN322" s="38">
        <v>0</v>
      </c>
      <c r="AO322" s="38">
        <v>0</v>
      </c>
      <c r="AP322" s="38">
        <v>0</v>
      </c>
      <c r="AQ322" s="80"/>
      <c r="AR322" s="38">
        <v>0</v>
      </c>
      <c r="AS322" s="38">
        <v>0</v>
      </c>
    </row>
    <row r="323" ht="19.5" customHeight="1" hidden="1">
      <c r="A323" t="s" s="83">
        <v>1242</v>
      </c>
      <c r="B323" t="s" s="82">
        <v>337</v>
      </c>
      <c r="C323" s="228"/>
      <c r="D323" s="228"/>
      <c r="E323" s="189"/>
      <c r="F323" s="182">
        <v>0</v>
      </c>
      <c r="G323" s="183"/>
      <c r="H323" s="42">
        <f>SUM(J323,N323)</f>
        <v>0</v>
      </c>
      <c r="I323" s="207">
        <f>SUM(Q323,S323,U323,W323,Y323,AA323,AC323,AE323,AG323,AI323,AK323,AM323,AO323,AQ323,AS323)</f>
        <v>0</v>
      </c>
      <c r="J323" s="43">
        <f>SUM(P323,R323,T323,V323,X323,Z323,AB323,AD323,AF323,AH323,AJ323,AL323,AN323,AP323,AR323)</f>
        <v>0</v>
      </c>
      <c r="K323" s="44"/>
      <c r="L323" s="6"/>
      <c r="M323" s="6"/>
      <c r="N323" s="14"/>
      <c r="O323" s="15"/>
      <c r="P323" s="186"/>
      <c r="Q323" s="76"/>
      <c r="R323" s="47"/>
      <c r="S323" s="47"/>
      <c r="T323" s="47"/>
      <c r="U323" s="47"/>
      <c r="V323" s="47"/>
      <c r="W323" s="47"/>
      <c r="X323" s="47"/>
      <c r="Y323" s="47"/>
      <c r="Z323" s="48">
        <v>0</v>
      </c>
      <c r="AA323" s="48">
        <v>0</v>
      </c>
      <c r="AB323" s="49"/>
      <c r="AC323" s="49"/>
      <c r="AD323" s="50"/>
      <c r="AE323" s="50"/>
      <c r="AF323" s="14"/>
      <c r="AG323" s="122"/>
      <c r="AH323" s="51">
        <v>0</v>
      </c>
      <c r="AI323" s="51">
        <v>0</v>
      </c>
      <c r="AJ323" s="47"/>
      <c r="AK323" s="47"/>
      <c r="AL323" s="14"/>
      <c r="AM323" s="122"/>
      <c r="AN323" s="47"/>
      <c r="AO323" s="47"/>
      <c r="AP323" s="47"/>
      <c r="AQ323" s="47"/>
      <c r="AR323" s="51">
        <v>0</v>
      </c>
      <c r="AS323" s="51">
        <v>0</v>
      </c>
    </row>
    <row r="324" ht="78" customHeight="1" hidden="1">
      <c r="A324" t="s" s="59">
        <v>1243</v>
      </c>
      <c r="B324" t="s" s="21">
        <v>338</v>
      </c>
      <c r="C324" t="s" s="59">
        <v>765</v>
      </c>
      <c r="D324" t="s" s="190">
        <v>713</v>
      </c>
      <c r="E324" t="s" s="216">
        <v>1244</v>
      </c>
      <c r="F324" t="s" s="192">
        <v>714</v>
      </c>
      <c r="G324" t="s" s="235">
        <v>1245</v>
      </c>
      <c r="H324" s="194">
        <f>SUM(J324,N324)</f>
        <v>2490</v>
      </c>
      <c r="I324" s="195">
        <f>SUM(Q324,S324,U324,W324,Y324,AA324,AC324,AE324,AG324,AI324,AK324,AM324,AO324,AQ324,AS324)</f>
        <v>0</v>
      </c>
      <c r="J324" s="23">
        <f>SUM(P324,R324,T324,V324,X324,Z324,AB324,AD324,AF324,AH324,AJ324,AL324,AN324,AP324,AR324)</f>
        <v>2490</v>
      </c>
      <c r="K324" s="36"/>
      <c r="L324" s="196"/>
      <c r="M324" s="196"/>
      <c r="N324" s="196"/>
      <c r="O324" s="196"/>
      <c r="P324" s="200">
        <v>0</v>
      </c>
      <c r="Q324" s="201">
        <v>0</v>
      </c>
      <c r="R324" s="28">
        <v>100</v>
      </c>
      <c r="S324" s="28">
        <v>0</v>
      </c>
      <c r="T324" s="28">
        <v>750</v>
      </c>
      <c r="U324" s="28">
        <v>0</v>
      </c>
      <c r="V324" s="28">
        <v>200</v>
      </c>
      <c r="W324" s="28">
        <v>0</v>
      </c>
      <c r="X324" s="28">
        <v>0</v>
      </c>
      <c r="Y324" s="28">
        <v>0</v>
      </c>
      <c r="Z324" s="30">
        <v>0</v>
      </c>
      <c r="AA324" s="30">
        <v>0</v>
      </c>
      <c r="AB324" s="30">
        <v>0</v>
      </c>
      <c r="AC324" s="30">
        <v>0</v>
      </c>
      <c r="AD324" s="30">
        <v>0</v>
      </c>
      <c r="AE324" s="30">
        <v>0</v>
      </c>
      <c r="AF324" s="198">
        <v>0</v>
      </c>
      <c r="AG324" s="206">
        <v>0</v>
      </c>
      <c r="AH324" s="28">
        <v>0</v>
      </c>
      <c r="AI324" s="28">
        <v>0</v>
      </c>
      <c r="AJ324" s="28">
        <v>1440</v>
      </c>
      <c r="AK324" s="28">
        <v>0</v>
      </c>
      <c r="AL324" s="202"/>
      <c r="AM324" s="197"/>
      <c r="AN324" s="28">
        <v>0</v>
      </c>
      <c r="AO324" s="28">
        <v>0</v>
      </c>
      <c r="AP324" s="28">
        <v>0</v>
      </c>
      <c r="AQ324" s="87"/>
      <c r="AR324" s="28">
        <v>0</v>
      </c>
      <c r="AS324" s="28">
        <v>0</v>
      </c>
    </row>
    <row r="325" ht="19.5" customHeight="1" hidden="1">
      <c r="A325" t="s" s="59">
        <v>1246</v>
      </c>
      <c r="B325" t="s" s="21">
        <v>339</v>
      </c>
      <c r="C325" t="s" s="59">
        <v>765</v>
      </c>
      <c r="D325" t="s" s="190">
        <v>713</v>
      </c>
      <c r="E325" s="191"/>
      <c r="F325" t="s" s="192">
        <v>714</v>
      </c>
      <c r="G325" s="193"/>
      <c r="H325" s="194">
        <f>SUM(J325,N325)</f>
        <v>5300</v>
      </c>
      <c r="I325" s="195">
        <f>SUM(Q325,S325,U325,W325,Y325,AA325,AC325,AE325,AG325,AI325,AK325,AM325,AO325,AQ325,AS325)</f>
        <v>350</v>
      </c>
      <c r="J325" s="23">
        <f>SUM(P325,R325,T325,V325,X325,Z325,AB325,AD325,AF325,AH325,AJ325,AL325,AN325,AP325,AR325)</f>
        <v>5300</v>
      </c>
      <c r="K325" s="36"/>
      <c r="L325" s="196"/>
      <c r="M325" s="196"/>
      <c r="N325" s="196"/>
      <c r="O325" s="196"/>
      <c r="P325" s="200">
        <v>200</v>
      </c>
      <c r="Q325" s="201">
        <v>0</v>
      </c>
      <c r="R325" s="28">
        <v>100</v>
      </c>
      <c r="S325" s="28">
        <v>350</v>
      </c>
      <c r="T325" s="28">
        <v>5000</v>
      </c>
      <c r="U325" s="28">
        <v>0</v>
      </c>
      <c r="V325" s="28">
        <v>0</v>
      </c>
      <c r="W325" s="28">
        <v>0</v>
      </c>
      <c r="X325" s="28">
        <v>0</v>
      </c>
      <c r="Y325" s="28">
        <v>0</v>
      </c>
      <c r="Z325" s="30">
        <v>0</v>
      </c>
      <c r="AA325" s="30">
        <v>0</v>
      </c>
      <c r="AB325" s="30">
        <v>0</v>
      </c>
      <c r="AC325" s="30">
        <v>0</v>
      </c>
      <c r="AD325" s="30">
        <v>0</v>
      </c>
      <c r="AE325" s="30">
        <v>0</v>
      </c>
      <c r="AF325" s="198">
        <v>0</v>
      </c>
      <c r="AG325" s="206">
        <v>0</v>
      </c>
      <c r="AH325" s="28">
        <v>0</v>
      </c>
      <c r="AI325" s="28">
        <v>0</v>
      </c>
      <c r="AJ325" s="28">
        <v>0</v>
      </c>
      <c r="AK325" s="28">
        <v>0</v>
      </c>
      <c r="AL325" s="202"/>
      <c r="AM325" s="197"/>
      <c r="AN325" s="28">
        <v>0</v>
      </c>
      <c r="AO325" s="28">
        <v>0</v>
      </c>
      <c r="AP325" s="28">
        <v>0</v>
      </c>
      <c r="AQ325" s="87"/>
      <c r="AR325" s="28">
        <v>0</v>
      </c>
      <c r="AS325" s="28">
        <v>0</v>
      </c>
    </row>
    <row r="326" ht="157.5" customHeight="1" hidden="1">
      <c r="A326" t="s" s="88">
        <v>1247</v>
      </c>
      <c r="B326" t="s" s="88">
        <v>340</v>
      </c>
      <c r="C326" s="228"/>
      <c r="D326" s="228"/>
      <c r="E326" t="s" s="276">
        <v>1248</v>
      </c>
      <c r="F326" s="182">
        <v>0</v>
      </c>
      <c r="G326" s="183"/>
      <c r="H326" s="42">
        <f>SUM(J326,N326)</f>
        <v>0</v>
      </c>
      <c r="I326" s="207">
        <f>SUM(Q326,S326,U326,W326,Y326,AA326,AC326,AE326,AG326,AI326,AK326,AM326,AO326,AQ326,AS326)</f>
        <v>0</v>
      </c>
      <c r="J326" s="43">
        <f>SUM(P326,R326,T326,V326,X326,Z326,AB326,AD326,AF326,AH326,AJ326,AL326,AN326,AP326,AR326)</f>
        <v>0</v>
      </c>
      <c r="K326" s="44"/>
      <c r="L326" s="6"/>
      <c r="M326" s="6"/>
      <c r="N326" s="14"/>
      <c r="O326" s="277"/>
      <c r="P326" s="278">
        <v>0</v>
      </c>
      <c r="Q326" s="279"/>
      <c r="R326" s="47"/>
      <c r="S326" s="47"/>
      <c r="T326" s="47"/>
      <c r="U326" s="47"/>
      <c r="V326" s="47"/>
      <c r="W326" s="47"/>
      <c r="X326" s="47"/>
      <c r="Y326" s="47"/>
      <c r="Z326" s="48">
        <v>0</v>
      </c>
      <c r="AA326" s="48">
        <v>0</v>
      </c>
      <c r="AB326" s="49"/>
      <c r="AC326" s="49"/>
      <c r="AD326" s="50"/>
      <c r="AE326" s="50"/>
      <c r="AF326" s="14"/>
      <c r="AG326" s="122"/>
      <c r="AH326" s="51">
        <v>0</v>
      </c>
      <c r="AI326" s="51">
        <v>0</v>
      </c>
      <c r="AJ326" s="47"/>
      <c r="AK326" s="47"/>
      <c r="AL326" s="14"/>
      <c r="AM326" s="122"/>
      <c r="AN326" s="47"/>
      <c r="AO326" s="47"/>
      <c r="AP326" s="47"/>
      <c r="AQ326" s="47"/>
      <c r="AR326" s="51">
        <v>0</v>
      </c>
      <c r="AS326" s="51">
        <v>0</v>
      </c>
    </row>
    <row r="327" ht="58.5" customHeight="1" hidden="1">
      <c r="A327" t="s" s="214">
        <v>1249</v>
      </c>
      <c r="B327" t="s" s="21">
        <v>341</v>
      </c>
      <c r="C327" t="s" s="59">
        <v>765</v>
      </c>
      <c r="D327" t="s" s="190">
        <v>713</v>
      </c>
      <c r="E327" t="s" s="216">
        <v>1250</v>
      </c>
      <c r="F327" t="s" s="192">
        <v>720</v>
      </c>
      <c r="G327" s="193"/>
      <c r="H327" s="194">
        <f>SUM(J327,N327)</f>
        <v>48000</v>
      </c>
      <c r="I327" s="195">
        <f>SUM(Q327,S327,U327,W327,Y327,AA327,AC327,AE327,AG327,AI327,AK327,AM327,AO327,AQ327,AS327)</f>
        <v>3990</v>
      </c>
      <c r="J327" s="23">
        <f>SUM(P327,R327,T327,V327,X327,Z327,AB327,AD327,AF327,AH327,AJ327,AL327,AN327,AP327,AR327)</f>
        <v>48000</v>
      </c>
      <c r="K327" s="36"/>
      <c r="L327" s="196"/>
      <c r="M327" s="196"/>
      <c r="N327" s="196"/>
      <c r="O327" s="197"/>
      <c r="P327" s="27">
        <v>30000</v>
      </c>
      <c r="Q327" s="27">
        <v>0</v>
      </c>
      <c r="R327" s="28">
        <v>0</v>
      </c>
      <c r="S327" s="28">
        <v>0</v>
      </c>
      <c r="T327" s="28">
        <v>10000</v>
      </c>
      <c r="U327" s="28">
        <v>3390</v>
      </c>
      <c r="V327" s="28">
        <v>5000</v>
      </c>
      <c r="W327" s="28">
        <v>600</v>
      </c>
      <c r="X327" s="28">
        <v>1200</v>
      </c>
      <c r="Y327" s="87"/>
      <c r="Z327" s="30">
        <v>0</v>
      </c>
      <c r="AA327" s="30">
        <v>0</v>
      </c>
      <c r="AB327" s="30">
        <v>0</v>
      </c>
      <c r="AC327" s="30">
        <v>0</v>
      </c>
      <c r="AD327" s="30">
        <v>0</v>
      </c>
      <c r="AE327" s="30">
        <v>0</v>
      </c>
      <c r="AF327" s="198">
        <v>0</v>
      </c>
      <c r="AG327" s="206">
        <v>0</v>
      </c>
      <c r="AH327" s="28">
        <v>0</v>
      </c>
      <c r="AI327" s="28">
        <v>0</v>
      </c>
      <c r="AJ327" s="28">
        <v>1800</v>
      </c>
      <c r="AK327" s="28">
        <v>0</v>
      </c>
      <c r="AL327" s="202"/>
      <c r="AM327" s="197"/>
      <c r="AN327" s="28">
        <v>0</v>
      </c>
      <c r="AO327" s="28">
        <v>0</v>
      </c>
      <c r="AP327" s="28">
        <v>0</v>
      </c>
      <c r="AQ327" s="87"/>
      <c r="AR327" s="28">
        <v>0</v>
      </c>
      <c r="AS327" s="28">
        <v>0</v>
      </c>
    </row>
    <row r="328" ht="117" customHeight="1" hidden="1">
      <c r="A328" t="s" s="214">
        <v>1251</v>
      </c>
      <c r="B328" t="s" s="21">
        <v>342</v>
      </c>
      <c r="C328" t="s" s="59">
        <v>765</v>
      </c>
      <c r="D328" t="s" s="190">
        <v>713</v>
      </c>
      <c r="E328" t="s" s="216">
        <v>1252</v>
      </c>
      <c r="F328" t="s" s="192">
        <v>714</v>
      </c>
      <c r="G328" s="193"/>
      <c r="H328" s="194">
        <f>SUM(J328,N328)</f>
        <v>44100</v>
      </c>
      <c r="I328" s="195">
        <f>SUM(Q328,S328,U328,W328,Y328,AA328,AC328,AE328,AG328,AI328,AK328,AM328,AO328,AQ328,AS328)</f>
        <v>10100</v>
      </c>
      <c r="J328" s="23">
        <f>SUM(P328,R328,T328,V328,X328,Z328,AB328,AD328,AF328,AH328,AJ328,AL328,AN328,AP328,AR328)</f>
        <v>44100</v>
      </c>
      <c r="K328" s="36"/>
      <c r="L328" s="196"/>
      <c r="M328" s="196"/>
      <c r="N328" s="196"/>
      <c r="O328" s="197"/>
      <c r="P328" s="27">
        <v>25000</v>
      </c>
      <c r="Q328" s="27">
        <v>3000</v>
      </c>
      <c r="R328" s="28">
        <v>0</v>
      </c>
      <c r="S328" s="28">
        <v>0</v>
      </c>
      <c r="T328" s="28">
        <v>10000</v>
      </c>
      <c r="U328" s="28">
        <v>5000</v>
      </c>
      <c r="V328" s="28">
        <v>6000</v>
      </c>
      <c r="W328" s="28">
        <v>600</v>
      </c>
      <c r="X328" s="28">
        <v>1000</v>
      </c>
      <c r="Y328" s="28">
        <v>0</v>
      </c>
      <c r="Z328" s="30">
        <v>0</v>
      </c>
      <c r="AA328" s="30">
        <v>0</v>
      </c>
      <c r="AB328" s="30">
        <v>0</v>
      </c>
      <c r="AC328" s="30">
        <v>0</v>
      </c>
      <c r="AD328" s="30">
        <v>0</v>
      </c>
      <c r="AE328" s="30">
        <v>0</v>
      </c>
      <c r="AF328" s="198">
        <v>0</v>
      </c>
      <c r="AG328" s="206">
        <v>0</v>
      </c>
      <c r="AH328" s="28">
        <v>0</v>
      </c>
      <c r="AI328" s="28">
        <v>0</v>
      </c>
      <c r="AJ328" s="28">
        <v>1800</v>
      </c>
      <c r="AK328" s="28">
        <v>1500</v>
      </c>
      <c r="AL328" s="234">
        <v>300</v>
      </c>
      <c r="AM328" s="234">
        <v>0</v>
      </c>
      <c r="AN328" s="28">
        <v>0</v>
      </c>
      <c r="AO328" s="28">
        <v>0</v>
      </c>
      <c r="AP328" s="28">
        <v>0</v>
      </c>
      <c r="AQ328" s="87"/>
      <c r="AR328" s="28">
        <v>0</v>
      </c>
      <c r="AS328" s="28">
        <v>0</v>
      </c>
    </row>
    <row r="329" ht="31.5" customHeight="1" hidden="1">
      <c r="A329" t="s" s="214">
        <v>1253</v>
      </c>
      <c r="B329" t="s" s="21">
        <v>343</v>
      </c>
      <c r="C329" t="s" s="59">
        <v>765</v>
      </c>
      <c r="D329" t="s" s="190">
        <v>713</v>
      </c>
      <c r="E329" t="s" s="269">
        <v>1180</v>
      </c>
      <c r="F329" t="s" s="192">
        <v>720</v>
      </c>
      <c r="G329" s="193"/>
      <c r="H329" s="194">
        <f>SUM(J329,N329)</f>
        <v>69884</v>
      </c>
      <c r="I329" s="195">
        <f>SUM(Q329,S329,U329,W329,Y329,AA329,AC329,AE329,AG329,AI329,AK329,AM329,AO329,AQ329,AS329)</f>
        <v>46130</v>
      </c>
      <c r="J329" s="23">
        <f>SUM(P329,R329,T329,V329,X329,Z329,AB329,AD329,AF329,AH329,AJ329,AL329,AN329,AP329,AR329)</f>
        <v>69884</v>
      </c>
      <c r="K329" s="36"/>
      <c r="L329" s="196"/>
      <c r="M329" s="196"/>
      <c r="N329" s="196"/>
      <c r="O329" s="197"/>
      <c r="P329" s="27">
        <v>10000</v>
      </c>
      <c r="Q329" s="27">
        <v>5900</v>
      </c>
      <c r="R329" s="28">
        <v>0</v>
      </c>
      <c r="S329" s="28">
        <v>0</v>
      </c>
      <c r="T329" s="28">
        <v>25000</v>
      </c>
      <c r="U329" s="28">
        <v>15000</v>
      </c>
      <c r="V329" s="28">
        <v>4000</v>
      </c>
      <c r="W329" s="28">
        <v>0</v>
      </c>
      <c r="X329" s="28">
        <v>2300</v>
      </c>
      <c r="Y329" s="28">
        <v>1410</v>
      </c>
      <c r="Z329" s="30">
        <v>0</v>
      </c>
      <c r="AA329" s="30">
        <v>0</v>
      </c>
      <c r="AB329" s="30">
        <v>0</v>
      </c>
      <c r="AC329" s="30">
        <v>0</v>
      </c>
      <c r="AD329" s="30">
        <v>0</v>
      </c>
      <c r="AE329" s="30">
        <v>0</v>
      </c>
      <c r="AF329" s="198">
        <v>0</v>
      </c>
      <c r="AG329" s="206">
        <v>0</v>
      </c>
      <c r="AH329" s="28">
        <v>0</v>
      </c>
      <c r="AI329" s="28">
        <v>0</v>
      </c>
      <c r="AJ329" s="28">
        <v>28584</v>
      </c>
      <c r="AK329" s="28">
        <v>23820</v>
      </c>
      <c r="AL329" s="202"/>
      <c r="AM329" s="197"/>
      <c r="AN329" s="28">
        <v>0</v>
      </c>
      <c r="AO329" s="28">
        <v>0</v>
      </c>
      <c r="AP329" s="28">
        <v>0</v>
      </c>
      <c r="AQ329" s="87"/>
      <c r="AR329" s="28">
        <v>0</v>
      </c>
      <c r="AS329" s="28">
        <v>0</v>
      </c>
    </row>
    <row r="330" ht="19.5" customHeight="1" hidden="1">
      <c r="A330" s="227">
        <v>7</v>
      </c>
      <c r="B330" t="s" s="10">
        <v>344</v>
      </c>
      <c r="C330" s="180"/>
      <c r="D330" s="180"/>
      <c r="E330" s="189"/>
      <c r="F330" s="182">
        <v>0</v>
      </c>
      <c r="G330" s="183"/>
      <c r="H330" s="42">
        <f>SUM(J330,N330)</f>
        <v>0</v>
      </c>
      <c r="I330" s="207">
        <f>SUM(Q330,S330,U330,W330,Y330,AA330,AC330,AE330,AG330,AI330,AK330,AM330,AO330,AQ330,AS330)</f>
        <v>0</v>
      </c>
      <c r="J330" s="43">
        <f>SUM(P330,R330,T330,V330,X330,Z330,AB330,AD330,AF330,AH330,AJ330,AL330,AN330,AP330,AR330)</f>
        <v>0</v>
      </c>
      <c r="K330" s="44"/>
      <c r="L330" s="6"/>
      <c r="M330" s="6"/>
      <c r="N330" s="14"/>
      <c r="O330" s="122"/>
      <c r="P330" t="s" s="108">
        <v>345</v>
      </c>
      <c r="Q330" s="46"/>
      <c r="R330" s="47"/>
      <c r="S330" s="47"/>
      <c r="T330" s="47"/>
      <c r="U330" s="47"/>
      <c r="V330" s="47"/>
      <c r="W330" s="47"/>
      <c r="X330" s="47"/>
      <c r="Y330" s="47"/>
      <c r="Z330" s="48">
        <v>0</v>
      </c>
      <c r="AA330" s="48">
        <v>0</v>
      </c>
      <c r="AB330" s="49"/>
      <c r="AC330" s="49"/>
      <c r="AD330" s="55">
        <v>0</v>
      </c>
      <c r="AE330" s="213">
        <v>0</v>
      </c>
      <c r="AF330" s="14"/>
      <c r="AG330" s="122"/>
      <c r="AH330" s="51">
        <v>0</v>
      </c>
      <c r="AI330" s="51">
        <v>0</v>
      </c>
      <c r="AJ330" s="47"/>
      <c r="AK330" s="47"/>
      <c r="AL330" s="14"/>
      <c r="AM330" s="122"/>
      <c r="AN330" s="47"/>
      <c r="AO330" s="47"/>
      <c r="AP330" s="47"/>
      <c r="AQ330" s="47"/>
      <c r="AR330" s="51">
        <v>0</v>
      </c>
      <c r="AS330" s="51">
        <v>0</v>
      </c>
    </row>
    <row r="331" ht="19.5" customHeight="1" hidden="1">
      <c r="A331" t="s" s="88">
        <v>1254</v>
      </c>
      <c r="B331" t="s" s="67">
        <v>346</v>
      </c>
      <c r="C331" s="228"/>
      <c r="D331" s="228"/>
      <c r="E331" s="189"/>
      <c r="F331" s="182">
        <v>0</v>
      </c>
      <c r="G331" s="183"/>
      <c r="H331" s="42">
        <f>SUM(J331,N331)</f>
        <v>0</v>
      </c>
      <c r="I331" s="207">
        <f>SUM(Q331,S331,U331,W331,Y331,AA331,AC331,AE331,AG331,AI331,AK331,AM331,AO331,AQ331,AS331)</f>
        <v>0</v>
      </c>
      <c r="J331" s="43">
        <f>SUM(P331,R331,T331,V331,X331,Z331,AB331,AD331,AF331,AH331,AJ331,AL331,AN331,AP331,AR331)</f>
        <v>0</v>
      </c>
      <c r="K331" s="44"/>
      <c r="L331" s="6"/>
      <c r="M331" s="6"/>
      <c r="N331" s="14"/>
      <c r="O331" s="122"/>
      <c r="P331" s="46"/>
      <c r="Q331" s="46"/>
      <c r="R331" s="47"/>
      <c r="S331" s="47"/>
      <c r="T331" s="47"/>
      <c r="U331" s="47"/>
      <c r="V331" s="47"/>
      <c r="W331" s="47"/>
      <c r="X331" s="47"/>
      <c r="Y331" s="47"/>
      <c r="Z331" s="48">
        <v>0</v>
      </c>
      <c r="AA331" s="48">
        <v>0</v>
      </c>
      <c r="AB331" s="49"/>
      <c r="AC331" s="49"/>
      <c r="AD331" s="55">
        <v>0</v>
      </c>
      <c r="AE331" s="213">
        <v>0</v>
      </c>
      <c r="AF331" s="14"/>
      <c r="AG331" s="122"/>
      <c r="AH331" s="51">
        <v>0</v>
      </c>
      <c r="AI331" s="51">
        <v>0</v>
      </c>
      <c r="AJ331" s="47"/>
      <c r="AK331" s="47"/>
      <c r="AL331" s="14"/>
      <c r="AM331" s="122"/>
      <c r="AN331" s="47"/>
      <c r="AO331" s="47"/>
      <c r="AP331" s="47"/>
      <c r="AQ331" s="47"/>
      <c r="AR331" s="51">
        <v>0</v>
      </c>
      <c r="AS331" s="51">
        <v>0</v>
      </c>
    </row>
    <row r="332" ht="97.5" customHeight="1" hidden="1">
      <c r="A332" t="s" s="130">
        <v>1255</v>
      </c>
      <c r="B332" t="s" s="52">
        <v>347</v>
      </c>
      <c r="C332" t="s" s="130">
        <v>782</v>
      </c>
      <c r="D332" t="s" s="209">
        <v>717</v>
      </c>
      <c r="E332" t="s" s="217">
        <v>1256</v>
      </c>
      <c r="F332" t="s" s="210">
        <v>714</v>
      </c>
      <c r="G332" s="211"/>
      <c r="H332" s="42">
        <f>SUM(J332,N332)</f>
        <v>26090</v>
      </c>
      <c r="I332" s="207">
        <f>SUM(Q332,S332,U332,W332,Y332,AA332,AC332,AE332,AG332,AI332,AK332,AM332,AO332,AQ332,AS332)</f>
        <v>5180</v>
      </c>
      <c r="J332" s="43">
        <f>SUM(P332,R332,T332,V332,X332,Z332,AB332,AD332,AF332,AH332,AJ332,AL332,AN332,AP332,AR332)</f>
        <v>26090</v>
      </c>
      <c r="K332" s="44"/>
      <c r="L332" s="6"/>
      <c r="M332" s="6"/>
      <c r="N332" s="14"/>
      <c r="O332" s="122"/>
      <c r="P332" s="27">
        <v>0</v>
      </c>
      <c r="Q332" s="27">
        <v>0</v>
      </c>
      <c r="R332" s="51">
        <v>16000</v>
      </c>
      <c r="S332" s="51">
        <v>2830</v>
      </c>
      <c r="T332" s="51">
        <v>4000</v>
      </c>
      <c r="U332" s="51">
        <v>500</v>
      </c>
      <c r="V332" s="51">
        <v>6000</v>
      </c>
      <c r="W332" s="51">
        <v>1850</v>
      </c>
      <c r="X332" s="51">
        <v>0</v>
      </c>
      <c r="Y332" s="51">
        <v>0</v>
      </c>
      <c r="Z332" s="48">
        <v>30</v>
      </c>
      <c r="AA332" s="48">
        <v>0</v>
      </c>
      <c r="AB332" s="48">
        <v>60</v>
      </c>
      <c r="AC332" s="48">
        <v>0</v>
      </c>
      <c r="AD332" s="55">
        <v>0</v>
      </c>
      <c r="AE332" s="213">
        <v>0</v>
      </c>
      <c r="AF332" s="212">
        <v>0</v>
      </c>
      <c r="AG332" s="121">
        <v>0</v>
      </c>
      <c r="AH332" s="51">
        <v>0</v>
      </c>
      <c r="AI332" s="51">
        <v>0</v>
      </c>
      <c r="AJ332" s="51">
        <v>0</v>
      </c>
      <c r="AK332" s="51">
        <v>0</v>
      </c>
      <c r="AL332" s="14"/>
      <c r="AM332" s="122"/>
      <c r="AN332" s="51">
        <v>0</v>
      </c>
      <c r="AO332" s="51">
        <v>0</v>
      </c>
      <c r="AP332" s="51">
        <v>0</v>
      </c>
      <c r="AQ332" s="47"/>
      <c r="AR332" s="51">
        <v>0</v>
      </c>
      <c r="AS332" s="51">
        <v>0</v>
      </c>
    </row>
    <row r="333" ht="47.25" customHeight="1" hidden="1">
      <c r="A333" t="s" s="59">
        <v>1257</v>
      </c>
      <c r="B333" t="s" s="21">
        <v>348</v>
      </c>
      <c r="C333" t="s" s="59">
        <v>782</v>
      </c>
      <c r="D333" t="s" s="190">
        <v>717</v>
      </c>
      <c r="E333" t="s" s="222">
        <v>757</v>
      </c>
      <c r="F333" t="s" s="192">
        <v>714</v>
      </c>
      <c r="G333" s="193"/>
      <c r="H333" s="194">
        <f>SUM(J333,N333)</f>
        <v>35185</v>
      </c>
      <c r="I333" s="195">
        <f>SUM(Q333,S333,U333,W333,Y333,AA333,AC333,AE333,AG333,AI333,AK333,AM333,AO333,AQ333,AS333)</f>
        <v>24460</v>
      </c>
      <c r="J333" s="23">
        <f>SUM(P333,R333,T333,V333,X333,Z333,AB333,AD333,AF333,AH333,AJ333,AL333,AN333,AP333,AR333)</f>
        <v>35185</v>
      </c>
      <c r="K333" s="36"/>
      <c r="L333" s="196"/>
      <c r="M333" s="196"/>
      <c r="N333" s="196"/>
      <c r="O333" s="197"/>
      <c r="P333" s="27">
        <v>0</v>
      </c>
      <c r="Q333" s="27">
        <v>0</v>
      </c>
      <c r="R333" s="28">
        <v>15000</v>
      </c>
      <c r="S333" s="28">
        <v>11650</v>
      </c>
      <c r="T333" s="28">
        <v>10000</v>
      </c>
      <c r="U333" s="28">
        <v>5150</v>
      </c>
      <c r="V333" s="28">
        <v>10000</v>
      </c>
      <c r="W333" s="28">
        <v>7600</v>
      </c>
      <c r="X333" s="28">
        <v>15</v>
      </c>
      <c r="Y333" s="28">
        <v>10</v>
      </c>
      <c r="Z333" s="30">
        <v>20</v>
      </c>
      <c r="AA333" s="30">
        <v>0</v>
      </c>
      <c r="AB333" s="30">
        <v>150</v>
      </c>
      <c r="AC333" s="30">
        <v>50</v>
      </c>
      <c r="AD333" s="30">
        <v>0</v>
      </c>
      <c r="AE333" s="30">
        <v>0</v>
      </c>
      <c r="AF333" s="198">
        <v>0</v>
      </c>
      <c r="AG333" s="206">
        <v>0</v>
      </c>
      <c r="AH333" s="28">
        <v>0</v>
      </c>
      <c r="AI333" s="28">
        <v>0</v>
      </c>
      <c r="AJ333" s="28">
        <v>0</v>
      </c>
      <c r="AK333" s="28">
        <v>0</v>
      </c>
      <c r="AL333" s="202"/>
      <c r="AM333" s="197"/>
      <c r="AN333" s="28">
        <v>0</v>
      </c>
      <c r="AO333" s="28">
        <v>0</v>
      </c>
      <c r="AP333" s="28">
        <v>0</v>
      </c>
      <c r="AQ333" s="87"/>
      <c r="AR333" s="28">
        <v>0</v>
      </c>
      <c r="AS333" s="28">
        <v>0</v>
      </c>
    </row>
    <row r="334" ht="409.5" customHeight="1" hidden="1">
      <c r="A334" t="s" s="130">
        <v>1258</v>
      </c>
      <c r="B334" t="s" s="52">
        <v>349</v>
      </c>
      <c r="C334" t="s" s="130">
        <v>765</v>
      </c>
      <c r="D334" t="s" s="209">
        <v>713</v>
      </c>
      <c r="E334" t="s" s="217">
        <v>1259</v>
      </c>
      <c r="F334" t="s" s="210">
        <v>714</v>
      </c>
      <c r="G334" s="211"/>
      <c r="H334" s="42">
        <f>SUM(J334,N334)</f>
        <v>27000</v>
      </c>
      <c r="I334" s="207">
        <f>SUM(Q334,S334,U334,W334,Y334,AA334,AC334,AE334,AG334,AI334,AK334,AM334,AO334,AQ334,AS334)</f>
        <v>4640</v>
      </c>
      <c r="J334" s="43">
        <f>SUM(P334,R334,T334,V334,X334,Z334,AB334,AD334,AF334,AH334,AJ334,AL334,AN334,AP334,AR334)</f>
        <v>27000</v>
      </c>
      <c r="K334" s="44"/>
      <c r="L334" s="6"/>
      <c r="M334" s="6"/>
      <c r="N334" s="14"/>
      <c r="O334" s="122"/>
      <c r="P334" s="27">
        <v>0</v>
      </c>
      <c r="Q334" s="27">
        <v>0</v>
      </c>
      <c r="R334" s="51">
        <v>4000</v>
      </c>
      <c r="S334" s="51">
        <v>1960</v>
      </c>
      <c r="T334" s="51">
        <v>15000</v>
      </c>
      <c r="U334" s="51">
        <v>0</v>
      </c>
      <c r="V334" s="51">
        <v>8000</v>
      </c>
      <c r="W334" s="51">
        <v>2680</v>
      </c>
      <c r="X334" s="51">
        <v>0</v>
      </c>
      <c r="Y334" s="51">
        <v>0</v>
      </c>
      <c r="Z334" s="48">
        <v>0</v>
      </c>
      <c r="AA334" s="48">
        <v>0</v>
      </c>
      <c r="AB334" s="48">
        <v>0</v>
      </c>
      <c r="AC334" s="48">
        <v>0</v>
      </c>
      <c r="AD334" s="55">
        <v>0</v>
      </c>
      <c r="AE334" s="213">
        <v>0</v>
      </c>
      <c r="AF334" s="212">
        <v>0</v>
      </c>
      <c r="AG334" s="121">
        <v>0</v>
      </c>
      <c r="AH334" s="51">
        <v>0</v>
      </c>
      <c r="AI334" s="51">
        <v>0</v>
      </c>
      <c r="AJ334" s="51">
        <v>0</v>
      </c>
      <c r="AK334" s="51">
        <v>0</v>
      </c>
      <c r="AL334" s="14"/>
      <c r="AM334" s="122"/>
      <c r="AN334" s="51">
        <v>0</v>
      </c>
      <c r="AO334" s="51">
        <v>0</v>
      </c>
      <c r="AP334" s="51">
        <v>0</v>
      </c>
      <c r="AQ334" s="47"/>
      <c r="AR334" s="51">
        <v>0</v>
      </c>
      <c r="AS334" s="51">
        <v>0</v>
      </c>
    </row>
    <row r="335" ht="19.5" customHeight="1" hidden="1">
      <c r="A335" t="s" s="88">
        <v>1260</v>
      </c>
      <c r="B335" t="s" s="67">
        <v>350</v>
      </c>
      <c r="C335" s="228"/>
      <c r="D335" s="228"/>
      <c r="E335" s="189"/>
      <c r="F335" s="182">
        <v>0</v>
      </c>
      <c r="G335" s="183"/>
      <c r="H335" s="42">
        <f>SUM(J335,N335)</f>
        <v>0</v>
      </c>
      <c r="I335" s="207">
        <f>SUM(Q335,S335,U335,W335,Y335,AA335,AC335,AE335,AG335,AI335,AK335,AM335,AO335,AQ335,AS335)</f>
        <v>0</v>
      </c>
      <c r="J335" s="43">
        <f>SUM(P335,R335,T335,V335,X335,Z335,AB335,AD335,AF335,AH335,AJ335,AL335,AN335,AP335,AR335)</f>
        <v>0</v>
      </c>
      <c r="K335" s="44"/>
      <c r="L335" s="6"/>
      <c r="M335" s="6"/>
      <c r="N335" s="14"/>
      <c r="O335" s="122"/>
      <c r="P335" s="46"/>
      <c r="Q335" s="46"/>
      <c r="R335" s="47"/>
      <c r="S335" s="47"/>
      <c r="T335" s="47"/>
      <c r="U335" s="47"/>
      <c r="V335" s="47"/>
      <c r="W335" s="47"/>
      <c r="X335" s="47"/>
      <c r="Y335" s="47"/>
      <c r="Z335" s="48">
        <v>0</v>
      </c>
      <c r="AA335" s="48">
        <v>0</v>
      </c>
      <c r="AB335" s="49"/>
      <c r="AC335" s="49"/>
      <c r="AD335" s="50"/>
      <c r="AE335" s="50"/>
      <c r="AF335" s="14"/>
      <c r="AG335" s="122"/>
      <c r="AH335" s="51">
        <v>0</v>
      </c>
      <c r="AI335" s="51">
        <v>0</v>
      </c>
      <c r="AJ335" s="47"/>
      <c r="AK335" s="47"/>
      <c r="AL335" s="14"/>
      <c r="AM335" s="122"/>
      <c r="AN335" s="47"/>
      <c r="AO335" s="47"/>
      <c r="AP335" s="47"/>
      <c r="AQ335" s="47"/>
      <c r="AR335" s="51">
        <v>0</v>
      </c>
      <c r="AS335" s="51">
        <v>0</v>
      </c>
    </row>
    <row r="336" ht="31.5" customHeight="1" hidden="1">
      <c r="A336" t="s" s="130">
        <v>1261</v>
      </c>
      <c r="B336" t="s" s="52">
        <v>351</v>
      </c>
      <c r="C336" t="s" s="130">
        <v>800</v>
      </c>
      <c r="D336" t="s" s="209">
        <v>717</v>
      </c>
      <c r="E336" s="189"/>
      <c r="F336" t="s" s="210">
        <v>714</v>
      </c>
      <c r="G336" s="211"/>
      <c r="H336" s="42">
        <f>SUM(J336,N336)</f>
        <v>0</v>
      </c>
      <c r="I336" s="207">
        <f>SUM(Q336,S336,U336,W336,Y336,AA336,AC336,AE336,AG336,AI336,AK336,AM336,AO336,AQ336,AS336)</f>
        <v>0</v>
      </c>
      <c r="J336" s="43">
        <f>SUM(P336,R336,T336,V336,X336,Z336,AB336,AD336,AF336,AH336,AJ336,AL336,AN336,AP336,AR336)</f>
        <v>0</v>
      </c>
      <c r="K336" s="44"/>
      <c r="L336" s="6"/>
      <c r="M336" s="6"/>
      <c r="N336" s="14"/>
      <c r="O336" s="122"/>
      <c r="P336" s="27">
        <v>0</v>
      </c>
      <c r="Q336" s="27">
        <v>0</v>
      </c>
      <c r="R336" s="51">
        <v>0</v>
      </c>
      <c r="S336" s="51">
        <v>0</v>
      </c>
      <c r="T336" s="51">
        <v>0</v>
      </c>
      <c r="U336" s="51">
        <v>0</v>
      </c>
      <c r="V336" s="51">
        <v>0</v>
      </c>
      <c r="W336" s="51">
        <v>0</v>
      </c>
      <c r="X336" s="51">
        <v>0</v>
      </c>
      <c r="Y336" s="51">
        <v>0</v>
      </c>
      <c r="Z336" s="48">
        <v>0</v>
      </c>
      <c r="AA336" s="48">
        <v>0</v>
      </c>
      <c r="AB336" s="48">
        <v>0</v>
      </c>
      <c r="AC336" s="48">
        <v>0</v>
      </c>
      <c r="AD336" s="55">
        <v>0</v>
      </c>
      <c r="AE336" s="213">
        <v>0</v>
      </c>
      <c r="AF336" s="212">
        <v>0</v>
      </c>
      <c r="AG336" s="121">
        <v>0</v>
      </c>
      <c r="AH336" s="51">
        <v>0</v>
      </c>
      <c r="AI336" s="51">
        <v>0</v>
      </c>
      <c r="AJ336" s="51">
        <v>0</v>
      </c>
      <c r="AK336" s="51">
        <v>0</v>
      </c>
      <c r="AL336" s="14"/>
      <c r="AM336" s="122"/>
      <c r="AN336" s="51">
        <v>0</v>
      </c>
      <c r="AO336" s="51">
        <v>0</v>
      </c>
      <c r="AP336" s="51">
        <v>0</v>
      </c>
      <c r="AQ336" s="47"/>
      <c r="AR336" s="51">
        <v>0</v>
      </c>
      <c r="AS336" s="51">
        <v>0</v>
      </c>
    </row>
    <row r="337" ht="31.5" customHeight="1" hidden="1">
      <c r="A337" t="s" s="88">
        <v>1262</v>
      </c>
      <c r="B337" t="s" s="67">
        <v>352</v>
      </c>
      <c r="C337" s="228"/>
      <c r="D337" s="228"/>
      <c r="E337" s="189"/>
      <c r="F337" s="182">
        <v>0</v>
      </c>
      <c r="G337" s="183"/>
      <c r="H337" s="42">
        <f>SUM(J337,N337)</f>
        <v>0</v>
      </c>
      <c r="I337" s="207">
        <f>SUM(Q337,S337,U337,W337,Y337,AA337,AC337,AE337,AG337,AI337,AK337,AM337,AO337,AQ337,AS337)</f>
        <v>0</v>
      </c>
      <c r="J337" s="43">
        <f>SUM(P337,R337,T337,V337,X337,Z337,AB337,AD337,AF337,AH337,AJ337,AL337,AN337,AP337,AR337)</f>
        <v>0</v>
      </c>
      <c r="K337" s="44"/>
      <c r="L337" s="6"/>
      <c r="M337" s="6"/>
      <c r="N337" s="14"/>
      <c r="O337" s="122"/>
      <c r="P337" s="46"/>
      <c r="Q337" s="46"/>
      <c r="R337" s="47"/>
      <c r="S337" s="47"/>
      <c r="T337" s="47"/>
      <c r="U337" s="47"/>
      <c r="V337" s="47"/>
      <c r="W337" s="47"/>
      <c r="X337" s="47"/>
      <c r="Y337" s="47"/>
      <c r="Z337" s="48">
        <v>0</v>
      </c>
      <c r="AA337" s="48">
        <v>0</v>
      </c>
      <c r="AB337" s="49"/>
      <c r="AC337" s="49"/>
      <c r="AD337" s="50"/>
      <c r="AE337" s="50"/>
      <c r="AF337" s="14"/>
      <c r="AG337" s="122"/>
      <c r="AH337" s="51">
        <v>0</v>
      </c>
      <c r="AI337" s="51">
        <v>0</v>
      </c>
      <c r="AJ337" s="47"/>
      <c r="AK337" s="47"/>
      <c r="AL337" s="14"/>
      <c r="AM337" s="122"/>
      <c r="AN337" s="47"/>
      <c r="AO337" s="47"/>
      <c r="AP337" s="47"/>
      <c r="AQ337" s="47"/>
      <c r="AR337" s="51">
        <v>0</v>
      </c>
      <c r="AS337" s="51">
        <v>0</v>
      </c>
    </row>
    <row r="338" ht="31.5" customHeight="1" hidden="1">
      <c r="A338" t="s" s="130">
        <v>1263</v>
      </c>
      <c r="B338" t="s" s="52">
        <v>353</v>
      </c>
      <c r="C338" t="s" s="130">
        <v>1149</v>
      </c>
      <c r="D338" t="s" s="209">
        <v>791</v>
      </c>
      <c r="E338" s="280">
        <v>1204</v>
      </c>
      <c r="F338" t="s" s="210">
        <v>720</v>
      </c>
      <c r="G338" s="211"/>
      <c r="H338" s="42">
        <f>SUM(J338,N338)</f>
        <v>26493</v>
      </c>
      <c r="I338" s="207">
        <f>SUM(Q338,S338,U338,W338,Y338,AA338,AC338,AE338,AG338,AI338,AK338,AM338,AO338,AQ338,AS338)</f>
        <v>7205</v>
      </c>
      <c r="J338" s="43">
        <f>SUM(P338,R338,T338,V338,X338,Z338,AB338,AD338,AF338,AH338,AJ338,AL338,AN338,AP338,AR338)</f>
        <v>26493</v>
      </c>
      <c r="K338" s="44"/>
      <c r="L338" s="6"/>
      <c r="M338" s="6"/>
      <c r="N338" s="14"/>
      <c r="O338" s="122"/>
      <c r="P338" s="27">
        <v>1000</v>
      </c>
      <c r="Q338" s="27">
        <v>592</v>
      </c>
      <c r="R338" s="51">
        <v>600</v>
      </c>
      <c r="S338" s="51">
        <v>250</v>
      </c>
      <c r="T338" s="51">
        <v>2000</v>
      </c>
      <c r="U338" s="51">
        <v>0</v>
      </c>
      <c r="V338" s="51">
        <v>800</v>
      </c>
      <c r="W338" s="51">
        <v>500</v>
      </c>
      <c r="X338" s="51">
        <v>500</v>
      </c>
      <c r="Y338" s="51">
        <v>0</v>
      </c>
      <c r="Z338" s="48">
        <v>6300</v>
      </c>
      <c r="AA338" s="48">
        <v>700</v>
      </c>
      <c r="AB338" s="48">
        <v>4190</v>
      </c>
      <c r="AC338" s="48">
        <v>1694</v>
      </c>
      <c r="AD338" s="55">
        <v>3000</v>
      </c>
      <c r="AE338" s="213">
        <v>862</v>
      </c>
      <c r="AF338" s="212">
        <v>4600</v>
      </c>
      <c r="AG338" s="121">
        <v>1040</v>
      </c>
      <c r="AH338" s="51">
        <v>3190</v>
      </c>
      <c r="AI338" s="51">
        <v>1254</v>
      </c>
      <c r="AJ338" s="51">
        <v>0</v>
      </c>
      <c r="AK338" s="51">
        <v>0</v>
      </c>
      <c r="AL338" s="14"/>
      <c r="AM338" s="122"/>
      <c r="AN338" s="51">
        <v>313</v>
      </c>
      <c r="AO338" s="51">
        <v>313</v>
      </c>
      <c r="AP338" s="51">
        <v>0</v>
      </c>
      <c r="AQ338" s="47"/>
      <c r="AR338" s="51">
        <v>0</v>
      </c>
      <c r="AS338" s="51">
        <v>0</v>
      </c>
    </row>
    <row r="339" ht="31.5" customHeight="1" hidden="1">
      <c r="A339" t="s" s="130">
        <v>1264</v>
      </c>
      <c r="B339" t="s" s="52">
        <v>354</v>
      </c>
      <c r="C339" t="s" s="130">
        <v>820</v>
      </c>
      <c r="D339" t="s" s="209">
        <v>791</v>
      </c>
      <c r="E339" s="182">
        <v>1012</v>
      </c>
      <c r="F339" t="s" s="210">
        <v>720</v>
      </c>
      <c r="G339" s="211"/>
      <c r="H339" s="42">
        <f>SUM(J339,N339)</f>
        <v>13000</v>
      </c>
      <c r="I339" s="207">
        <f>SUM(Q339,S339,U339,W339,Y339,AA339,AC339,AE339,AG339,AI339,AK339,AM339,AO339,AQ339,AS339)</f>
        <v>3240</v>
      </c>
      <c r="J339" s="43">
        <f>SUM(P339,R339,T339,V339,X339,Z339,AB339,AD339,AF339,AH339,AJ339,AL339,AN339,AP339,AR339)</f>
        <v>13000</v>
      </c>
      <c r="K339" s="44"/>
      <c r="L339" s="6"/>
      <c r="M339" s="6"/>
      <c r="N339" s="14"/>
      <c r="O339" s="122"/>
      <c r="P339" s="27">
        <v>0</v>
      </c>
      <c r="Q339" s="27">
        <v>0</v>
      </c>
      <c r="R339" s="51">
        <v>6000</v>
      </c>
      <c r="S339" s="51">
        <v>3240</v>
      </c>
      <c r="T339" s="51">
        <v>6000</v>
      </c>
      <c r="U339" s="51">
        <v>0</v>
      </c>
      <c r="V339" s="51">
        <v>1000</v>
      </c>
      <c r="W339" s="51">
        <v>0</v>
      </c>
      <c r="X339" s="47"/>
      <c r="Y339" s="47"/>
      <c r="Z339" s="48">
        <v>0</v>
      </c>
      <c r="AA339" s="48">
        <v>0</v>
      </c>
      <c r="AB339" s="48">
        <v>0</v>
      </c>
      <c r="AC339" s="48">
        <v>0</v>
      </c>
      <c r="AD339" s="55">
        <v>0</v>
      </c>
      <c r="AE339" s="213">
        <v>0</v>
      </c>
      <c r="AF339" s="212">
        <v>0</v>
      </c>
      <c r="AG339" s="121">
        <v>0</v>
      </c>
      <c r="AH339" s="51">
        <v>0</v>
      </c>
      <c r="AI339" s="51">
        <v>0</v>
      </c>
      <c r="AJ339" s="51">
        <v>0</v>
      </c>
      <c r="AK339" s="51">
        <v>0</v>
      </c>
      <c r="AL339" s="14"/>
      <c r="AM339" s="122"/>
      <c r="AN339" s="51">
        <v>0</v>
      </c>
      <c r="AO339" s="51">
        <v>0</v>
      </c>
      <c r="AP339" s="51">
        <v>0</v>
      </c>
      <c r="AQ339" s="47"/>
      <c r="AR339" s="51">
        <v>0</v>
      </c>
      <c r="AS339" s="51">
        <v>0</v>
      </c>
    </row>
    <row r="340" ht="31.5" customHeight="1" hidden="1">
      <c r="A340" t="s" s="130">
        <v>1265</v>
      </c>
      <c r="B340" t="s" s="52">
        <v>355</v>
      </c>
      <c r="C340" t="s" s="130">
        <v>1149</v>
      </c>
      <c r="D340" t="s" s="209">
        <v>791</v>
      </c>
      <c r="E340" s="189"/>
      <c r="F340" t="s" s="210">
        <v>720</v>
      </c>
      <c r="G340" s="211"/>
      <c r="H340" s="42">
        <f>SUM(J340,N340)</f>
        <v>29520</v>
      </c>
      <c r="I340" s="207">
        <f>SUM(Q340,S340,U340,W340,Y340,AA340,AC340,AE340,AG340,AI340,AK340,AM340,AO340,AQ340,AS340)</f>
        <v>13798</v>
      </c>
      <c r="J340" s="43">
        <f>SUM(P340,R340,T340,V340,X340,Z340,AB340,AD340,AF340,AH340,AJ340,AL340,AN340,AP340,AR340)</f>
        <v>29520</v>
      </c>
      <c r="K340" s="44"/>
      <c r="L340" s="6"/>
      <c r="M340" s="6"/>
      <c r="N340" s="14"/>
      <c r="O340" s="122"/>
      <c r="P340" s="27">
        <v>0</v>
      </c>
      <c r="Q340" s="27">
        <v>0</v>
      </c>
      <c r="R340" s="51">
        <v>1500</v>
      </c>
      <c r="S340" s="51">
        <v>0</v>
      </c>
      <c r="T340" s="51">
        <v>3000</v>
      </c>
      <c r="U340" s="51">
        <v>1962</v>
      </c>
      <c r="V340" s="51">
        <v>200</v>
      </c>
      <c r="W340" s="51">
        <v>100</v>
      </c>
      <c r="X340" s="51">
        <v>2000</v>
      </c>
      <c r="Y340" s="51">
        <v>1925</v>
      </c>
      <c r="Z340" s="48">
        <v>5000</v>
      </c>
      <c r="AA340" s="48">
        <v>3000</v>
      </c>
      <c r="AB340" s="48">
        <v>5760</v>
      </c>
      <c r="AC340" s="48">
        <v>1801</v>
      </c>
      <c r="AD340" s="55">
        <v>4350</v>
      </c>
      <c r="AE340" s="213">
        <v>2170</v>
      </c>
      <c r="AF340" s="212">
        <v>3050</v>
      </c>
      <c r="AG340" s="121">
        <v>1600</v>
      </c>
      <c r="AH340" s="51">
        <v>4560</v>
      </c>
      <c r="AI340" s="51">
        <v>1240</v>
      </c>
      <c r="AJ340" s="51">
        <v>0</v>
      </c>
      <c r="AK340" s="51">
        <v>0</v>
      </c>
      <c r="AL340" s="14"/>
      <c r="AM340" s="122"/>
      <c r="AN340" s="51">
        <v>100</v>
      </c>
      <c r="AO340" s="51">
        <v>0</v>
      </c>
      <c r="AP340" s="51">
        <v>0</v>
      </c>
      <c r="AQ340" s="47"/>
      <c r="AR340" s="51">
        <v>0</v>
      </c>
      <c r="AS340" s="51">
        <v>0</v>
      </c>
    </row>
    <row r="341" ht="19.5" customHeight="1" hidden="1">
      <c r="A341" t="s" s="88">
        <v>1266</v>
      </c>
      <c r="B341" t="s" s="109">
        <v>356</v>
      </c>
      <c r="C341" s="228"/>
      <c r="D341" s="228"/>
      <c r="E341" s="189"/>
      <c r="F341" s="182">
        <v>0</v>
      </c>
      <c r="G341" s="183"/>
      <c r="H341" s="42">
        <f>SUM(J341,N341)</f>
        <v>0</v>
      </c>
      <c r="I341" s="207">
        <f>SUM(Q341,S341,U341,W341,Y341,AA341,AC341,AE341,AG341,AI341,AK341,AM341,AO341,AQ341,AS341)</f>
        <v>0</v>
      </c>
      <c r="J341" s="43">
        <f>SUM(P341,R341,T341,V341,X341,Z341,AB341,AD341,AF341,AH341,AJ341,AL341,AN341,AP341,AR341)</f>
        <v>0</v>
      </c>
      <c r="K341" s="44"/>
      <c r="L341" s="6"/>
      <c r="M341" s="6"/>
      <c r="N341" s="14"/>
      <c r="O341" s="122"/>
      <c r="P341" s="46"/>
      <c r="Q341" s="46"/>
      <c r="R341" s="47"/>
      <c r="S341" s="47"/>
      <c r="T341" s="47"/>
      <c r="U341" s="47"/>
      <c r="V341" s="47"/>
      <c r="W341" s="47"/>
      <c r="X341" s="47"/>
      <c r="Y341" s="47"/>
      <c r="Z341" s="48">
        <v>0</v>
      </c>
      <c r="AA341" s="48">
        <v>0</v>
      </c>
      <c r="AB341" s="49"/>
      <c r="AC341" s="49"/>
      <c r="AD341" s="50"/>
      <c r="AE341" s="50"/>
      <c r="AF341" s="14"/>
      <c r="AG341" s="122"/>
      <c r="AH341" s="51">
        <v>0</v>
      </c>
      <c r="AI341" s="51">
        <v>0</v>
      </c>
      <c r="AJ341" s="47"/>
      <c r="AK341" s="47"/>
      <c r="AL341" s="14"/>
      <c r="AM341" s="122"/>
      <c r="AN341" s="47"/>
      <c r="AO341" s="47"/>
      <c r="AP341" s="47"/>
      <c r="AQ341" s="47"/>
      <c r="AR341" s="51">
        <v>0</v>
      </c>
      <c r="AS341" s="51">
        <v>0</v>
      </c>
    </row>
    <row r="342" ht="19.5" customHeight="1" hidden="1">
      <c r="A342" t="s" s="88">
        <v>1267</v>
      </c>
      <c r="B342" t="s" s="67">
        <v>357</v>
      </c>
      <c r="C342" s="228"/>
      <c r="D342" s="228"/>
      <c r="E342" s="189"/>
      <c r="F342" s="182">
        <v>0</v>
      </c>
      <c r="G342" s="183"/>
      <c r="H342" s="42">
        <f>SUM(J342,N342)</f>
        <v>0</v>
      </c>
      <c r="I342" s="207">
        <f>SUM(Q342,S342,U342,W342,Y342,AA342,AC342,AE342,AG342,AI342,AK342,AM342,AO342,AQ342,AS342)</f>
        <v>0</v>
      </c>
      <c r="J342" s="43">
        <f>SUM(P342,R342,T342,V342,X342,Z342,AB342,AD342,AF342,AH342,AJ342,AL342,AN342,AP342,AR342)</f>
        <v>0</v>
      </c>
      <c r="K342" s="44"/>
      <c r="L342" s="6"/>
      <c r="M342" s="6"/>
      <c r="N342" s="14"/>
      <c r="O342" s="122"/>
      <c r="P342" s="46"/>
      <c r="Q342" s="46"/>
      <c r="R342" s="47"/>
      <c r="S342" s="47"/>
      <c r="T342" s="47"/>
      <c r="U342" s="47"/>
      <c r="V342" s="47"/>
      <c r="W342" s="47"/>
      <c r="X342" s="47"/>
      <c r="Y342" s="47"/>
      <c r="Z342" s="48">
        <v>0</v>
      </c>
      <c r="AA342" s="48">
        <v>0</v>
      </c>
      <c r="AB342" s="49"/>
      <c r="AC342" s="49"/>
      <c r="AD342" s="50"/>
      <c r="AE342" s="50"/>
      <c r="AF342" s="14"/>
      <c r="AG342" s="122"/>
      <c r="AH342" s="51">
        <v>0</v>
      </c>
      <c r="AI342" s="51">
        <v>0</v>
      </c>
      <c r="AJ342" s="47"/>
      <c r="AK342" s="47"/>
      <c r="AL342" s="14"/>
      <c r="AM342" s="122"/>
      <c r="AN342" s="47"/>
      <c r="AO342" s="47"/>
      <c r="AP342" s="47"/>
      <c r="AQ342" s="47"/>
      <c r="AR342" s="51">
        <v>0</v>
      </c>
      <c r="AS342" s="51">
        <v>0</v>
      </c>
    </row>
    <row r="343" ht="31.5" customHeight="1" hidden="1">
      <c r="A343" t="s" s="218">
        <v>1268</v>
      </c>
      <c r="B343" t="s" s="10">
        <v>358</v>
      </c>
      <c r="C343" t="s" s="103">
        <v>712</v>
      </c>
      <c r="D343" t="s" s="66">
        <v>713</v>
      </c>
      <c r="E343" s="181"/>
      <c r="F343" t="s" s="101">
        <v>714</v>
      </c>
      <c r="G343" s="203"/>
      <c r="H343" s="204">
        <f>SUM(J343,N343)</f>
        <v>170740</v>
      </c>
      <c r="I343" s="205">
        <f>SUM(Q343,S343,U343,W343,Y343,AA343,AC343,AE343,AG343,AI343,AK343,AM343,AO343,AQ343,AS343)</f>
        <v>64402</v>
      </c>
      <c r="J343" s="35">
        <f>SUM(P343,R343,T343,V343,X343,Z343,AB343,AD343,AF343,AH343,AJ343,AL343,AN343,AP343,AR343)</f>
        <v>170740</v>
      </c>
      <c r="K343" s="36"/>
      <c r="L343" s="196"/>
      <c r="M343" s="196"/>
      <c r="N343" s="196"/>
      <c r="O343" s="197"/>
      <c r="P343" s="27">
        <v>0</v>
      </c>
      <c r="Q343" s="27">
        <v>0</v>
      </c>
      <c r="R343" s="38">
        <v>6000</v>
      </c>
      <c r="S343" s="38">
        <v>4431</v>
      </c>
      <c r="T343" s="38">
        <v>8400</v>
      </c>
      <c r="U343" s="38">
        <v>33747</v>
      </c>
      <c r="V343" s="38">
        <v>3780</v>
      </c>
      <c r="W343" s="38">
        <v>130</v>
      </c>
      <c r="X343" s="38">
        <v>15000</v>
      </c>
      <c r="Y343" s="38">
        <v>1900</v>
      </c>
      <c r="Z343" s="40">
        <v>42000</v>
      </c>
      <c r="AA343" s="40">
        <v>0</v>
      </c>
      <c r="AB343" s="40">
        <v>30460</v>
      </c>
      <c r="AC343" s="40">
        <v>9779</v>
      </c>
      <c r="AD343" s="40">
        <v>42000</v>
      </c>
      <c r="AE343" s="40">
        <v>3465</v>
      </c>
      <c r="AF343" s="198">
        <v>10500</v>
      </c>
      <c r="AG343" s="206">
        <v>1500</v>
      </c>
      <c r="AH343" s="38">
        <v>12600</v>
      </c>
      <c r="AI343" s="38">
        <v>9450</v>
      </c>
      <c r="AJ343" s="38">
        <v>0</v>
      </c>
      <c r="AK343" s="38">
        <v>0</v>
      </c>
      <c r="AL343" s="202"/>
      <c r="AM343" s="197"/>
      <c r="AN343" s="38">
        <v>0</v>
      </c>
      <c r="AO343" s="38">
        <v>0</v>
      </c>
      <c r="AP343" s="38">
        <v>0</v>
      </c>
      <c r="AQ343" s="80"/>
      <c r="AR343" s="38">
        <v>0</v>
      </c>
      <c r="AS343" s="38">
        <v>0</v>
      </c>
    </row>
    <row r="344" ht="31.5" customHeight="1" hidden="1">
      <c r="A344" t="s" s="88">
        <v>1269</v>
      </c>
      <c r="B344" t="s" s="67">
        <v>359</v>
      </c>
      <c r="C344" s="228"/>
      <c r="D344" s="228"/>
      <c r="E344" s="189"/>
      <c r="F344" s="182">
        <v>0</v>
      </c>
      <c r="G344" s="183"/>
      <c r="H344" s="42">
        <f>SUM(J344,N344)</f>
        <v>0</v>
      </c>
      <c r="I344" s="207">
        <f>SUM(Q344,S344,U344,W344,Y344,AA344,AC344,AE344,AG344,AI344,AK344,AM344,AO344,AQ344,AS344)</f>
        <v>0</v>
      </c>
      <c r="J344" s="43">
        <f>SUM(P344,R344,T344,V344,X344,Z344,AB344,AD344,AF344,AH344,AJ344,AL344,AN344,AP344,AR344)</f>
        <v>0</v>
      </c>
      <c r="K344" s="44"/>
      <c r="L344" s="6"/>
      <c r="M344" s="6"/>
      <c r="N344" s="14"/>
      <c r="O344" s="122"/>
      <c r="P344" s="46"/>
      <c r="Q344" s="46"/>
      <c r="R344" s="47"/>
      <c r="S344" s="47"/>
      <c r="T344" s="47"/>
      <c r="U344" s="47"/>
      <c r="V344" s="47"/>
      <c r="W344" s="47"/>
      <c r="X344" s="47"/>
      <c r="Y344" s="47"/>
      <c r="Z344" s="48">
        <v>0</v>
      </c>
      <c r="AA344" s="48">
        <v>0</v>
      </c>
      <c r="AB344" s="49"/>
      <c r="AC344" s="49"/>
      <c r="AD344" s="50"/>
      <c r="AE344" s="50"/>
      <c r="AF344" s="14"/>
      <c r="AG344" s="122"/>
      <c r="AH344" s="51">
        <v>0</v>
      </c>
      <c r="AI344" s="51">
        <v>0</v>
      </c>
      <c r="AJ344" s="47"/>
      <c r="AK344" s="47"/>
      <c r="AL344" s="14"/>
      <c r="AM344" s="122"/>
      <c r="AN344" s="47"/>
      <c r="AO344" s="47"/>
      <c r="AP344" s="47"/>
      <c r="AQ344" s="47"/>
      <c r="AR344" s="51">
        <v>0</v>
      </c>
      <c r="AS344" s="51">
        <v>0</v>
      </c>
    </row>
    <row r="345" ht="29.25" customHeight="1" hidden="1">
      <c r="A345" t="s" s="218">
        <v>1270</v>
      </c>
      <c r="B345" t="s" s="10">
        <v>360</v>
      </c>
      <c r="C345" t="s" s="103">
        <v>712</v>
      </c>
      <c r="D345" t="s" s="66">
        <v>713</v>
      </c>
      <c r="E345" t="s" s="219">
        <v>975</v>
      </c>
      <c r="F345" t="s" s="101">
        <v>714</v>
      </c>
      <c r="G345" s="203"/>
      <c r="H345" s="204">
        <f>SUM(J345,N345)</f>
        <v>119150</v>
      </c>
      <c r="I345" s="205">
        <f>SUM(Q345,S345,U345,W345,Y345,AA345,AC345,AE345,AG345,AI345,AK345,AM345,AO345,AQ345,AS345)</f>
        <v>11487</v>
      </c>
      <c r="J345" s="35">
        <f>SUM(P345,R345,T345,V345,X345,Z345,AB345,AD345,AF345,AH345,AJ345,AL345,AN345,AP345,AR345)</f>
        <v>119150</v>
      </c>
      <c r="K345" s="36"/>
      <c r="L345" s="196"/>
      <c r="M345" s="196"/>
      <c r="N345" s="196"/>
      <c r="O345" s="197"/>
      <c r="P345" s="27">
        <v>0</v>
      </c>
      <c r="Q345" s="27">
        <v>0</v>
      </c>
      <c r="R345" s="38">
        <v>10000</v>
      </c>
      <c r="S345" s="38">
        <v>0</v>
      </c>
      <c r="T345" s="38">
        <v>6300</v>
      </c>
      <c r="U345" s="38">
        <v>0</v>
      </c>
      <c r="V345" s="38">
        <v>5000</v>
      </c>
      <c r="W345" s="38">
        <v>0</v>
      </c>
      <c r="X345" s="38">
        <v>10000</v>
      </c>
      <c r="Y345" s="38">
        <v>0</v>
      </c>
      <c r="Z345" s="40">
        <v>21000</v>
      </c>
      <c r="AA345" s="40">
        <v>0</v>
      </c>
      <c r="AB345" s="40">
        <v>19250</v>
      </c>
      <c r="AC345" s="40">
        <v>2037</v>
      </c>
      <c r="AD345" s="40">
        <v>21000</v>
      </c>
      <c r="AE345" s="40">
        <v>0</v>
      </c>
      <c r="AF345" s="198">
        <v>14000</v>
      </c>
      <c r="AG345" s="206">
        <v>0</v>
      </c>
      <c r="AH345" s="38">
        <v>12600</v>
      </c>
      <c r="AI345" s="38">
        <v>9450</v>
      </c>
      <c r="AJ345" s="38">
        <v>0</v>
      </c>
      <c r="AK345" s="38">
        <v>0</v>
      </c>
      <c r="AL345" s="202"/>
      <c r="AM345" s="197"/>
      <c r="AN345" s="38">
        <v>0</v>
      </c>
      <c r="AO345" s="38">
        <v>0</v>
      </c>
      <c r="AP345" s="38">
        <v>0</v>
      </c>
      <c r="AQ345" s="80"/>
      <c r="AR345" s="38">
        <v>0</v>
      </c>
      <c r="AS345" s="38">
        <v>0</v>
      </c>
    </row>
    <row r="346" ht="31.5" customHeight="1" hidden="1">
      <c r="A346" t="s" s="88">
        <v>1271</v>
      </c>
      <c r="B346" t="s" s="67">
        <v>361</v>
      </c>
      <c r="C346" s="228"/>
      <c r="D346" s="228"/>
      <c r="E346" s="189"/>
      <c r="F346" s="182">
        <v>0</v>
      </c>
      <c r="G346" s="183"/>
      <c r="H346" s="42">
        <f>SUM(J346,N346)</f>
        <v>0</v>
      </c>
      <c r="I346" s="207">
        <f>SUM(Q346,S346,U346,W346,Y346,AA346,AC346,AE346,AG346,AI346,AK346,AM346,AO346,AQ346,AS346)</f>
        <v>0</v>
      </c>
      <c r="J346" s="43">
        <f>SUM(P346,R346,T346,V346,X346,Z346,AB346,AD346,AF346,AH346,AJ346,AL346,AN346,AP346,AR346)</f>
        <v>0</v>
      </c>
      <c r="K346" s="44"/>
      <c r="L346" s="6"/>
      <c r="M346" s="6"/>
      <c r="N346" s="14"/>
      <c r="O346" s="122"/>
      <c r="P346" s="46"/>
      <c r="Q346" s="46"/>
      <c r="R346" s="47"/>
      <c r="S346" s="51">
        <v>0</v>
      </c>
      <c r="T346" s="47"/>
      <c r="U346" s="47"/>
      <c r="V346" s="47"/>
      <c r="W346" s="47"/>
      <c r="X346" s="47"/>
      <c r="Y346" s="47"/>
      <c r="Z346" s="48">
        <v>0</v>
      </c>
      <c r="AA346" s="48">
        <v>0</v>
      </c>
      <c r="AB346" s="49"/>
      <c r="AC346" s="49"/>
      <c r="AD346" s="50"/>
      <c r="AE346" s="50"/>
      <c r="AF346" s="14"/>
      <c r="AG346" s="122"/>
      <c r="AH346" s="51">
        <v>0</v>
      </c>
      <c r="AI346" s="51">
        <v>0</v>
      </c>
      <c r="AJ346" s="47"/>
      <c r="AK346" s="47"/>
      <c r="AL346" s="14"/>
      <c r="AM346" s="122"/>
      <c r="AN346" s="47"/>
      <c r="AO346" s="47"/>
      <c r="AP346" s="47"/>
      <c r="AQ346" s="47"/>
      <c r="AR346" s="51">
        <v>0</v>
      </c>
      <c r="AS346" s="51">
        <v>0</v>
      </c>
    </row>
    <row r="347" ht="97.5" customHeight="1" hidden="1">
      <c r="A347" t="s" s="214">
        <v>1272</v>
      </c>
      <c r="B347" t="s" s="21">
        <v>362</v>
      </c>
      <c r="C347" t="s" s="59">
        <v>1273</v>
      </c>
      <c r="D347" t="s" s="190">
        <v>713</v>
      </c>
      <c r="E347" t="s" s="216">
        <v>1274</v>
      </c>
      <c r="F347" t="s" s="192">
        <v>714</v>
      </c>
      <c r="G347" s="193"/>
      <c r="H347" s="194">
        <f>SUM(J347,N347)</f>
        <v>45200</v>
      </c>
      <c r="I347" s="195">
        <f>SUM(Q347,S347,U347,W347,Y347,AA347,AC347,AE347,AG347,AI347,AK347,AM347,AO347,AQ347,AS347)</f>
        <v>1500</v>
      </c>
      <c r="J347" s="23">
        <f>SUM(P347,R347,T347,V347,X347,Z347,AB347,AD347,AF347,AH347,AJ347,AL347,AN347,AP347,AR347)</f>
        <v>45200</v>
      </c>
      <c r="K347" s="36"/>
      <c r="L347" s="196"/>
      <c r="M347" s="196"/>
      <c r="N347" s="196"/>
      <c r="O347" s="197"/>
      <c r="P347" s="27">
        <v>40000</v>
      </c>
      <c r="Q347" s="27">
        <v>1500</v>
      </c>
      <c r="R347" s="28">
        <v>0</v>
      </c>
      <c r="S347" s="28">
        <v>0</v>
      </c>
      <c r="T347" s="28">
        <v>4000</v>
      </c>
      <c r="U347" s="28">
        <v>0</v>
      </c>
      <c r="V347" s="28">
        <v>1200</v>
      </c>
      <c r="W347" s="28">
        <v>0</v>
      </c>
      <c r="X347" s="28">
        <v>0</v>
      </c>
      <c r="Y347" s="28">
        <v>0</v>
      </c>
      <c r="Z347" s="30">
        <v>0</v>
      </c>
      <c r="AA347" s="30">
        <v>0</v>
      </c>
      <c r="AB347" s="30">
        <v>0</v>
      </c>
      <c r="AC347" s="30">
        <v>0</v>
      </c>
      <c r="AD347" s="30">
        <v>0</v>
      </c>
      <c r="AE347" s="30">
        <v>0</v>
      </c>
      <c r="AF347" s="198">
        <v>0</v>
      </c>
      <c r="AG347" s="206">
        <v>0</v>
      </c>
      <c r="AH347" s="28">
        <v>0</v>
      </c>
      <c r="AI347" s="28">
        <v>0</v>
      </c>
      <c r="AJ347" s="28">
        <v>0</v>
      </c>
      <c r="AK347" s="28">
        <v>0</v>
      </c>
      <c r="AL347" s="202"/>
      <c r="AM347" s="197"/>
      <c r="AN347" s="28">
        <v>0</v>
      </c>
      <c r="AO347" s="28">
        <v>0</v>
      </c>
      <c r="AP347" s="28">
        <v>0</v>
      </c>
      <c r="AQ347" s="87"/>
      <c r="AR347" s="28">
        <v>0</v>
      </c>
      <c r="AS347" s="28">
        <v>0</v>
      </c>
    </row>
    <row r="348" ht="31.5" customHeight="1" hidden="1">
      <c r="A348" s="227">
        <v>8</v>
      </c>
      <c r="B348" t="s" s="10">
        <v>363</v>
      </c>
      <c r="C348" s="180"/>
      <c r="D348" s="180"/>
      <c r="E348" s="189"/>
      <c r="F348" s="182">
        <v>0</v>
      </c>
      <c r="G348" s="183"/>
      <c r="H348" s="42">
        <f>SUM(J348,N348)</f>
        <v>0</v>
      </c>
      <c r="I348" s="207">
        <f>SUM(Q348,S348,U348,W348,Y348,AA348,AC348,AE348,AG348,AI348,AK348,AM348,AO348,AQ348,AS348)</f>
        <v>0</v>
      </c>
      <c r="J348" s="43">
        <f>SUM(P348,R348,T348,V348,X348,Z348,AB348,AD348,AF348,AH348,AJ348,AL348,AN348,AP348,AR348)</f>
        <v>0</v>
      </c>
      <c r="K348" s="44"/>
      <c r="L348" s="6"/>
      <c r="M348" s="6"/>
      <c r="N348" s="14"/>
      <c r="O348" s="122"/>
      <c r="P348" s="46"/>
      <c r="Q348" s="46"/>
      <c r="R348" s="47"/>
      <c r="S348" s="47"/>
      <c r="T348" s="47"/>
      <c r="U348" s="47"/>
      <c r="V348" s="47"/>
      <c r="W348" s="47"/>
      <c r="X348" s="47"/>
      <c r="Y348" s="47"/>
      <c r="Z348" s="48">
        <v>0</v>
      </c>
      <c r="AA348" s="48">
        <v>0</v>
      </c>
      <c r="AB348" s="49"/>
      <c r="AC348" s="49"/>
      <c r="AD348" s="50"/>
      <c r="AE348" s="50"/>
      <c r="AF348" s="14"/>
      <c r="AG348" s="122"/>
      <c r="AH348" s="51">
        <v>0</v>
      </c>
      <c r="AI348" s="51">
        <v>0</v>
      </c>
      <c r="AJ348" s="47"/>
      <c r="AK348" s="47"/>
      <c r="AL348" s="14"/>
      <c r="AM348" s="122"/>
      <c r="AN348" s="47"/>
      <c r="AO348" s="47"/>
      <c r="AP348" s="47"/>
      <c r="AQ348" s="47"/>
      <c r="AR348" s="51">
        <v>0</v>
      </c>
      <c r="AS348" s="51">
        <v>0</v>
      </c>
    </row>
    <row r="349" ht="31.5" customHeight="1" hidden="1">
      <c r="A349" t="s" s="88">
        <v>1275</v>
      </c>
      <c r="B349" t="s" s="67">
        <v>364</v>
      </c>
      <c r="C349" s="228"/>
      <c r="D349" s="228"/>
      <c r="E349" s="189"/>
      <c r="F349" s="182">
        <v>0</v>
      </c>
      <c r="G349" s="183"/>
      <c r="H349" s="42">
        <f>SUM(J349,N349)</f>
        <v>0</v>
      </c>
      <c r="I349" s="207">
        <f>SUM(Q349,S349,U349,W349,Y349,AA349,AC349,AE349,AG349,AI349,AK349,AM349,AO349,AQ349,AS349)</f>
        <v>0</v>
      </c>
      <c r="J349" s="43">
        <f>SUM(P349,R349,T349,V349,X349,Z349,AB349,AD349,AF349,AH349,AJ349,AL349,AN349,AP349,AR349)</f>
        <v>0</v>
      </c>
      <c r="K349" s="44"/>
      <c r="L349" s="6"/>
      <c r="M349" s="6"/>
      <c r="N349" s="14"/>
      <c r="O349" s="122"/>
      <c r="P349" s="46"/>
      <c r="Q349" s="46"/>
      <c r="R349" s="47"/>
      <c r="S349" s="47"/>
      <c r="T349" s="47"/>
      <c r="U349" s="47"/>
      <c r="V349" s="47"/>
      <c r="W349" s="47"/>
      <c r="X349" s="47"/>
      <c r="Y349" s="47"/>
      <c r="Z349" s="48">
        <v>0</v>
      </c>
      <c r="AA349" s="48">
        <v>0</v>
      </c>
      <c r="AB349" s="49"/>
      <c r="AC349" s="49"/>
      <c r="AD349" s="50"/>
      <c r="AE349" s="50"/>
      <c r="AF349" s="14"/>
      <c r="AG349" s="122"/>
      <c r="AH349" s="51">
        <v>0</v>
      </c>
      <c r="AI349" s="51">
        <v>0</v>
      </c>
      <c r="AJ349" s="47"/>
      <c r="AK349" s="47"/>
      <c r="AL349" s="14"/>
      <c r="AM349" s="122"/>
      <c r="AN349" s="47"/>
      <c r="AO349" s="47"/>
      <c r="AP349" s="47"/>
      <c r="AQ349" s="47"/>
      <c r="AR349" s="51">
        <v>0</v>
      </c>
      <c r="AS349" s="51">
        <v>0</v>
      </c>
    </row>
    <row r="350" ht="31.5" customHeight="1" hidden="1">
      <c r="A350" t="s" s="88">
        <v>1276</v>
      </c>
      <c r="B350" t="s" s="67">
        <v>365</v>
      </c>
      <c r="C350" s="228"/>
      <c r="D350" s="228"/>
      <c r="E350" s="189"/>
      <c r="F350" s="182">
        <v>0</v>
      </c>
      <c r="G350" s="183"/>
      <c r="H350" s="42">
        <f>SUM(J350,N350)</f>
        <v>0</v>
      </c>
      <c r="I350" s="207">
        <f>SUM(Q350,S350,U350,W350,Y350,AA350,AC350,AE350,AG350,AI350,AK350,AM350,AO350,AQ350,AS350)</f>
        <v>0</v>
      </c>
      <c r="J350" s="43">
        <f>SUM(P350,R350,T350,V350,X350,Z350,AB350,AD350,AF350,AH350,AJ350,AL350,AN350,AP350,AR350)</f>
        <v>0</v>
      </c>
      <c r="K350" s="44"/>
      <c r="L350" s="6"/>
      <c r="M350" s="6"/>
      <c r="N350" s="14"/>
      <c r="O350" s="122"/>
      <c r="P350" s="46"/>
      <c r="Q350" s="46"/>
      <c r="R350" s="47"/>
      <c r="S350" s="47"/>
      <c r="T350" s="47"/>
      <c r="U350" s="47"/>
      <c r="V350" s="47"/>
      <c r="W350" s="47"/>
      <c r="X350" s="47"/>
      <c r="Y350" s="47"/>
      <c r="Z350" s="48">
        <v>0</v>
      </c>
      <c r="AA350" s="48">
        <v>0</v>
      </c>
      <c r="AB350" s="49"/>
      <c r="AC350" s="49"/>
      <c r="AD350" s="50"/>
      <c r="AE350" s="50"/>
      <c r="AF350" s="14"/>
      <c r="AG350" s="122"/>
      <c r="AH350" s="51">
        <v>0</v>
      </c>
      <c r="AI350" s="51">
        <v>0</v>
      </c>
      <c r="AJ350" s="47"/>
      <c r="AK350" s="47"/>
      <c r="AL350" s="14"/>
      <c r="AM350" s="122"/>
      <c r="AN350" s="47"/>
      <c r="AO350" s="47"/>
      <c r="AP350" s="47"/>
      <c r="AQ350" s="47"/>
      <c r="AR350" s="51">
        <v>0</v>
      </c>
      <c r="AS350" s="51">
        <v>0</v>
      </c>
    </row>
    <row r="351" ht="31.5" customHeight="1" hidden="1">
      <c r="A351" t="s" s="59">
        <v>1277</v>
      </c>
      <c r="B351" t="s" s="21">
        <v>366</v>
      </c>
      <c r="C351" t="s" s="59">
        <v>790</v>
      </c>
      <c r="D351" t="s" s="190">
        <v>791</v>
      </c>
      <c r="E351" s="191"/>
      <c r="F351" t="s" s="192">
        <v>720</v>
      </c>
      <c r="G351" s="193"/>
      <c r="H351" s="194">
        <f>SUM(J351,N351)</f>
        <v>8950</v>
      </c>
      <c r="I351" s="195">
        <f>SUM(Q351,S351,U351,W351,Y351,AA351,AC351,AE351,AG351,AI351,AK351,AM351,AO351,AQ351,AS351)</f>
        <v>908</v>
      </c>
      <c r="J351" s="23">
        <f>SUM(P351,R351,T351,V351,X351,Z351,AB351,AD351,AF351,AH351,AJ351,AL351,AN351,AP351,AR351)</f>
        <v>8950</v>
      </c>
      <c r="K351" s="36"/>
      <c r="L351" s="196"/>
      <c r="M351" s="196"/>
      <c r="N351" s="196"/>
      <c r="O351" s="197"/>
      <c r="P351" s="27">
        <v>100</v>
      </c>
      <c r="Q351" s="27">
        <v>0</v>
      </c>
      <c r="R351" s="28">
        <v>3500</v>
      </c>
      <c r="S351" s="28">
        <v>0</v>
      </c>
      <c r="T351" s="28">
        <v>2500</v>
      </c>
      <c r="U351" s="28">
        <v>0</v>
      </c>
      <c r="V351" s="28">
        <v>1200</v>
      </c>
      <c r="W351" s="28">
        <v>60</v>
      </c>
      <c r="X351" s="28">
        <v>1600</v>
      </c>
      <c r="Y351" s="28">
        <v>848</v>
      </c>
      <c r="Z351" s="30">
        <v>0</v>
      </c>
      <c r="AA351" s="30">
        <v>0</v>
      </c>
      <c r="AB351" s="30">
        <v>0</v>
      </c>
      <c r="AC351" s="30">
        <v>0</v>
      </c>
      <c r="AD351" s="30">
        <v>0</v>
      </c>
      <c r="AE351" s="30">
        <v>0</v>
      </c>
      <c r="AF351" s="198">
        <v>0</v>
      </c>
      <c r="AG351" s="206">
        <v>0</v>
      </c>
      <c r="AH351" s="28">
        <v>0</v>
      </c>
      <c r="AI351" s="28">
        <v>0</v>
      </c>
      <c r="AJ351" s="28">
        <v>50</v>
      </c>
      <c r="AK351" s="28">
        <v>0</v>
      </c>
      <c r="AL351" s="202"/>
      <c r="AM351" s="197"/>
      <c r="AN351" s="28">
        <v>0</v>
      </c>
      <c r="AO351" s="28">
        <v>0</v>
      </c>
      <c r="AP351" s="28">
        <v>0</v>
      </c>
      <c r="AQ351" s="87"/>
      <c r="AR351" s="28">
        <v>0</v>
      </c>
      <c r="AS351" s="28">
        <v>0</v>
      </c>
    </row>
    <row r="352" ht="26.25" customHeight="1" hidden="1">
      <c r="A352" t="s" s="103">
        <v>1278</v>
      </c>
      <c r="B352" t="s" s="10">
        <v>367</v>
      </c>
      <c r="C352" t="s" s="103">
        <v>712</v>
      </c>
      <c r="D352" t="s" s="66">
        <v>713</v>
      </c>
      <c r="E352" s="181"/>
      <c r="F352" t="s" s="101">
        <v>720</v>
      </c>
      <c r="G352" s="203"/>
      <c r="H352" s="204">
        <f>SUM(J352,N352)</f>
        <v>170850</v>
      </c>
      <c r="I352" s="205">
        <f>SUM(Q352,S352,U352,W352,Y352,AA352,AC352,AE352,AG352,AI352,AK352,AM352,AO352,AQ352,AS352)</f>
        <v>33610</v>
      </c>
      <c r="J352" s="35">
        <f>SUM(P352,R352,T352,V352,X352,Z352,AB352,AD352,AF352,AH352,AJ352,AL352,AN352,AP352,AR352)</f>
        <v>170850</v>
      </c>
      <c r="K352" s="36"/>
      <c r="L352" s="196"/>
      <c r="M352" s="196"/>
      <c r="N352" s="196"/>
      <c r="O352" s="197"/>
      <c r="P352" s="27">
        <v>1000</v>
      </c>
      <c r="Q352" s="27">
        <v>0</v>
      </c>
      <c r="R352" s="38">
        <v>25000</v>
      </c>
      <c r="S352" s="38">
        <v>0</v>
      </c>
      <c r="T352" s="38">
        <v>20000</v>
      </c>
      <c r="U352" s="38">
        <v>0</v>
      </c>
      <c r="V352" s="38">
        <v>10000</v>
      </c>
      <c r="W352" s="38">
        <v>0</v>
      </c>
      <c r="X352" s="38">
        <v>2000</v>
      </c>
      <c r="Y352" s="38">
        <v>0</v>
      </c>
      <c r="Z352" s="40">
        <v>28500</v>
      </c>
      <c r="AA352" s="40">
        <v>17000</v>
      </c>
      <c r="AB352" s="40">
        <v>39700</v>
      </c>
      <c r="AC352" s="40">
        <v>2210</v>
      </c>
      <c r="AD352" s="40">
        <v>17600</v>
      </c>
      <c r="AE352" s="40">
        <v>0</v>
      </c>
      <c r="AF352" s="198">
        <v>14600</v>
      </c>
      <c r="AG352" s="206">
        <v>11700</v>
      </c>
      <c r="AH352" s="38">
        <v>7950</v>
      </c>
      <c r="AI352" s="38">
        <v>2700</v>
      </c>
      <c r="AJ352" s="38">
        <v>500</v>
      </c>
      <c r="AK352" s="38">
        <v>0</v>
      </c>
      <c r="AL352" s="275">
        <v>4000</v>
      </c>
      <c r="AM352" s="275">
        <v>0</v>
      </c>
      <c r="AN352" s="38">
        <v>0</v>
      </c>
      <c r="AO352" s="38">
        <v>0</v>
      </c>
      <c r="AP352" s="38">
        <v>0</v>
      </c>
      <c r="AQ352" s="80"/>
      <c r="AR352" s="38">
        <v>0</v>
      </c>
      <c r="AS352" s="38">
        <v>0</v>
      </c>
    </row>
    <row r="353" ht="47.25" customHeight="1" hidden="1">
      <c r="A353" t="s" s="59">
        <v>1279</v>
      </c>
      <c r="B353" t="s" s="21">
        <v>368</v>
      </c>
      <c r="C353" t="s" s="59">
        <v>782</v>
      </c>
      <c r="D353" t="s" s="190">
        <v>717</v>
      </c>
      <c r="E353" s="281">
        <v>1161</v>
      </c>
      <c r="F353" t="s" s="192">
        <v>714</v>
      </c>
      <c r="G353" s="193"/>
      <c r="H353" s="194">
        <f>SUM(J353,N353)</f>
        <v>5416</v>
      </c>
      <c r="I353" s="195">
        <f>SUM(Q353,S353,U353,W353,Y353,AA353,AC353,AE353,AG353,AI353,AK353,AM353,AO353,AQ353,AS353)</f>
        <v>3102</v>
      </c>
      <c r="J353" s="23">
        <f>SUM(P353,R353,T353,V353,X353,Z353,AB353,AD353,AF353,AH353,AJ353,AL353,AN353,AP353,AR353)</f>
        <v>5416</v>
      </c>
      <c r="K353" s="36"/>
      <c r="L353" s="196"/>
      <c r="M353" s="196"/>
      <c r="N353" s="196"/>
      <c r="O353" s="197"/>
      <c r="P353" s="27">
        <v>100</v>
      </c>
      <c r="Q353" s="27">
        <v>0</v>
      </c>
      <c r="R353" s="28">
        <v>300</v>
      </c>
      <c r="S353" s="28">
        <v>300</v>
      </c>
      <c r="T353" s="28">
        <v>300</v>
      </c>
      <c r="U353" s="28">
        <v>150</v>
      </c>
      <c r="V353" s="28">
        <v>500</v>
      </c>
      <c r="W353" s="28">
        <v>420</v>
      </c>
      <c r="X353" s="28">
        <v>350</v>
      </c>
      <c r="Y353" s="28">
        <v>350</v>
      </c>
      <c r="Z353" s="30">
        <v>1600</v>
      </c>
      <c r="AA353" s="30">
        <v>1000</v>
      </c>
      <c r="AB353" s="30">
        <v>1716</v>
      </c>
      <c r="AC353" s="30">
        <v>513</v>
      </c>
      <c r="AD353" s="30">
        <v>550</v>
      </c>
      <c r="AE353" s="30">
        <v>369</v>
      </c>
      <c r="AF353" s="198">
        <v>0</v>
      </c>
      <c r="AG353" s="206">
        <v>0</v>
      </c>
      <c r="AH353" s="28">
        <v>0</v>
      </c>
      <c r="AI353" s="28">
        <v>0</v>
      </c>
      <c r="AJ353" s="28">
        <v>0</v>
      </c>
      <c r="AK353" s="28">
        <v>0</v>
      </c>
      <c r="AL353" s="202"/>
      <c r="AM353" s="197"/>
      <c r="AN353" s="28">
        <v>0</v>
      </c>
      <c r="AO353" s="28">
        <v>0</v>
      </c>
      <c r="AP353" s="28">
        <v>0</v>
      </c>
      <c r="AQ353" s="87"/>
      <c r="AR353" s="28">
        <v>0</v>
      </c>
      <c r="AS353" s="28">
        <v>0</v>
      </c>
    </row>
    <row r="354" ht="78.75" customHeight="1" hidden="1">
      <c r="A354" t="s" s="59">
        <v>1280</v>
      </c>
      <c r="B354" t="s" s="21">
        <v>369</v>
      </c>
      <c r="C354" t="s" s="59">
        <v>1031</v>
      </c>
      <c r="D354" t="s" s="190">
        <v>717</v>
      </c>
      <c r="E354" t="s" s="216">
        <v>1281</v>
      </c>
      <c r="F354" t="s" s="192">
        <v>714</v>
      </c>
      <c r="G354" s="193"/>
      <c r="H354" s="194">
        <f>SUM(J354,N354)</f>
        <v>12400</v>
      </c>
      <c r="I354" s="195">
        <f>SUM(Q354,S354,U354,W354,Y354,AA354,AC354,AE354,AG354,AI354,AK354,AM354,AO354,AQ354,AS354)</f>
        <v>1485</v>
      </c>
      <c r="J354" s="23">
        <f>SUM(P354,R354,T354,V354,X354,Z354,AB354,AD354,AF354,AH354,AJ354,AL354,AN354,AP354,AR354)</f>
        <v>12400</v>
      </c>
      <c r="K354" s="36"/>
      <c r="L354" s="196"/>
      <c r="M354" s="196"/>
      <c r="N354" s="196"/>
      <c r="O354" s="197"/>
      <c r="P354" s="27">
        <v>12000</v>
      </c>
      <c r="Q354" s="27">
        <v>1335</v>
      </c>
      <c r="R354" s="28">
        <v>0</v>
      </c>
      <c r="S354" s="28">
        <v>0</v>
      </c>
      <c r="T354" s="28">
        <v>300</v>
      </c>
      <c r="U354" s="28">
        <v>150</v>
      </c>
      <c r="V354" s="28">
        <v>100</v>
      </c>
      <c r="W354" s="28">
        <v>0</v>
      </c>
      <c r="X354" s="28">
        <v>0</v>
      </c>
      <c r="Y354" s="28">
        <v>0</v>
      </c>
      <c r="Z354" s="30">
        <v>0</v>
      </c>
      <c r="AA354" s="30">
        <v>0</v>
      </c>
      <c r="AB354" s="30">
        <v>0</v>
      </c>
      <c r="AC354" s="30">
        <v>0</v>
      </c>
      <c r="AD354" s="30">
        <v>0</v>
      </c>
      <c r="AE354" s="30">
        <v>0</v>
      </c>
      <c r="AF354" s="198">
        <v>0</v>
      </c>
      <c r="AG354" s="206">
        <v>0</v>
      </c>
      <c r="AH354" s="28">
        <v>0</v>
      </c>
      <c r="AI354" s="28">
        <v>0</v>
      </c>
      <c r="AJ354" s="28">
        <v>0</v>
      </c>
      <c r="AK354" s="28">
        <v>0</v>
      </c>
      <c r="AL354" s="202"/>
      <c r="AM354" s="197"/>
      <c r="AN354" s="28">
        <v>0</v>
      </c>
      <c r="AO354" s="28">
        <v>0</v>
      </c>
      <c r="AP354" s="28">
        <v>0</v>
      </c>
      <c r="AQ354" s="87"/>
      <c r="AR354" s="28">
        <v>0</v>
      </c>
      <c r="AS354" s="28">
        <v>0</v>
      </c>
    </row>
    <row r="355" ht="78.75" customHeight="1" hidden="1">
      <c r="A355" t="s" s="88">
        <v>1282</v>
      </c>
      <c r="B355" t="s" s="88">
        <v>370</v>
      </c>
      <c r="C355" s="228"/>
      <c r="D355" s="228"/>
      <c r="E355" t="s" s="252">
        <v>1283</v>
      </c>
      <c r="F355" s="182">
        <v>0</v>
      </c>
      <c r="G355" s="183"/>
      <c r="H355" s="42">
        <f>SUM(J355,N355)</f>
        <v>0</v>
      </c>
      <c r="I355" s="207">
        <f>SUM(Q355,S355,U355,W355,Y355,AA355,AC355,AE355,AG355,AI355,AK355,AM355,AO355,AQ355,AS355)</f>
        <v>0</v>
      </c>
      <c r="J355" s="43">
        <f>SUM(P355,R355,T355,V355,X355,Z355,AB355,AD355,AF355,AH355,AJ355,AL355,AN355,AP355,AR355)</f>
        <v>0</v>
      </c>
      <c r="K355" s="44"/>
      <c r="L355" s="6"/>
      <c r="M355" s="6"/>
      <c r="N355" s="14"/>
      <c r="O355" s="122"/>
      <c r="P355" s="46"/>
      <c r="Q355" s="46"/>
      <c r="R355" s="47"/>
      <c r="S355" s="47"/>
      <c r="T355" s="47"/>
      <c r="U355" s="47"/>
      <c r="V355" s="47"/>
      <c r="W355" s="47"/>
      <c r="X355" s="47"/>
      <c r="Y355" s="47"/>
      <c r="Z355" s="48">
        <v>0</v>
      </c>
      <c r="AA355" s="48">
        <v>0</v>
      </c>
      <c r="AB355" s="49"/>
      <c r="AC355" s="49"/>
      <c r="AD355" s="50"/>
      <c r="AE355" s="50"/>
      <c r="AF355" s="14"/>
      <c r="AG355" s="122"/>
      <c r="AH355" s="51">
        <v>0</v>
      </c>
      <c r="AI355" s="51">
        <v>0</v>
      </c>
      <c r="AJ355" s="47"/>
      <c r="AK355" s="47"/>
      <c r="AL355" s="14"/>
      <c r="AM355" s="122"/>
      <c r="AN355" s="47"/>
      <c r="AO355" s="47"/>
      <c r="AP355" s="47"/>
      <c r="AQ355" s="47"/>
      <c r="AR355" s="51">
        <v>0</v>
      </c>
      <c r="AS355" s="51">
        <v>0</v>
      </c>
    </row>
    <row r="356" ht="19.5" customHeight="1" hidden="1">
      <c r="A356" t="s" s="59">
        <v>1284</v>
      </c>
      <c r="B356" t="s" s="21">
        <v>371</v>
      </c>
      <c r="C356" t="s" s="59">
        <v>712</v>
      </c>
      <c r="D356" t="s" s="190">
        <v>713</v>
      </c>
      <c r="E356" s="191"/>
      <c r="F356" t="s" s="192">
        <v>720</v>
      </c>
      <c r="G356" s="193"/>
      <c r="H356" s="194">
        <f>SUM(J356,N356)</f>
        <v>639400</v>
      </c>
      <c r="I356" s="195">
        <f>SUM(Q356,S356,U356,W356,Y356,AA356,AC356,AE356,AG356,AI356,AK356,AM356,AO356,AQ356,AS356)</f>
        <v>382440</v>
      </c>
      <c r="J356" s="23">
        <f>SUM(P356,R356,T356,V356,X356,Z356,AB356,AD356,AF356,AH356,AJ356,AL356,AN356,AP356,AR356)</f>
        <v>639400</v>
      </c>
      <c r="K356" s="36"/>
      <c r="L356" s="196"/>
      <c r="M356" s="196"/>
      <c r="N356" s="196"/>
      <c r="O356" s="197"/>
      <c r="P356" s="27">
        <v>5000</v>
      </c>
      <c r="Q356" s="27">
        <v>3430</v>
      </c>
      <c r="R356" s="28">
        <v>112000</v>
      </c>
      <c r="S356" s="28">
        <v>97390</v>
      </c>
      <c r="T356" s="28">
        <v>25000</v>
      </c>
      <c r="U356" s="28">
        <v>22750</v>
      </c>
      <c r="V356" s="28">
        <v>45000</v>
      </c>
      <c r="W356" s="28">
        <v>32420</v>
      </c>
      <c r="X356" s="28">
        <v>40000</v>
      </c>
      <c r="Y356" s="28">
        <v>38360</v>
      </c>
      <c r="Z356" s="30">
        <v>270000</v>
      </c>
      <c r="AA356" s="30">
        <v>110000</v>
      </c>
      <c r="AB356" s="30">
        <v>60800</v>
      </c>
      <c r="AC356" s="30">
        <v>29400</v>
      </c>
      <c r="AD356" s="30">
        <v>41600</v>
      </c>
      <c r="AE356" s="30">
        <v>28770</v>
      </c>
      <c r="AF356" s="198">
        <v>11000</v>
      </c>
      <c r="AG356" s="206">
        <v>9190</v>
      </c>
      <c r="AH356" s="28">
        <v>25000</v>
      </c>
      <c r="AI356" s="28">
        <v>10730</v>
      </c>
      <c r="AJ356" s="28">
        <v>0</v>
      </c>
      <c r="AK356" s="28">
        <v>0</v>
      </c>
      <c r="AL356" s="234">
        <v>4000</v>
      </c>
      <c r="AM356" s="234">
        <v>0</v>
      </c>
      <c r="AN356" s="28">
        <v>0</v>
      </c>
      <c r="AO356" s="28">
        <v>0</v>
      </c>
      <c r="AP356" s="28">
        <v>0</v>
      </c>
      <c r="AQ356" s="87"/>
      <c r="AR356" s="28">
        <v>0</v>
      </c>
      <c r="AS356" s="28">
        <v>0</v>
      </c>
    </row>
    <row r="357" ht="110.25" customHeight="1" hidden="1">
      <c r="A357" t="s" s="130">
        <v>1285</v>
      </c>
      <c r="B357" t="s" s="52">
        <v>372</v>
      </c>
      <c r="C357" t="s" s="130">
        <v>782</v>
      </c>
      <c r="D357" t="s" s="209">
        <v>717</v>
      </c>
      <c r="E357" t="s" s="132">
        <v>1286</v>
      </c>
      <c r="F357" t="s" s="210">
        <v>714</v>
      </c>
      <c r="G357" s="211"/>
      <c r="H357" s="42">
        <f>SUM(J357,N357)</f>
        <v>39610</v>
      </c>
      <c r="I357" s="207">
        <f>SUM(Q357,S357,U357,W357,Y357,AA357,AC357,AE357,AG357,AI357,AK357,AM357,AO357,AQ357,AS357)</f>
        <v>11713</v>
      </c>
      <c r="J357" s="43">
        <f>SUM(P357,R357,T357,V357,X357,Z357,AB357,AD357,AF357,AH357,AJ357,AL357,AN357,AP357,AR357)</f>
        <v>39610</v>
      </c>
      <c r="K357" s="44"/>
      <c r="L357" s="6"/>
      <c r="M357" s="6"/>
      <c r="N357" s="14"/>
      <c r="O357" s="122"/>
      <c r="P357" s="27">
        <v>4000</v>
      </c>
      <c r="Q357" s="27">
        <v>3920</v>
      </c>
      <c r="R357" s="51">
        <v>110</v>
      </c>
      <c r="S357" s="51">
        <v>100</v>
      </c>
      <c r="T357" s="51">
        <v>800</v>
      </c>
      <c r="U357" s="51">
        <v>420</v>
      </c>
      <c r="V357" s="51">
        <v>2400</v>
      </c>
      <c r="W357" s="51">
        <v>194</v>
      </c>
      <c r="X357" s="51">
        <v>6000</v>
      </c>
      <c r="Y357" s="51">
        <v>960</v>
      </c>
      <c r="Z357" s="48">
        <v>4800</v>
      </c>
      <c r="AA357" s="48">
        <v>0</v>
      </c>
      <c r="AB357" s="48">
        <v>3790</v>
      </c>
      <c r="AC357" s="48">
        <v>839</v>
      </c>
      <c r="AD357" s="55">
        <v>13850</v>
      </c>
      <c r="AE357" s="213">
        <v>4576</v>
      </c>
      <c r="AF357" s="212">
        <v>1200</v>
      </c>
      <c r="AG357" s="121">
        <v>0</v>
      </c>
      <c r="AH357" s="51">
        <v>1660</v>
      </c>
      <c r="AI357" s="51">
        <v>704</v>
      </c>
      <c r="AJ357" s="51">
        <v>1000</v>
      </c>
      <c r="AK357" s="51">
        <v>0</v>
      </c>
      <c r="AL357" s="14"/>
      <c r="AM357" s="122"/>
      <c r="AN357" s="51">
        <v>0</v>
      </c>
      <c r="AO357" s="51">
        <v>0</v>
      </c>
      <c r="AP357" s="51">
        <v>0</v>
      </c>
      <c r="AQ357" s="47"/>
      <c r="AR357" s="51">
        <v>0</v>
      </c>
      <c r="AS357" s="51">
        <v>0</v>
      </c>
    </row>
    <row r="358" ht="39" customHeight="1" hidden="1">
      <c r="A358" t="s" s="103">
        <v>1287</v>
      </c>
      <c r="B358" t="s" s="10">
        <v>373</v>
      </c>
      <c r="C358" t="s" s="103">
        <v>712</v>
      </c>
      <c r="D358" t="s" s="66">
        <v>713</v>
      </c>
      <c r="E358" t="s" s="219">
        <v>1288</v>
      </c>
      <c r="F358" t="s" s="101">
        <v>720</v>
      </c>
      <c r="G358" s="203"/>
      <c r="H358" s="204">
        <f>SUM(J358,N358)</f>
        <v>35100</v>
      </c>
      <c r="I358" s="205">
        <f>SUM(Q358,S358,U358,W358,Y358,AA358,AC358,AE358,AG358,AI358,AK358,AM358,AO358,AQ358,AS358)</f>
        <v>90</v>
      </c>
      <c r="J358" s="35">
        <f>SUM(P358,R358,T358,V358,X358,Z358,AB358,AD358,AF358,AH358,AJ358,AL358,AN358,AP358,AR358)</f>
        <v>35100</v>
      </c>
      <c r="K358" s="36"/>
      <c r="L358" s="196"/>
      <c r="M358" s="196"/>
      <c r="N358" s="196"/>
      <c r="O358" s="197"/>
      <c r="P358" s="27">
        <v>0</v>
      </c>
      <c r="Q358" s="27">
        <v>0</v>
      </c>
      <c r="R358" s="38">
        <v>5000</v>
      </c>
      <c r="S358" s="38">
        <v>0</v>
      </c>
      <c r="T358" s="38">
        <v>2500</v>
      </c>
      <c r="U358" s="38">
        <v>0</v>
      </c>
      <c r="V358" s="38">
        <v>15000</v>
      </c>
      <c r="W358" s="38">
        <v>0</v>
      </c>
      <c r="X358" s="38">
        <v>5000</v>
      </c>
      <c r="Y358" s="38">
        <v>0</v>
      </c>
      <c r="Z358" s="40">
        <v>0</v>
      </c>
      <c r="AA358" s="40">
        <v>0</v>
      </c>
      <c r="AB358" s="40">
        <v>1000</v>
      </c>
      <c r="AC358" s="40">
        <v>0</v>
      </c>
      <c r="AD358" s="40">
        <v>6600</v>
      </c>
      <c r="AE358" s="40">
        <v>90</v>
      </c>
      <c r="AF358" s="198">
        <v>0</v>
      </c>
      <c r="AG358" s="206">
        <v>0</v>
      </c>
      <c r="AH358" s="38">
        <v>0</v>
      </c>
      <c r="AI358" s="38">
        <v>0</v>
      </c>
      <c r="AJ358" s="38">
        <v>0</v>
      </c>
      <c r="AK358" s="38">
        <v>0</v>
      </c>
      <c r="AL358" s="202"/>
      <c r="AM358" s="197"/>
      <c r="AN358" s="38">
        <v>0</v>
      </c>
      <c r="AO358" s="38">
        <v>0</v>
      </c>
      <c r="AP358" s="38">
        <v>0</v>
      </c>
      <c r="AQ358" s="80"/>
      <c r="AR358" s="38">
        <v>0</v>
      </c>
      <c r="AS358" s="38">
        <v>0</v>
      </c>
    </row>
    <row r="359" ht="94.5" customHeight="1" hidden="1">
      <c r="A359" t="s" s="231">
        <v>1289</v>
      </c>
      <c r="B359" t="s" s="88">
        <v>374</v>
      </c>
      <c r="C359" s="228"/>
      <c r="D359" s="228"/>
      <c r="E359" s="189"/>
      <c r="F359" s="182">
        <v>0</v>
      </c>
      <c r="G359" s="183"/>
      <c r="H359" s="42">
        <f>SUM(J359,N359)</f>
        <v>0</v>
      </c>
      <c r="I359" s="207">
        <f>SUM(Q359,S359,U359,W359,Y359,AA359,AC359,AE359,AG359,AI359,AK359,AM359,AO359,AQ359,AS359)</f>
        <v>0</v>
      </c>
      <c r="J359" s="43">
        <f>SUM(P359,R359,T359,V359,X359,Z359,AB359,AD359,AF359,AH359,AJ359,AL359,AN359,AP359,AR359)</f>
        <v>0</v>
      </c>
      <c r="K359" s="44"/>
      <c r="L359" s="6"/>
      <c r="M359" s="6"/>
      <c r="N359" s="14"/>
      <c r="O359" s="122"/>
      <c r="P359" s="46"/>
      <c r="Q359" s="46"/>
      <c r="R359" s="47"/>
      <c r="S359" s="47"/>
      <c r="T359" s="47"/>
      <c r="U359" s="47"/>
      <c r="V359" s="47"/>
      <c r="W359" s="47"/>
      <c r="X359" s="47"/>
      <c r="Y359" s="47"/>
      <c r="Z359" s="48">
        <v>0</v>
      </c>
      <c r="AA359" s="48">
        <v>0</v>
      </c>
      <c r="AB359" s="49"/>
      <c r="AC359" s="49"/>
      <c r="AD359" s="50"/>
      <c r="AE359" s="50"/>
      <c r="AF359" s="14"/>
      <c r="AG359" s="122"/>
      <c r="AH359" s="51">
        <v>0</v>
      </c>
      <c r="AI359" s="51">
        <v>0</v>
      </c>
      <c r="AJ359" s="47"/>
      <c r="AK359" s="47"/>
      <c r="AL359" s="14"/>
      <c r="AM359" s="122"/>
      <c r="AN359" s="47"/>
      <c r="AO359" s="47"/>
      <c r="AP359" s="47"/>
      <c r="AQ359" s="47"/>
      <c r="AR359" s="51">
        <v>0</v>
      </c>
      <c r="AS359" s="51">
        <v>0</v>
      </c>
    </row>
    <row r="360" ht="110.25" customHeight="1" hidden="1">
      <c r="A360" t="s" s="103">
        <v>1290</v>
      </c>
      <c r="B360" t="s" s="98">
        <v>375</v>
      </c>
      <c r="C360" t="s" s="103">
        <v>1291</v>
      </c>
      <c r="D360" t="s" s="66">
        <v>717</v>
      </c>
      <c r="E360" t="s" s="219">
        <v>1292</v>
      </c>
      <c r="F360" t="s" s="101">
        <v>714</v>
      </c>
      <c r="G360" s="203"/>
      <c r="H360" s="204">
        <f>SUM(J360,N360)</f>
        <v>7800</v>
      </c>
      <c r="I360" s="205">
        <f>SUM(Q360,S360,U360,W360,Y360,AA360,AC360,AE360,AG360,AI360,AK360,AM360,AO360,AQ360,AS360)</f>
        <v>0</v>
      </c>
      <c r="J360" s="35">
        <f>SUM(P360,R360,T360,V360,X360,Z360,AB360,AD360,AF360,AH360,AJ360,AL360,AN360,AP360,AR360)</f>
        <v>7800</v>
      </c>
      <c r="K360" s="36"/>
      <c r="L360" s="196"/>
      <c r="M360" s="196"/>
      <c r="N360" s="196"/>
      <c r="O360" s="197"/>
      <c r="P360" s="27">
        <v>5000</v>
      </c>
      <c r="Q360" s="27">
        <v>0</v>
      </c>
      <c r="R360" s="38">
        <v>0</v>
      </c>
      <c r="S360" s="38">
        <v>0</v>
      </c>
      <c r="T360" s="38">
        <v>400</v>
      </c>
      <c r="U360" s="80"/>
      <c r="V360" s="38">
        <v>2400</v>
      </c>
      <c r="W360" s="38">
        <v>0</v>
      </c>
      <c r="X360" s="38">
        <v>0</v>
      </c>
      <c r="Y360" s="38">
        <v>0</v>
      </c>
      <c r="Z360" s="40">
        <v>0</v>
      </c>
      <c r="AA360" s="40">
        <v>0</v>
      </c>
      <c r="AB360" s="40">
        <v>0</v>
      </c>
      <c r="AC360" s="40">
        <v>0</v>
      </c>
      <c r="AD360" s="40">
        <v>0</v>
      </c>
      <c r="AE360" s="40">
        <v>0</v>
      </c>
      <c r="AF360" s="198">
        <v>0</v>
      </c>
      <c r="AG360" s="206">
        <v>0</v>
      </c>
      <c r="AH360" s="38">
        <v>0</v>
      </c>
      <c r="AI360" s="38">
        <v>0</v>
      </c>
      <c r="AJ360" s="38">
        <v>0</v>
      </c>
      <c r="AK360" s="38">
        <v>0</v>
      </c>
      <c r="AL360" s="202"/>
      <c r="AM360" s="197"/>
      <c r="AN360" s="38">
        <v>0</v>
      </c>
      <c r="AO360" s="38">
        <v>0</v>
      </c>
      <c r="AP360" s="38">
        <v>0</v>
      </c>
      <c r="AQ360" s="80"/>
      <c r="AR360" s="38">
        <v>0</v>
      </c>
      <c r="AS360" s="38">
        <v>0</v>
      </c>
    </row>
    <row r="361" ht="175.5" customHeight="1" hidden="1">
      <c r="A361" t="s" s="103">
        <v>1293</v>
      </c>
      <c r="B361" t="s" s="98">
        <v>376</v>
      </c>
      <c r="C361" t="s" s="103">
        <v>1240</v>
      </c>
      <c r="D361" t="s" s="66">
        <v>717</v>
      </c>
      <c r="E361" t="s" s="219">
        <v>1294</v>
      </c>
      <c r="F361" s="203"/>
      <c r="G361" s="203"/>
      <c r="H361" s="204">
        <f>SUM(J361,N361)</f>
        <v>7700</v>
      </c>
      <c r="I361" s="205">
        <f>SUM(Q361,S361,U361,W361,Y361,AA361,AC361,AE361,AG361,AI361,AK361,AM361,AO361,AQ361,AS361)</f>
        <v>0</v>
      </c>
      <c r="J361" s="35">
        <f>SUM(P361,R361,T361,V361,X361,Z361,AB361,AD361,AF361,AH361,AJ361,AL361,AN361,AP361,AR361)</f>
        <v>7700</v>
      </c>
      <c r="K361" s="36"/>
      <c r="L361" s="196"/>
      <c r="M361" s="196"/>
      <c r="N361" s="196"/>
      <c r="O361" s="197"/>
      <c r="P361" s="27">
        <v>5000</v>
      </c>
      <c r="Q361" s="27">
        <v>0</v>
      </c>
      <c r="R361" s="38">
        <v>0</v>
      </c>
      <c r="S361" s="38">
        <v>0</v>
      </c>
      <c r="T361" s="38">
        <v>300</v>
      </c>
      <c r="U361" s="80"/>
      <c r="V361" s="38">
        <v>2400</v>
      </c>
      <c r="W361" s="38">
        <v>0</v>
      </c>
      <c r="X361" s="38">
        <v>0</v>
      </c>
      <c r="Y361" s="38">
        <v>0</v>
      </c>
      <c r="Z361" s="40">
        <v>0</v>
      </c>
      <c r="AA361" s="40">
        <v>0</v>
      </c>
      <c r="AB361" s="40">
        <v>0</v>
      </c>
      <c r="AC361" s="40">
        <v>0</v>
      </c>
      <c r="AD361" s="40">
        <v>0</v>
      </c>
      <c r="AE361" s="40">
        <v>0</v>
      </c>
      <c r="AF361" s="198">
        <v>0</v>
      </c>
      <c r="AG361" s="206">
        <v>0</v>
      </c>
      <c r="AH361" s="38">
        <v>0</v>
      </c>
      <c r="AI361" s="38">
        <v>0</v>
      </c>
      <c r="AJ361" s="38">
        <v>0</v>
      </c>
      <c r="AK361" s="38">
        <v>0</v>
      </c>
      <c r="AL361" s="202"/>
      <c r="AM361" s="197"/>
      <c r="AN361" s="38">
        <v>0</v>
      </c>
      <c r="AO361" s="38">
        <v>0</v>
      </c>
      <c r="AP361" s="38">
        <v>0</v>
      </c>
      <c r="AQ361" s="80"/>
      <c r="AR361" s="38">
        <v>0</v>
      </c>
      <c r="AS361" s="38">
        <v>0</v>
      </c>
    </row>
    <row r="362" ht="126" customHeight="1" hidden="1">
      <c r="A362" t="s" s="218">
        <v>1295</v>
      </c>
      <c r="B362" t="s" s="10">
        <v>377</v>
      </c>
      <c r="C362" t="s" s="103">
        <v>1291</v>
      </c>
      <c r="D362" t="s" s="66">
        <v>717</v>
      </c>
      <c r="E362" t="s" s="219">
        <v>1292</v>
      </c>
      <c r="F362" t="s" s="101">
        <v>714</v>
      </c>
      <c r="G362" s="203"/>
      <c r="H362" s="204">
        <f>SUM(J362,N362)</f>
        <v>36000</v>
      </c>
      <c r="I362" s="205">
        <f>SUM(Q362,S362,U362,W362,Y362,AA362,AC362,AE362,AG362,AI362,AK362,AM362,AO362,AQ362,AS362)</f>
        <v>18416</v>
      </c>
      <c r="J362" s="35">
        <f>SUM(P362,R362,T362,V362,X362,Z362,AB362,AD362,AF362,AH362,AJ362,AL362,AN362,AP362,AR362)</f>
        <v>36000</v>
      </c>
      <c r="K362" s="36"/>
      <c r="L362" s="196"/>
      <c r="M362" s="196"/>
      <c r="N362" s="196"/>
      <c r="O362" s="197"/>
      <c r="P362" s="27">
        <v>30750</v>
      </c>
      <c r="Q362" s="27">
        <v>17516</v>
      </c>
      <c r="R362" s="38">
        <v>0</v>
      </c>
      <c r="S362" s="38">
        <v>0</v>
      </c>
      <c r="T362" s="38">
        <v>4050</v>
      </c>
      <c r="U362" s="80"/>
      <c r="V362" s="38">
        <v>1200</v>
      </c>
      <c r="W362" s="38">
        <v>900</v>
      </c>
      <c r="X362" s="38">
        <v>0</v>
      </c>
      <c r="Y362" s="38">
        <v>0</v>
      </c>
      <c r="Z362" s="40">
        <v>0</v>
      </c>
      <c r="AA362" s="40">
        <v>0</v>
      </c>
      <c r="AB362" s="40">
        <v>0</v>
      </c>
      <c r="AC362" s="40">
        <v>0</v>
      </c>
      <c r="AD362" s="40">
        <v>0</v>
      </c>
      <c r="AE362" s="40">
        <v>0</v>
      </c>
      <c r="AF362" s="198">
        <v>0</v>
      </c>
      <c r="AG362" s="206">
        <v>0</v>
      </c>
      <c r="AH362" s="38">
        <v>0</v>
      </c>
      <c r="AI362" s="38">
        <v>0</v>
      </c>
      <c r="AJ362" s="38">
        <v>0</v>
      </c>
      <c r="AK362" s="38">
        <v>0</v>
      </c>
      <c r="AL362" s="202"/>
      <c r="AM362" s="197"/>
      <c r="AN362" s="38">
        <v>0</v>
      </c>
      <c r="AO362" s="38">
        <v>0</v>
      </c>
      <c r="AP362" s="38">
        <v>0</v>
      </c>
      <c r="AQ362" s="80"/>
      <c r="AR362" s="38">
        <v>0</v>
      </c>
      <c r="AS362" s="38">
        <v>0</v>
      </c>
    </row>
    <row r="363" ht="175.5" customHeight="1" hidden="1">
      <c r="A363" t="s" s="103">
        <v>1296</v>
      </c>
      <c r="B363" t="s" s="98">
        <v>378</v>
      </c>
      <c r="C363" t="s" s="103">
        <v>1240</v>
      </c>
      <c r="D363" t="s" s="66">
        <v>717</v>
      </c>
      <c r="E363" t="s" s="219">
        <v>1297</v>
      </c>
      <c r="F363" s="203"/>
      <c r="G363" s="203"/>
      <c r="H363" s="204">
        <f>SUM(J363,N363)</f>
        <v>22700</v>
      </c>
      <c r="I363" s="205">
        <f>SUM(Q363,S363,U363,W363,Y363,AA363,AC363,AE363,AG363,AI363,AK363,AM363,AO363,AQ363,AS363)</f>
        <v>0</v>
      </c>
      <c r="J363" s="35">
        <f>SUM(P363,R363,T363,V363,X363,Z363,AB363,AD363,AF363,AH363,AJ363,AL363,AN363,AP363,AR363)</f>
        <v>22700</v>
      </c>
      <c r="K363" s="36"/>
      <c r="L363" s="196"/>
      <c r="M363" s="196"/>
      <c r="N363" s="196"/>
      <c r="O363" s="197"/>
      <c r="P363" s="27">
        <v>20000</v>
      </c>
      <c r="Q363" s="27">
        <v>0</v>
      </c>
      <c r="R363" s="38">
        <v>0</v>
      </c>
      <c r="S363" s="38">
        <v>0</v>
      </c>
      <c r="T363" s="38">
        <v>1500</v>
      </c>
      <c r="U363" s="80"/>
      <c r="V363" s="38">
        <v>1200</v>
      </c>
      <c r="W363" s="38">
        <v>0</v>
      </c>
      <c r="X363" s="38">
        <v>0</v>
      </c>
      <c r="Y363" s="38">
        <v>0</v>
      </c>
      <c r="Z363" s="40">
        <v>0</v>
      </c>
      <c r="AA363" s="40">
        <v>0</v>
      </c>
      <c r="AB363" s="40">
        <v>0</v>
      </c>
      <c r="AC363" s="40">
        <v>0</v>
      </c>
      <c r="AD363" s="40">
        <v>0</v>
      </c>
      <c r="AE363" s="40">
        <v>0</v>
      </c>
      <c r="AF363" s="198">
        <v>0</v>
      </c>
      <c r="AG363" s="206">
        <v>0</v>
      </c>
      <c r="AH363" s="38">
        <v>0</v>
      </c>
      <c r="AI363" s="38">
        <v>0</v>
      </c>
      <c r="AJ363" s="80"/>
      <c r="AK363" s="80"/>
      <c r="AL363" s="202"/>
      <c r="AM363" s="197"/>
      <c r="AN363" s="38">
        <v>0</v>
      </c>
      <c r="AO363" s="38">
        <v>0</v>
      </c>
      <c r="AP363" s="38">
        <v>0</v>
      </c>
      <c r="AQ363" s="80"/>
      <c r="AR363" s="38">
        <v>0</v>
      </c>
      <c r="AS363" s="38">
        <v>0</v>
      </c>
    </row>
    <row r="364" ht="31.5" customHeight="1" hidden="1">
      <c r="A364" t="s" s="88">
        <v>1298</v>
      </c>
      <c r="B364" t="s" s="67">
        <v>379</v>
      </c>
      <c r="C364" s="228"/>
      <c r="D364" s="228"/>
      <c r="E364" s="189"/>
      <c r="F364" s="182">
        <v>0</v>
      </c>
      <c r="G364" s="183"/>
      <c r="H364" s="42">
        <f>SUM(J364,N364)</f>
        <v>0</v>
      </c>
      <c r="I364" s="207">
        <f>SUM(Q364,S364,U364,W364,Y364,AA364,AC364,AE364,AG364,AI364,AK364,AM364,AO364,AQ364,AS364)</f>
        <v>0</v>
      </c>
      <c r="J364" s="43">
        <f>SUM(P364,R364,T364,V364,X364,Z364,AB364,AD364,AF364,AH364,AJ364,AL364,AN364,AP364,AR364)</f>
        <v>0</v>
      </c>
      <c r="K364" s="44"/>
      <c r="L364" s="6"/>
      <c r="M364" s="6"/>
      <c r="N364" s="14"/>
      <c r="O364" s="122"/>
      <c r="P364" s="46"/>
      <c r="Q364" s="46"/>
      <c r="R364" s="47"/>
      <c r="S364" s="47"/>
      <c r="T364" s="47"/>
      <c r="U364" s="47"/>
      <c r="V364" s="47"/>
      <c r="W364" s="47"/>
      <c r="X364" s="47"/>
      <c r="Y364" s="47"/>
      <c r="Z364" s="48">
        <v>0</v>
      </c>
      <c r="AA364" s="48">
        <v>0</v>
      </c>
      <c r="AB364" s="49"/>
      <c r="AC364" s="49"/>
      <c r="AD364" s="50"/>
      <c r="AE364" s="50"/>
      <c r="AF364" s="14"/>
      <c r="AG364" s="122"/>
      <c r="AH364" s="51">
        <v>0</v>
      </c>
      <c r="AI364" s="51">
        <v>0</v>
      </c>
      <c r="AJ364" s="47"/>
      <c r="AK364" s="47"/>
      <c r="AL364" s="14"/>
      <c r="AM364" s="122"/>
      <c r="AN364" s="47"/>
      <c r="AO364" s="47"/>
      <c r="AP364" s="47"/>
      <c r="AQ364" s="47"/>
      <c r="AR364" s="51">
        <v>0</v>
      </c>
      <c r="AS364" s="51">
        <v>0</v>
      </c>
    </row>
    <row r="365" ht="97.5" customHeight="1" hidden="1">
      <c r="A365" t="s" s="220">
        <v>1299</v>
      </c>
      <c r="B365" t="s" s="110">
        <v>380</v>
      </c>
      <c r="C365" t="s" s="282">
        <v>800</v>
      </c>
      <c r="D365" t="s" s="283">
        <v>717</v>
      </c>
      <c r="E365" t="s" s="217">
        <v>1300</v>
      </c>
      <c r="F365" t="s" s="210">
        <v>714</v>
      </c>
      <c r="G365" s="211"/>
      <c r="H365" s="42">
        <f>SUM(J365,N365)</f>
        <v>59100</v>
      </c>
      <c r="I365" s="207">
        <f>SUM(Q365,S365,U365,W365,Y365,AA365,AC365,AE365,AG365,AI365,AK365,AM365,AO365,AQ365,AS365)</f>
        <v>36019</v>
      </c>
      <c r="J365" s="43">
        <f>SUM(P365,R365,T365,V365,X365,Z365,AB365,AD365,AF365,AH365,AJ365,AL365,AN365,AP365,AR365)</f>
        <v>59000</v>
      </c>
      <c r="K365" s="44"/>
      <c r="L365" s="6"/>
      <c r="M365" s="6"/>
      <c r="N365" s="212">
        <v>100</v>
      </c>
      <c r="O365" s="122"/>
      <c r="P365" s="27">
        <v>13000</v>
      </c>
      <c r="Q365" s="27">
        <v>12632</v>
      </c>
      <c r="R365" s="51">
        <v>17000</v>
      </c>
      <c r="S365" s="51">
        <v>16125</v>
      </c>
      <c r="T365" s="51">
        <v>20000</v>
      </c>
      <c r="U365" s="51">
        <v>1500</v>
      </c>
      <c r="V365" s="51">
        <v>5000</v>
      </c>
      <c r="W365" s="51">
        <v>1937</v>
      </c>
      <c r="X365" s="51">
        <v>4000</v>
      </c>
      <c r="Y365" s="51">
        <v>3825</v>
      </c>
      <c r="Z365" s="48">
        <v>0</v>
      </c>
      <c r="AA365" s="48">
        <v>0</v>
      </c>
      <c r="AB365" s="48">
        <v>0</v>
      </c>
      <c r="AC365" s="48">
        <v>0</v>
      </c>
      <c r="AD365" s="55">
        <v>0</v>
      </c>
      <c r="AE365" s="213">
        <v>0</v>
      </c>
      <c r="AF365" s="212">
        <v>0</v>
      </c>
      <c r="AG365" s="121">
        <v>0</v>
      </c>
      <c r="AH365" s="51">
        <v>0</v>
      </c>
      <c r="AI365" s="51">
        <v>0</v>
      </c>
      <c r="AJ365" s="51">
        <v>0</v>
      </c>
      <c r="AK365" s="51">
        <v>0</v>
      </c>
      <c r="AL365" s="14"/>
      <c r="AM365" s="122"/>
      <c r="AN365" s="51">
        <v>0</v>
      </c>
      <c r="AO365" s="51">
        <v>0</v>
      </c>
      <c r="AP365" s="51">
        <v>0</v>
      </c>
      <c r="AQ365" s="47"/>
      <c r="AR365" s="51">
        <v>0</v>
      </c>
      <c r="AS365" s="51">
        <v>0</v>
      </c>
    </row>
    <row r="366" ht="195" customHeight="1" hidden="1">
      <c r="A366" t="s" s="214">
        <v>1301</v>
      </c>
      <c r="B366" t="s" s="21">
        <v>381</v>
      </c>
      <c r="C366" t="s" s="284">
        <v>1302</v>
      </c>
      <c r="D366" t="s" s="285">
        <v>717</v>
      </c>
      <c r="E366" t="s" s="216">
        <v>1303</v>
      </c>
      <c r="F366" t="s" s="192">
        <v>714</v>
      </c>
      <c r="G366" s="193"/>
      <c r="H366" s="194">
        <f>SUM(J366,N366)</f>
        <v>40</v>
      </c>
      <c r="I366" s="195">
        <f>SUM(Q366,S366,U366,W366,Y366,AA366,AC366,AE366,AG366,AI366,AK366,AM366,AO366,AQ366,AS366)</f>
        <v>5</v>
      </c>
      <c r="J366" s="23">
        <f>SUM(P366,R366,T366,V366,X366,Z366,AB366,AD366,AF366,AH366,AJ366,AL366,AN366,AP366,AR366)</f>
        <v>40</v>
      </c>
      <c r="K366" s="36"/>
      <c r="L366" s="196"/>
      <c r="M366" s="196"/>
      <c r="N366" s="196"/>
      <c r="O366" s="197"/>
      <c r="P366" s="27">
        <v>20</v>
      </c>
      <c r="Q366" s="27">
        <v>5</v>
      </c>
      <c r="R366" s="28">
        <v>5</v>
      </c>
      <c r="S366" s="28">
        <v>0</v>
      </c>
      <c r="T366" s="28">
        <v>5</v>
      </c>
      <c r="U366" s="28">
        <v>0</v>
      </c>
      <c r="V366" s="28">
        <v>0</v>
      </c>
      <c r="W366" s="28">
        <v>0</v>
      </c>
      <c r="X366" s="28">
        <v>10</v>
      </c>
      <c r="Y366" s="28">
        <v>0</v>
      </c>
      <c r="Z366" s="30">
        <v>0</v>
      </c>
      <c r="AA366" s="30">
        <v>0</v>
      </c>
      <c r="AB366" s="30">
        <v>0</v>
      </c>
      <c r="AC366" s="30">
        <v>0</v>
      </c>
      <c r="AD366" s="30">
        <v>0</v>
      </c>
      <c r="AE366" s="30">
        <v>0</v>
      </c>
      <c r="AF366" s="198">
        <v>0</v>
      </c>
      <c r="AG366" s="206">
        <v>0</v>
      </c>
      <c r="AH366" s="28">
        <v>0</v>
      </c>
      <c r="AI366" s="28">
        <v>0</v>
      </c>
      <c r="AJ366" s="28">
        <v>0</v>
      </c>
      <c r="AK366" s="28">
        <v>0</v>
      </c>
      <c r="AL366" s="202"/>
      <c r="AM366" s="197"/>
      <c r="AN366" s="28">
        <v>0</v>
      </c>
      <c r="AO366" s="28">
        <v>0</v>
      </c>
      <c r="AP366" s="28">
        <v>0</v>
      </c>
      <c r="AQ366" s="87"/>
      <c r="AR366" s="28">
        <v>0</v>
      </c>
      <c r="AS366" s="28">
        <v>0</v>
      </c>
    </row>
    <row r="367" ht="9" customHeight="1" hidden="1">
      <c r="A367" t="s" s="103">
        <v>1304</v>
      </c>
      <c r="B367" t="s" s="10">
        <v>382</v>
      </c>
      <c r="C367" t="s" s="103">
        <v>712</v>
      </c>
      <c r="D367" t="s" s="66">
        <v>713</v>
      </c>
      <c r="E367" s="271">
        <v>1198</v>
      </c>
      <c r="F367" t="s" s="101">
        <v>714</v>
      </c>
      <c r="G367" s="203"/>
      <c r="H367" s="204">
        <f>SUM(J367,N367)</f>
        <v>500</v>
      </c>
      <c r="I367" s="205">
        <f>SUM(Q367,S367,U367,W367,Y367,AA367,AC367,AE367,AG367,AI367,AK367,AM367,AO367,AQ367,AS367)</f>
        <v>308</v>
      </c>
      <c r="J367" s="35">
        <f>SUM(P367,R367,T367,V367,X367,Z367,AB367,AD367,AF367,AH367,AJ367,AL367,AN367,AP367,AR367)</f>
        <v>500</v>
      </c>
      <c r="K367" s="36"/>
      <c r="L367" s="196"/>
      <c r="M367" s="196"/>
      <c r="N367" s="196"/>
      <c r="O367" s="197"/>
      <c r="P367" s="27">
        <v>300</v>
      </c>
      <c r="Q367" s="27">
        <v>308</v>
      </c>
      <c r="R367" s="38">
        <v>0</v>
      </c>
      <c r="S367" s="38">
        <v>0</v>
      </c>
      <c r="T367" s="38">
        <v>100</v>
      </c>
      <c r="U367" s="38">
        <v>0</v>
      </c>
      <c r="V367" s="38">
        <v>100</v>
      </c>
      <c r="W367" s="38">
        <v>0</v>
      </c>
      <c r="X367" s="38">
        <v>0</v>
      </c>
      <c r="Y367" s="38">
        <v>0</v>
      </c>
      <c r="Z367" s="40">
        <v>0</v>
      </c>
      <c r="AA367" s="40">
        <v>0</v>
      </c>
      <c r="AB367" s="40">
        <v>0</v>
      </c>
      <c r="AC367" s="40">
        <v>0</v>
      </c>
      <c r="AD367" s="40">
        <v>0</v>
      </c>
      <c r="AE367" s="40">
        <v>0</v>
      </c>
      <c r="AF367" s="198">
        <v>0</v>
      </c>
      <c r="AG367" s="206">
        <v>0</v>
      </c>
      <c r="AH367" s="38">
        <v>0</v>
      </c>
      <c r="AI367" s="38">
        <v>0</v>
      </c>
      <c r="AJ367" s="38">
        <v>0</v>
      </c>
      <c r="AK367" s="38">
        <v>0</v>
      </c>
      <c r="AL367" s="202"/>
      <c r="AM367" s="197"/>
      <c r="AN367" s="38">
        <v>0</v>
      </c>
      <c r="AO367" s="38">
        <v>0</v>
      </c>
      <c r="AP367" s="38">
        <v>0</v>
      </c>
      <c r="AQ367" s="80"/>
      <c r="AR367" s="38">
        <v>0</v>
      </c>
      <c r="AS367" s="38">
        <v>0</v>
      </c>
    </row>
    <row r="368" ht="78" customHeight="1" hidden="1">
      <c r="A368" t="s" s="59">
        <v>1305</v>
      </c>
      <c r="B368" t="s" s="21">
        <v>383</v>
      </c>
      <c r="C368" t="s" s="59">
        <v>712</v>
      </c>
      <c r="D368" t="s" s="190">
        <v>713</v>
      </c>
      <c r="E368" t="s" s="216">
        <v>1306</v>
      </c>
      <c r="F368" t="s" s="192">
        <v>714</v>
      </c>
      <c r="G368" s="193"/>
      <c r="H368" s="194">
        <f>SUM(J368,N368)</f>
        <v>1500</v>
      </c>
      <c r="I368" s="195">
        <f>SUM(Q368,S368,U368,W368,Y368,AA368,AC368,AE368,AG368,AI368,AK368,AM368,AO368,AQ368,AS368)</f>
        <v>280</v>
      </c>
      <c r="J368" s="23">
        <f>SUM(P368,R368,T368,V368,X368,Z368,AB368,AD368,AF368,AH368,AJ368,AL368,AN368,AP368,AR368)</f>
        <v>1500</v>
      </c>
      <c r="K368" s="36"/>
      <c r="L368" s="196"/>
      <c r="M368" s="196"/>
      <c r="N368" s="196"/>
      <c r="O368" s="197"/>
      <c r="P368" s="27">
        <v>1000</v>
      </c>
      <c r="Q368" s="27">
        <v>280</v>
      </c>
      <c r="R368" s="28">
        <v>0</v>
      </c>
      <c r="S368" s="28">
        <v>0</v>
      </c>
      <c r="T368" s="28">
        <v>100</v>
      </c>
      <c r="U368" s="28">
        <v>0</v>
      </c>
      <c r="V368" s="28">
        <v>400</v>
      </c>
      <c r="W368" s="28">
        <v>0</v>
      </c>
      <c r="X368" s="28">
        <v>0</v>
      </c>
      <c r="Y368" s="28">
        <v>0</v>
      </c>
      <c r="Z368" s="30">
        <v>0</v>
      </c>
      <c r="AA368" s="30">
        <v>0</v>
      </c>
      <c r="AB368" s="30">
        <v>0</v>
      </c>
      <c r="AC368" s="30">
        <v>0</v>
      </c>
      <c r="AD368" s="30">
        <v>0</v>
      </c>
      <c r="AE368" s="30">
        <v>0</v>
      </c>
      <c r="AF368" s="198">
        <v>0</v>
      </c>
      <c r="AG368" s="206">
        <v>0</v>
      </c>
      <c r="AH368" s="28">
        <v>0</v>
      </c>
      <c r="AI368" s="28">
        <v>0</v>
      </c>
      <c r="AJ368" s="28">
        <v>0</v>
      </c>
      <c r="AK368" s="28">
        <v>0</v>
      </c>
      <c r="AL368" s="202"/>
      <c r="AM368" s="197"/>
      <c r="AN368" s="28">
        <v>0</v>
      </c>
      <c r="AO368" s="28">
        <v>0</v>
      </c>
      <c r="AP368" s="28">
        <v>0</v>
      </c>
      <c r="AQ368" s="87"/>
      <c r="AR368" s="28">
        <v>0</v>
      </c>
      <c r="AS368" s="28">
        <v>0</v>
      </c>
    </row>
    <row r="369" ht="19.5" customHeight="1" hidden="1">
      <c r="A369" t="s" s="59">
        <v>1307</v>
      </c>
      <c r="B369" t="s" s="21">
        <v>384</v>
      </c>
      <c r="C369" t="s" s="59">
        <v>712</v>
      </c>
      <c r="D369" t="s" s="190">
        <v>713</v>
      </c>
      <c r="E369" s="191"/>
      <c r="F369" t="s" s="192">
        <v>714</v>
      </c>
      <c r="G369" s="193"/>
      <c r="H369" s="194">
        <f>SUM(J369,N369)</f>
        <v>1500</v>
      </c>
      <c r="I369" s="195">
        <f>SUM(Q369,S369,U369,W369,Y369,AA369,AC369,AE369,AG369,AI369,AK369,AM369,AO369,AQ369,AS369)</f>
        <v>480</v>
      </c>
      <c r="J369" s="23">
        <f>SUM(P369,R369,T369,V369,X369,Z369,AB369,AD369,AF369,AH369,AJ369,AL369,AN369,AP369,AR369)</f>
        <v>1500</v>
      </c>
      <c r="K369" s="36"/>
      <c r="L369" s="196"/>
      <c r="M369" s="196"/>
      <c r="N369" s="196"/>
      <c r="O369" s="197"/>
      <c r="P369" s="27">
        <v>1000</v>
      </c>
      <c r="Q369" s="27">
        <v>480</v>
      </c>
      <c r="R369" s="28">
        <v>0</v>
      </c>
      <c r="S369" s="28">
        <v>0</v>
      </c>
      <c r="T369" s="28">
        <v>100</v>
      </c>
      <c r="U369" s="28">
        <v>0</v>
      </c>
      <c r="V369" s="28">
        <v>400</v>
      </c>
      <c r="W369" s="28">
        <v>0</v>
      </c>
      <c r="X369" s="28">
        <v>0</v>
      </c>
      <c r="Y369" s="28">
        <v>0</v>
      </c>
      <c r="Z369" s="30">
        <v>0</v>
      </c>
      <c r="AA369" s="30">
        <v>0</v>
      </c>
      <c r="AB369" s="30">
        <v>0</v>
      </c>
      <c r="AC369" s="30">
        <v>0</v>
      </c>
      <c r="AD369" s="30">
        <v>0</v>
      </c>
      <c r="AE369" s="30">
        <v>0</v>
      </c>
      <c r="AF369" s="198">
        <v>0</v>
      </c>
      <c r="AG369" s="206">
        <v>0</v>
      </c>
      <c r="AH369" s="28">
        <v>0</v>
      </c>
      <c r="AI369" s="28">
        <v>0</v>
      </c>
      <c r="AJ369" s="28">
        <v>0</v>
      </c>
      <c r="AK369" s="28">
        <v>0</v>
      </c>
      <c r="AL369" s="202"/>
      <c r="AM369" s="197"/>
      <c r="AN369" s="28">
        <v>0</v>
      </c>
      <c r="AO369" s="28">
        <v>0</v>
      </c>
      <c r="AP369" s="28">
        <v>0</v>
      </c>
      <c r="AQ369" s="87"/>
      <c r="AR369" s="28">
        <v>0</v>
      </c>
      <c r="AS369" s="28">
        <v>0</v>
      </c>
    </row>
    <row r="370" ht="63" customHeight="1" hidden="1">
      <c r="A370" t="s" s="103">
        <v>1308</v>
      </c>
      <c r="B370" t="s" s="10">
        <v>385</v>
      </c>
      <c r="C370" t="s" s="103">
        <v>1240</v>
      </c>
      <c r="D370" t="s" s="66">
        <v>717</v>
      </c>
      <c r="E370" t="s" s="219">
        <v>1309</v>
      </c>
      <c r="F370" t="s" s="101">
        <v>714</v>
      </c>
      <c r="G370" s="203"/>
      <c r="H370" s="204">
        <f>SUM(J370,N370)</f>
        <v>30700</v>
      </c>
      <c r="I370" s="205">
        <f>SUM(Q370,S370,U370,W370,Y370,AA370,AC370,AE370,AG370,AI370,AK370,AM370,AO370,AQ370,AS370)</f>
        <v>22590</v>
      </c>
      <c r="J370" s="35">
        <f>SUM(P370,R370,T370,V370,X370,Z370,AB370,AD370,AF370,AH370,AJ370,AL370,AN370,AP370,AR370)</f>
        <v>30400</v>
      </c>
      <c r="K370" s="36"/>
      <c r="L370" s="196"/>
      <c r="M370" s="196"/>
      <c r="N370" s="199">
        <v>300</v>
      </c>
      <c r="O370" s="197"/>
      <c r="P370" s="27">
        <v>20000</v>
      </c>
      <c r="Q370" s="27">
        <v>22590</v>
      </c>
      <c r="R370" s="38">
        <v>5000</v>
      </c>
      <c r="S370" s="38">
        <v>0</v>
      </c>
      <c r="T370" s="38">
        <v>2400</v>
      </c>
      <c r="U370" s="38">
        <v>0</v>
      </c>
      <c r="V370" s="38">
        <v>2000</v>
      </c>
      <c r="W370" s="38">
        <v>0</v>
      </c>
      <c r="X370" s="38">
        <v>1000</v>
      </c>
      <c r="Y370" s="38">
        <v>0</v>
      </c>
      <c r="Z370" s="40">
        <v>0</v>
      </c>
      <c r="AA370" s="40">
        <v>0</v>
      </c>
      <c r="AB370" s="40">
        <v>0</v>
      </c>
      <c r="AC370" s="40">
        <v>0</v>
      </c>
      <c r="AD370" s="40">
        <v>0</v>
      </c>
      <c r="AE370" s="40">
        <v>0</v>
      </c>
      <c r="AF370" s="198">
        <v>0</v>
      </c>
      <c r="AG370" s="206">
        <v>0</v>
      </c>
      <c r="AH370" s="38">
        <v>0</v>
      </c>
      <c r="AI370" s="38">
        <v>0</v>
      </c>
      <c r="AJ370" s="38">
        <v>0</v>
      </c>
      <c r="AK370" s="38">
        <v>0</v>
      </c>
      <c r="AL370" s="202"/>
      <c r="AM370" s="197"/>
      <c r="AN370" s="38">
        <v>0</v>
      </c>
      <c r="AO370" s="38">
        <v>0</v>
      </c>
      <c r="AP370" s="38">
        <v>0</v>
      </c>
      <c r="AQ370" s="80"/>
      <c r="AR370" s="38">
        <v>0</v>
      </c>
      <c r="AS370" s="38">
        <v>0</v>
      </c>
    </row>
    <row r="371" ht="19.5" customHeight="1" hidden="1">
      <c r="A371" t="s" s="88">
        <v>1310</v>
      </c>
      <c r="B371" t="s" s="67">
        <v>386</v>
      </c>
      <c r="C371" s="228"/>
      <c r="D371" s="228"/>
      <c r="E371" s="189"/>
      <c r="F371" s="182">
        <v>0</v>
      </c>
      <c r="G371" s="183"/>
      <c r="H371" s="42">
        <f>SUM(J371,N371)</f>
        <v>0</v>
      </c>
      <c r="I371" s="207">
        <f>SUM(Q371,S371,U371,W371,Y371,AA371,AC371,AE371,AG371,AI371,AK371,AM371,AO371,AQ371,AS371)</f>
        <v>0</v>
      </c>
      <c r="J371" s="43">
        <f>SUM(P371,R371,T371,V371,X371,Z371,AB371,AD371,AF371,AH371,AJ371,AL371,AN371,AP371,AR371)</f>
        <v>0</v>
      </c>
      <c r="K371" s="44"/>
      <c r="L371" s="6"/>
      <c r="M371" s="6"/>
      <c r="N371" s="14"/>
      <c r="O371" s="122"/>
      <c r="P371" s="46"/>
      <c r="Q371" s="46"/>
      <c r="R371" s="47"/>
      <c r="S371" s="47"/>
      <c r="T371" s="47"/>
      <c r="U371" s="47"/>
      <c r="V371" s="47"/>
      <c r="W371" s="47"/>
      <c r="X371" s="47"/>
      <c r="Y371" s="47"/>
      <c r="Z371" s="48">
        <v>0</v>
      </c>
      <c r="AA371" s="48">
        <v>0</v>
      </c>
      <c r="AB371" s="49"/>
      <c r="AC371" s="49"/>
      <c r="AD371" s="50"/>
      <c r="AE371" s="50"/>
      <c r="AF371" s="14"/>
      <c r="AG371" s="122"/>
      <c r="AH371" s="51">
        <v>0</v>
      </c>
      <c r="AI371" s="51">
        <v>0</v>
      </c>
      <c r="AJ371" s="47"/>
      <c r="AK371" s="47"/>
      <c r="AL371" s="14"/>
      <c r="AM371" s="122"/>
      <c r="AN371" s="47"/>
      <c r="AO371" s="47"/>
      <c r="AP371" s="47"/>
      <c r="AQ371" s="47"/>
      <c r="AR371" s="51">
        <v>0</v>
      </c>
      <c r="AS371" s="51">
        <v>0</v>
      </c>
    </row>
    <row r="372" ht="346.5" customHeight="1" hidden="1">
      <c r="A372" t="s" s="130">
        <v>1311</v>
      </c>
      <c r="B372" t="s" s="111">
        <v>387</v>
      </c>
      <c r="C372" t="s" s="130">
        <v>712</v>
      </c>
      <c r="D372" t="s" s="209">
        <v>713</v>
      </c>
      <c r="E372" t="s" s="236">
        <v>1312</v>
      </c>
      <c r="F372" t="s" s="210">
        <v>714</v>
      </c>
      <c r="G372" s="247"/>
      <c r="H372" s="286">
        <f>SUM(J372,N372)</f>
        <v>11000</v>
      </c>
      <c r="I372" s="287">
        <f>SUM(Q372,S372,U372,W372,Y372,AA372,AC372,AE372,AG372,AI372,AK372,AM372,AO372,AQ372,AS372)</f>
        <v>0</v>
      </c>
      <c r="J372" s="113">
        <f>SUM(P372,R372,T372,V372,X372,Z372,AB372,AD372,AF372,AH372,AJ372,AL372,AN372,AP372,AR372)</f>
        <v>11000</v>
      </c>
      <c r="K372" s="36"/>
      <c r="L372" s="196"/>
      <c r="M372" s="196"/>
      <c r="N372" s="196"/>
      <c r="O372" s="197"/>
      <c r="P372" s="27">
        <v>8000</v>
      </c>
      <c r="Q372" s="46"/>
      <c r="R372" s="51">
        <v>0</v>
      </c>
      <c r="S372" s="51">
        <v>0</v>
      </c>
      <c r="T372" s="51">
        <v>3000</v>
      </c>
      <c r="U372" s="51">
        <v>0</v>
      </c>
      <c r="V372" s="51">
        <v>0</v>
      </c>
      <c r="W372" s="51">
        <v>0</v>
      </c>
      <c r="X372" s="51">
        <v>0</v>
      </c>
      <c r="Y372" s="51">
        <v>0</v>
      </c>
      <c r="Z372" s="48">
        <v>0</v>
      </c>
      <c r="AA372" s="48">
        <v>0</v>
      </c>
      <c r="AB372" s="48">
        <v>0</v>
      </c>
      <c r="AC372" s="48">
        <v>0</v>
      </c>
      <c r="AD372" s="48">
        <v>0</v>
      </c>
      <c r="AE372" s="48">
        <v>0</v>
      </c>
      <c r="AF372" s="198">
        <v>0</v>
      </c>
      <c r="AG372" s="206">
        <v>0</v>
      </c>
      <c r="AH372" s="51">
        <v>0</v>
      </c>
      <c r="AI372" s="51">
        <v>0</v>
      </c>
      <c r="AJ372" s="51">
        <v>0</v>
      </c>
      <c r="AK372" s="51">
        <v>0</v>
      </c>
      <c r="AL372" s="202"/>
      <c r="AM372" s="197"/>
      <c r="AN372" s="51">
        <v>0</v>
      </c>
      <c r="AO372" s="51">
        <v>0</v>
      </c>
      <c r="AP372" s="51">
        <v>0</v>
      </c>
      <c r="AQ372" s="47"/>
      <c r="AR372" s="51">
        <v>0</v>
      </c>
      <c r="AS372" s="51">
        <v>0</v>
      </c>
    </row>
    <row r="373" ht="409.5" customHeight="1" hidden="1">
      <c r="A373" t="s" s="103">
        <v>1313</v>
      </c>
      <c r="B373" t="s" s="10">
        <v>388</v>
      </c>
      <c r="C373" t="s" s="103">
        <v>712</v>
      </c>
      <c r="D373" t="s" s="66">
        <v>713</v>
      </c>
      <c r="E373" t="s" s="124">
        <v>1314</v>
      </c>
      <c r="F373" t="s" s="101">
        <v>714</v>
      </c>
      <c r="G373" s="203"/>
      <c r="H373" s="204">
        <f>SUM(J373,N373)</f>
        <v>83229</v>
      </c>
      <c r="I373" s="205">
        <f>SUM(Q373,S373,U373,W373,Y373,AA373,AC373,AE373,AG373,AI373,AK373,AM373,AO373,AQ373,AS373)</f>
        <v>61663</v>
      </c>
      <c r="J373" s="35">
        <f>SUM(P373,R373,T373,V373,X373,Z373,AB373,AD373,AF373,AH373,AJ373,AL373,AN373,AP373,AR373)</f>
        <v>82929</v>
      </c>
      <c r="K373" s="36"/>
      <c r="L373" s="196"/>
      <c r="M373" s="196"/>
      <c r="N373" s="199">
        <v>300</v>
      </c>
      <c r="O373" s="197"/>
      <c r="P373" s="27">
        <v>40000</v>
      </c>
      <c r="Q373" s="27">
        <v>30192</v>
      </c>
      <c r="R373" s="38">
        <v>0</v>
      </c>
      <c r="S373" s="38">
        <v>0</v>
      </c>
      <c r="T373" s="38">
        <v>15000</v>
      </c>
      <c r="U373" s="38">
        <v>12960</v>
      </c>
      <c r="V373" s="38">
        <v>20000</v>
      </c>
      <c r="W373" s="38">
        <v>13415</v>
      </c>
      <c r="X373" s="38">
        <v>2300</v>
      </c>
      <c r="Y373" s="38">
        <v>2072</v>
      </c>
      <c r="Z373" s="40">
        <v>0</v>
      </c>
      <c r="AA373" s="40">
        <v>0</v>
      </c>
      <c r="AB373" s="40">
        <v>0</v>
      </c>
      <c r="AC373" s="40">
        <v>0</v>
      </c>
      <c r="AD373" s="40">
        <v>0</v>
      </c>
      <c r="AE373" s="40">
        <v>0</v>
      </c>
      <c r="AF373" s="198">
        <v>2000</v>
      </c>
      <c r="AG373" s="206">
        <v>0</v>
      </c>
      <c r="AH373" s="38">
        <v>0</v>
      </c>
      <c r="AI373" s="38">
        <v>0</v>
      </c>
      <c r="AJ373" s="38">
        <v>3629</v>
      </c>
      <c r="AK373" s="38">
        <v>3024</v>
      </c>
      <c r="AL373" s="202"/>
      <c r="AM373" s="197"/>
      <c r="AN373" s="38">
        <v>0</v>
      </c>
      <c r="AO373" s="38">
        <v>0</v>
      </c>
      <c r="AP373" s="38">
        <v>0</v>
      </c>
      <c r="AQ373" s="80"/>
      <c r="AR373" s="38">
        <v>0</v>
      </c>
      <c r="AS373" s="38">
        <v>0</v>
      </c>
    </row>
    <row r="374" ht="19.5" customHeight="1" hidden="1">
      <c r="A374" t="s" s="88">
        <v>1315</v>
      </c>
      <c r="B374" t="s" s="67">
        <v>389</v>
      </c>
      <c r="C374" s="228"/>
      <c r="D374" s="228"/>
      <c r="E374" s="189"/>
      <c r="F374" s="182">
        <v>0</v>
      </c>
      <c r="G374" s="183"/>
      <c r="H374" s="42">
        <f>SUM(J374,N374)</f>
        <v>0</v>
      </c>
      <c r="I374" s="207">
        <f>SUM(Q374,S374,U374,W374,Y374,AA374,AC374,AE374,AG374,AI374,AK374,AM374,AO374,AQ374,AS374)</f>
        <v>0</v>
      </c>
      <c r="J374" s="43">
        <f>SUM(P374,R374,T374,V374,X374,Z374,AB374,AD374,AF374,AH374,AJ374,AL374,AN374,AP374,AR374)</f>
        <v>0</v>
      </c>
      <c r="K374" s="44"/>
      <c r="L374" s="6"/>
      <c r="M374" s="6"/>
      <c r="N374" s="14"/>
      <c r="O374" s="122"/>
      <c r="P374" s="46"/>
      <c r="Q374" s="46"/>
      <c r="R374" s="47"/>
      <c r="S374" s="47"/>
      <c r="T374" s="47"/>
      <c r="U374" s="47"/>
      <c r="V374" s="47"/>
      <c r="W374" s="47"/>
      <c r="X374" s="47"/>
      <c r="Y374" s="47"/>
      <c r="Z374" s="48">
        <v>0</v>
      </c>
      <c r="AA374" s="48">
        <v>0</v>
      </c>
      <c r="AB374" s="49"/>
      <c r="AC374" s="49"/>
      <c r="AD374" s="50"/>
      <c r="AE374" s="50"/>
      <c r="AF374" s="14"/>
      <c r="AG374" s="122"/>
      <c r="AH374" s="51">
        <v>0</v>
      </c>
      <c r="AI374" s="51">
        <v>0</v>
      </c>
      <c r="AJ374" s="47"/>
      <c r="AK374" s="47"/>
      <c r="AL374" s="14"/>
      <c r="AM374" s="122"/>
      <c r="AN374" s="47"/>
      <c r="AO374" s="47"/>
      <c r="AP374" s="47"/>
      <c r="AQ374" s="47"/>
      <c r="AR374" s="51">
        <v>0</v>
      </c>
      <c r="AS374" s="51">
        <v>0</v>
      </c>
    </row>
    <row r="375" ht="47.25" customHeight="1" hidden="1">
      <c r="A375" t="s" s="70">
        <v>1316</v>
      </c>
      <c r="B375" t="s" s="69">
        <v>390</v>
      </c>
      <c r="C375" t="s" s="130">
        <v>1317</v>
      </c>
      <c r="D375" t="s" s="209">
        <v>717</v>
      </c>
      <c r="E375" t="s" s="132">
        <v>1318</v>
      </c>
      <c r="F375" t="s" s="210">
        <v>714</v>
      </c>
      <c r="G375" s="211"/>
      <c r="H375" s="42">
        <f>SUM(J375,N375)</f>
        <v>360</v>
      </c>
      <c r="I375" s="207">
        <f>SUM(Q375,S375,U375,W375,Y375,AA375,AC375,AE375,AG375,AI375,AK375,AM375,AO375,AQ375,AS375)</f>
        <v>311</v>
      </c>
      <c r="J375" s="43">
        <f>SUM(P375,R375,T375,V375,X375,Z375,AB375,AD375,AF375,AH375,AJ375,AL375,AN375,AP375,AR375)</f>
        <v>360</v>
      </c>
      <c r="K375" s="44"/>
      <c r="L375" s="6"/>
      <c r="M375" s="6"/>
      <c r="N375" s="14"/>
      <c r="O375" s="122"/>
      <c r="P375" s="27">
        <v>350</v>
      </c>
      <c r="Q375" s="27">
        <v>306</v>
      </c>
      <c r="R375" s="51">
        <v>0</v>
      </c>
      <c r="S375" s="51">
        <v>0</v>
      </c>
      <c r="T375" s="51">
        <v>0</v>
      </c>
      <c r="U375" s="51">
        <v>0</v>
      </c>
      <c r="V375" s="51">
        <v>10</v>
      </c>
      <c r="W375" s="51">
        <v>5</v>
      </c>
      <c r="X375" s="51">
        <v>0</v>
      </c>
      <c r="Y375" s="51">
        <v>0</v>
      </c>
      <c r="Z375" s="48">
        <v>0</v>
      </c>
      <c r="AA375" s="48">
        <v>0</v>
      </c>
      <c r="AB375" s="48">
        <v>0</v>
      </c>
      <c r="AC375" s="48">
        <v>0</v>
      </c>
      <c r="AD375" s="55">
        <v>0</v>
      </c>
      <c r="AE375" s="213">
        <v>0</v>
      </c>
      <c r="AF375" s="212">
        <v>0</v>
      </c>
      <c r="AG375" s="121">
        <v>0</v>
      </c>
      <c r="AH375" s="51">
        <v>0</v>
      </c>
      <c r="AI375" s="51">
        <v>0</v>
      </c>
      <c r="AJ375" s="51">
        <v>0</v>
      </c>
      <c r="AK375" s="51">
        <v>0</v>
      </c>
      <c r="AL375" s="14"/>
      <c r="AM375" s="122"/>
      <c r="AN375" s="51">
        <v>0</v>
      </c>
      <c r="AO375" s="51">
        <v>0</v>
      </c>
      <c r="AP375" s="51">
        <v>0</v>
      </c>
      <c r="AQ375" s="47"/>
      <c r="AR375" s="51">
        <v>0</v>
      </c>
      <c r="AS375" s="51">
        <v>0</v>
      </c>
    </row>
    <row r="376" ht="19.5" customHeight="1" hidden="1">
      <c r="A376" t="s" s="88">
        <v>1319</v>
      </c>
      <c r="B376" t="s" s="67">
        <v>391</v>
      </c>
      <c r="C376" s="228"/>
      <c r="D376" s="228"/>
      <c r="E376" s="189"/>
      <c r="F376" s="182">
        <v>0</v>
      </c>
      <c r="G376" s="183"/>
      <c r="H376" s="42">
        <f>SUM(J376,N376)</f>
        <v>0</v>
      </c>
      <c r="I376" s="207">
        <f>SUM(Q376,S376,U376,W376,Y376,AA376,AC376,AE376,AG376,AI376,AK376,AM376,AO376,AQ376,AS376)</f>
        <v>0</v>
      </c>
      <c r="J376" s="43">
        <f>SUM(P376,R376,T376,V376,X376,Z376,AB376,AD376,AF376,AH376,AJ376,AL376,AN376,AP376,AR376)</f>
        <v>0</v>
      </c>
      <c r="K376" s="44"/>
      <c r="L376" s="6"/>
      <c r="M376" s="6"/>
      <c r="N376" s="14"/>
      <c r="O376" s="122"/>
      <c r="P376" s="46"/>
      <c r="Q376" s="46"/>
      <c r="R376" s="47"/>
      <c r="S376" s="47"/>
      <c r="T376" s="47"/>
      <c r="U376" s="47"/>
      <c r="V376" s="47"/>
      <c r="W376" s="47"/>
      <c r="X376" s="47"/>
      <c r="Y376" s="47"/>
      <c r="Z376" s="48">
        <v>0</v>
      </c>
      <c r="AA376" s="48">
        <v>0</v>
      </c>
      <c r="AB376" s="49"/>
      <c r="AC376" s="49"/>
      <c r="AD376" s="50"/>
      <c r="AE376" s="50"/>
      <c r="AF376" s="14"/>
      <c r="AG376" s="122"/>
      <c r="AH376" s="51">
        <v>0</v>
      </c>
      <c r="AI376" s="51">
        <v>0</v>
      </c>
      <c r="AJ376" s="47"/>
      <c r="AK376" s="47"/>
      <c r="AL376" s="14"/>
      <c r="AM376" s="122"/>
      <c r="AN376" s="47"/>
      <c r="AO376" s="47"/>
      <c r="AP376" s="47"/>
      <c r="AQ376" s="47"/>
      <c r="AR376" s="51">
        <v>0</v>
      </c>
      <c r="AS376" s="51">
        <v>0</v>
      </c>
    </row>
    <row r="377" ht="31.5" customHeight="1" hidden="1">
      <c r="A377" t="s" s="59">
        <v>1320</v>
      </c>
      <c r="B377" t="s" s="21">
        <v>392</v>
      </c>
      <c r="C377" t="s" s="59">
        <v>1302</v>
      </c>
      <c r="D377" t="s" s="190">
        <v>717</v>
      </c>
      <c r="E377" t="s" s="216">
        <v>1321</v>
      </c>
      <c r="F377" t="s" s="192">
        <v>714</v>
      </c>
      <c r="G377" s="193"/>
      <c r="H377" s="194">
        <f>SUM(J377,N377)</f>
        <v>6010</v>
      </c>
      <c r="I377" s="195">
        <f>SUM(Q377,S377,U377,W377,Y377,AA377,AC377,AE377,AG377,AI377,AK377,AM377,AO377,AQ377,AS377)</f>
        <v>4540</v>
      </c>
      <c r="J377" s="23">
        <f>SUM(P377,R377,T377,V377,X377,Z377,AB377,AD377,AF377,AH377,AJ377,AL377,AN377,AP377,AR377)</f>
        <v>6010</v>
      </c>
      <c r="K377" s="36"/>
      <c r="L377" s="196"/>
      <c r="M377" s="196"/>
      <c r="N377" s="196"/>
      <c r="O377" s="197"/>
      <c r="P377" s="27">
        <v>3000</v>
      </c>
      <c r="Q377" s="27">
        <v>2050</v>
      </c>
      <c r="R377" s="28">
        <v>1870</v>
      </c>
      <c r="S377" s="28">
        <v>1690</v>
      </c>
      <c r="T377" s="28">
        <v>800</v>
      </c>
      <c r="U377" s="28">
        <v>545</v>
      </c>
      <c r="V377" s="28">
        <v>200</v>
      </c>
      <c r="W377" s="28">
        <v>230</v>
      </c>
      <c r="X377" s="28">
        <v>40</v>
      </c>
      <c r="Y377" s="28">
        <v>25</v>
      </c>
      <c r="Z377" s="30">
        <v>100</v>
      </c>
      <c r="AA377" s="30">
        <v>0</v>
      </c>
      <c r="AB377" s="30">
        <v>0</v>
      </c>
      <c r="AC377" s="30">
        <v>0</v>
      </c>
      <c r="AD377" s="30">
        <v>0</v>
      </c>
      <c r="AE377" s="30">
        <v>0</v>
      </c>
      <c r="AF377" s="198">
        <v>0</v>
      </c>
      <c r="AG377" s="206">
        <v>0</v>
      </c>
      <c r="AH377" s="28">
        <v>0</v>
      </c>
      <c r="AI377" s="28">
        <v>0</v>
      </c>
      <c r="AJ377" s="28">
        <v>0</v>
      </c>
      <c r="AK377" s="28">
        <v>0</v>
      </c>
      <c r="AL377" s="202"/>
      <c r="AM377" s="197"/>
      <c r="AN377" s="28">
        <v>0</v>
      </c>
      <c r="AO377" s="28">
        <v>0</v>
      </c>
      <c r="AP377" s="28">
        <v>0</v>
      </c>
      <c r="AQ377" s="87"/>
      <c r="AR377" s="28">
        <v>0</v>
      </c>
      <c r="AS377" s="28">
        <v>0</v>
      </c>
    </row>
    <row r="378" ht="19.5" customHeight="1" hidden="1">
      <c r="A378" t="s" s="59">
        <v>1322</v>
      </c>
      <c r="B378" t="s" s="21">
        <v>393</v>
      </c>
      <c r="C378" t="s" s="59">
        <v>712</v>
      </c>
      <c r="D378" t="s" s="190">
        <v>713</v>
      </c>
      <c r="E378" s="191"/>
      <c r="F378" t="s" s="192">
        <v>720</v>
      </c>
      <c r="G378" s="193"/>
      <c r="H378" s="194">
        <f>SUM(J378,N378)</f>
        <v>19800</v>
      </c>
      <c r="I378" s="195">
        <f>SUM(Q378,S378,U378,W378,Y378,AA378,AC378,AE378,AG378,AI378,AK378,AM378,AO378,AQ378,AS378)</f>
        <v>3000</v>
      </c>
      <c r="J378" s="23">
        <f>SUM(P378,R378,T378,V378,X378,Z378,AB378,AD378,AF378,AH378,AJ378,AL378,AN378,AP378,AR378)</f>
        <v>19800</v>
      </c>
      <c r="K378" s="36"/>
      <c r="L378" s="196"/>
      <c r="M378" s="196"/>
      <c r="N378" s="196"/>
      <c r="O378" s="197"/>
      <c r="P378" s="27">
        <v>100</v>
      </c>
      <c r="Q378" s="27">
        <v>0</v>
      </c>
      <c r="R378" s="28">
        <v>10000</v>
      </c>
      <c r="S378" s="28">
        <v>0</v>
      </c>
      <c r="T378" s="28">
        <v>5000</v>
      </c>
      <c r="U378" s="28">
        <v>3000</v>
      </c>
      <c r="V378" s="28">
        <v>1200</v>
      </c>
      <c r="W378" s="28">
        <v>0</v>
      </c>
      <c r="X378" s="28">
        <v>0</v>
      </c>
      <c r="Y378" s="28">
        <v>0</v>
      </c>
      <c r="Z378" s="30">
        <v>2000</v>
      </c>
      <c r="AA378" s="30">
        <v>0</v>
      </c>
      <c r="AB378" s="30">
        <v>1500</v>
      </c>
      <c r="AC378" s="30">
        <v>0</v>
      </c>
      <c r="AD378" s="30">
        <v>0</v>
      </c>
      <c r="AE378" s="30">
        <v>0</v>
      </c>
      <c r="AF378" s="198">
        <v>0</v>
      </c>
      <c r="AG378" s="206">
        <v>0</v>
      </c>
      <c r="AH378" s="28">
        <v>0</v>
      </c>
      <c r="AI378" s="28">
        <v>0</v>
      </c>
      <c r="AJ378" s="28">
        <v>0</v>
      </c>
      <c r="AK378" s="28">
        <v>0</v>
      </c>
      <c r="AL378" s="202"/>
      <c r="AM378" s="197"/>
      <c r="AN378" s="28">
        <v>0</v>
      </c>
      <c r="AO378" s="28">
        <v>0</v>
      </c>
      <c r="AP378" s="28">
        <v>0</v>
      </c>
      <c r="AQ378" s="87"/>
      <c r="AR378" s="28">
        <v>0</v>
      </c>
      <c r="AS378" s="28">
        <v>0</v>
      </c>
    </row>
    <row r="379" ht="31.5" customHeight="1" hidden="1">
      <c r="A379" t="s" s="88">
        <v>1323</v>
      </c>
      <c r="B379" t="s" s="67">
        <v>394</v>
      </c>
      <c r="C379" s="228"/>
      <c r="D379" s="228"/>
      <c r="E379" s="189"/>
      <c r="F379" s="182">
        <v>0</v>
      </c>
      <c r="G379" s="183"/>
      <c r="H379" s="42">
        <f>SUM(J379,N379)</f>
        <v>0</v>
      </c>
      <c r="I379" s="207">
        <f>SUM(Q379,S379,U379,W379,Y379,AA379,AC379,AE379,AG379,AI379,AK379,AM379,AO379,AQ379,AS379)</f>
        <v>0</v>
      </c>
      <c r="J379" s="43">
        <f>SUM(P379,R379,T379,V379,X379,Z379,AB379,AD379,AF379,AH379,AJ379,AL379,AN379,AP379,AR379)</f>
        <v>0</v>
      </c>
      <c r="K379" s="44"/>
      <c r="L379" s="6"/>
      <c r="M379" s="6"/>
      <c r="N379" s="14"/>
      <c r="O379" s="122"/>
      <c r="P379" s="46"/>
      <c r="Q379" s="46"/>
      <c r="R379" s="47"/>
      <c r="S379" s="47"/>
      <c r="T379" s="47"/>
      <c r="U379" s="47"/>
      <c r="V379" s="47"/>
      <c r="W379" s="47"/>
      <c r="X379" s="47"/>
      <c r="Y379" s="47"/>
      <c r="Z379" s="48">
        <v>0</v>
      </c>
      <c r="AA379" s="48">
        <v>0</v>
      </c>
      <c r="AB379" s="49"/>
      <c r="AC379" s="49"/>
      <c r="AD379" s="50"/>
      <c r="AE379" s="50"/>
      <c r="AF379" s="14"/>
      <c r="AG379" s="122"/>
      <c r="AH379" s="51">
        <v>0</v>
      </c>
      <c r="AI379" s="51">
        <v>0</v>
      </c>
      <c r="AJ379" s="47"/>
      <c r="AK379" s="47"/>
      <c r="AL379" s="14"/>
      <c r="AM379" s="122"/>
      <c r="AN379" s="47"/>
      <c r="AO379" s="47"/>
      <c r="AP379" s="47"/>
      <c r="AQ379" s="47"/>
      <c r="AR379" s="51">
        <v>0</v>
      </c>
      <c r="AS379" s="51">
        <v>0</v>
      </c>
    </row>
    <row r="380" ht="214.5" customHeight="1" hidden="1">
      <c r="A380" t="s" s="70">
        <v>1324</v>
      </c>
      <c r="B380" t="s" s="69">
        <v>395</v>
      </c>
      <c r="C380" t="s" s="130">
        <v>800</v>
      </c>
      <c r="D380" t="s" s="209">
        <v>717</v>
      </c>
      <c r="E380" t="s" s="217">
        <v>1325</v>
      </c>
      <c r="F380" t="s" s="210">
        <v>714</v>
      </c>
      <c r="G380" s="211"/>
      <c r="H380" s="42">
        <f>SUM(J380,N380)</f>
        <v>2000</v>
      </c>
      <c r="I380" s="207">
        <f>SUM(Q380,S380,U380,W380,Y380,AA380,AC380,AE380,AG380,AI380,AK380,AM380,AO380,AQ380,AS380)</f>
        <v>1472</v>
      </c>
      <c r="J380" s="43">
        <f>SUM(P380,R380,T380,V380,X380,Z380,AB380,AD380,AF380,AH380,AJ380,AL380,AN380,AP380,AR380)</f>
        <v>2000</v>
      </c>
      <c r="K380" s="44"/>
      <c r="L380" s="6"/>
      <c r="M380" s="6"/>
      <c r="N380" s="14"/>
      <c r="O380" s="122"/>
      <c r="P380" s="27">
        <v>400</v>
      </c>
      <c r="Q380" s="27">
        <v>357</v>
      </c>
      <c r="R380" s="51">
        <v>1200</v>
      </c>
      <c r="S380" s="51">
        <v>825</v>
      </c>
      <c r="T380" s="51">
        <v>400</v>
      </c>
      <c r="U380" s="51">
        <v>290</v>
      </c>
      <c r="V380" s="51">
        <v>0</v>
      </c>
      <c r="W380" s="51">
        <v>0</v>
      </c>
      <c r="X380" s="51">
        <v>0</v>
      </c>
      <c r="Y380" s="51">
        <v>0</v>
      </c>
      <c r="Z380" s="48">
        <v>0</v>
      </c>
      <c r="AA380" s="48">
        <v>0</v>
      </c>
      <c r="AB380" s="48">
        <v>0</v>
      </c>
      <c r="AC380" s="48">
        <v>0</v>
      </c>
      <c r="AD380" s="55">
        <v>0</v>
      </c>
      <c r="AE380" s="213">
        <v>0</v>
      </c>
      <c r="AF380" s="212">
        <v>0</v>
      </c>
      <c r="AG380" s="121">
        <v>0</v>
      </c>
      <c r="AH380" s="51">
        <v>0</v>
      </c>
      <c r="AI380" s="51">
        <v>0</v>
      </c>
      <c r="AJ380" s="51">
        <v>0</v>
      </c>
      <c r="AK380" s="51">
        <v>0</v>
      </c>
      <c r="AL380" s="14"/>
      <c r="AM380" s="122"/>
      <c r="AN380" s="51">
        <v>0</v>
      </c>
      <c r="AO380" s="51">
        <v>0</v>
      </c>
      <c r="AP380" s="51">
        <v>0</v>
      </c>
      <c r="AQ380" s="47"/>
      <c r="AR380" s="51">
        <v>0</v>
      </c>
      <c r="AS380" s="51">
        <v>0</v>
      </c>
    </row>
    <row r="381" ht="390" customHeight="1" hidden="1">
      <c r="A381" t="s" s="272">
        <v>1326</v>
      </c>
      <c r="B381" t="s" s="114">
        <v>396</v>
      </c>
      <c r="C381" t="s" s="59">
        <v>800</v>
      </c>
      <c r="D381" t="s" s="190">
        <v>717</v>
      </c>
      <c r="E381" t="s" s="216">
        <v>1327</v>
      </c>
      <c r="F381" t="s" s="192">
        <v>714</v>
      </c>
      <c r="G381" s="193"/>
      <c r="H381" s="194">
        <f>SUM(J381,N381)</f>
        <v>1550</v>
      </c>
      <c r="I381" s="195">
        <f>SUM(Q381,S381,U381,W381,Y381,AA381,AC381,AE381,AG381,AI381,AK381,AM381,AO381,AQ381,AS381)</f>
        <v>350</v>
      </c>
      <c r="J381" s="23">
        <f>SUM(P381,R381,T381,V381,X381,Z381,AB381,AD381,AF381,AH381,AJ381,AL381,AN381,AP381,AR381)</f>
        <v>1550</v>
      </c>
      <c r="K381" s="36"/>
      <c r="L381" s="196"/>
      <c r="M381" s="196"/>
      <c r="N381" s="196"/>
      <c r="O381" s="197"/>
      <c r="P381" s="27">
        <v>50</v>
      </c>
      <c r="Q381" s="27">
        <v>0</v>
      </c>
      <c r="R381" s="28">
        <v>1500</v>
      </c>
      <c r="S381" s="28">
        <v>350</v>
      </c>
      <c r="T381" s="28">
        <v>0</v>
      </c>
      <c r="U381" s="28">
        <v>0</v>
      </c>
      <c r="V381" s="28">
        <v>0</v>
      </c>
      <c r="W381" s="28">
        <v>0</v>
      </c>
      <c r="X381" s="28">
        <v>0</v>
      </c>
      <c r="Y381" s="28">
        <v>0</v>
      </c>
      <c r="Z381" s="30">
        <v>0</v>
      </c>
      <c r="AA381" s="30">
        <v>0</v>
      </c>
      <c r="AB381" s="30">
        <v>0</v>
      </c>
      <c r="AC381" s="30">
        <v>0</v>
      </c>
      <c r="AD381" s="30">
        <v>0</v>
      </c>
      <c r="AE381" s="30">
        <v>0</v>
      </c>
      <c r="AF381" s="198">
        <v>0</v>
      </c>
      <c r="AG381" s="206">
        <v>0</v>
      </c>
      <c r="AH381" s="28">
        <v>0</v>
      </c>
      <c r="AI381" s="28">
        <v>0</v>
      </c>
      <c r="AJ381" s="28">
        <v>0</v>
      </c>
      <c r="AK381" s="28">
        <v>0</v>
      </c>
      <c r="AL381" s="202"/>
      <c r="AM381" s="197"/>
      <c r="AN381" s="28">
        <v>0</v>
      </c>
      <c r="AO381" s="28">
        <v>0</v>
      </c>
      <c r="AP381" s="28">
        <v>0</v>
      </c>
      <c r="AQ381" s="87"/>
      <c r="AR381" s="28">
        <v>0</v>
      </c>
      <c r="AS381" s="28">
        <v>0</v>
      </c>
    </row>
    <row r="382" ht="409.5" customHeight="1" hidden="1">
      <c r="A382" t="s" s="115">
        <v>1328</v>
      </c>
      <c r="B382" t="s" s="115">
        <v>397</v>
      </c>
      <c r="C382" t="s" s="103">
        <v>800</v>
      </c>
      <c r="D382" t="s" s="66">
        <v>717</v>
      </c>
      <c r="E382" t="s" s="219">
        <v>1329</v>
      </c>
      <c r="F382" t="s" s="101">
        <v>714</v>
      </c>
      <c r="G382" s="203"/>
      <c r="H382" s="204">
        <f>SUM(J382,N382)</f>
        <v>130</v>
      </c>
      <c r="I382" s="205">
        <f>SUM(Q382,S382,U382,W382,Y382,AA382,AC382,AE382,AG382,AI382,AK382,AM382,AO382,AQ382,AS382)</f>
        <v>40</v>
      </c>
      <c r="J382" s="35">
        <f>SUM(P382,R382,T382,V382,X382,Z382,AB382,AD382,AF382,AH382,AJ382,AL382,AN382,AP382,AR382)</f>
        <v>130</v>
      </c>
      <c r="K382" s="36"/>
      <c r="L382" s="196"/>
      <c r="M382" s="196"/>
      <c r="N382" s="196"/>
      <c r="O382" s="197"/>
      <c r="P382" s="27">
        <v>30</v>
      </c>
      <c r="Q382" s="27">
        <v>15</v>
      </c>
      <c r="R382" s="38">
        <v>100</v>
      </c>
      <c r="S382" s="38">
        <v>25</v>
      </c>
      <c r="T382" s="38">
        <v>0</v>
      </c>
      <c r="U382" s="38">
        <v>0</v>
      </c>
      <c r="V382" s="38">
        <v>0</v>
      </c>
      <c r="W382" s="38">
        <v>0</v>
      </c>
      <c r="X382" s="38">
        <v>0</v>
      </c>
      <c r="Y382" s="38">
        <v>0</v>
      </c>
      <c r="Z382" s="40">
        <v>0</v>
      </c>
      <c r="AA382" s="40">
        <v>0</v>
      </c>
      <c r="AB382" s="40">
        <v>0</v>
      </c>
      <c r="AC382" s="40">
        <v>0</v>
      </c>
      <c r="AD382" s="40">
        <v>0</v>
      </c>
      <c r="AE382" s="40">
        <v>0</v>
      </c>
      <c r="AF382" s="198">
        <v>0</v>
      </c>
      <c r="AG382" s="206">
        <v>0</v>
      </c>
      <c r="AH382" s="38">
        <v>0</v>
      </c>
      <c r="AI382" s="38">
        <v>0</v>
      </c>
      <c r="AJ382" s="38">
        <v>0</v>
      </c>
      <c r="AK382" s="38">
        <v>0</v>
      </c>
      <c r="AL382" s="202"/>
      <c r="AM382" s="197"/>
      <c r="AN382" s="38">
        <v>0</v>
      </c>
      <c r="AO382" s="38">
        <v>0</v>
      </c>
      <c r="AP382" s="38">
        <v>0</v>
      </c>
      <c r="AQ382" s="80"/>
      <c r="AR382" s="38">
        <v>0</v>
      </c>
      <c r="AS382" s="38">
        <v>0</v>
      </c>
    </row>
    <row r="383" ht="110.25" customHeight="1" hidden="1">
      <c r="A383" t="s" s="70">
        <v>1330</v>
      </c>
      <c r="B383" t="s" s="69">
        <v>398</v>
      </c>
      <c r="C383" t="s" s="130">
        <v>800</v>
      </c>
      <c r="D383" t="s" s="209">
        <v>717</v>
      </c>
      <c r="E383" s="182">
        <v>-976</v>
      </c>
      <c r="F383" t="s" s="210">
        <v>714</v>
      </c>
      <c r="G383" s="211"/>
      <c r="H383" s="42">
        <f>SUM(J383,N383)</f>
        <v>50</v>
      </c>
      <c r="I383" s="207">
        <f>SUM(Q383,S383,U383,W383,Y383,AA383,AC383,AE383,AG383,AI383,AK383,AM383,AO383,AQ383,AS383)</f>
        <v>21</v>
      </c>
      <c r="J383" s="43">
        <f>SUM(P383,R383,T383,V383,X383,Z383,AB383,AD383,AF383,AH383,AJ383,AL383,AN383,AP383,AR383)</f>
        <v>50</v>
      </c>
      <c r="K383" s="44"/>
      <c r="L383" s="6"/>
      <c r="M383" s="6"/>
      <c r="N383" s="14"/>
      <c r="O383" s="122"/>
      <c r="P383" s="46"/>
      <c r="Q383" s="27">
        <v>0</v>
      </c>
      <c r="R383" s="51">
        <v>50</v>
      </c>
      <c r="S383" s="51">
        <v>21</v>
      </c>
      <c r="T383" s="51">
        <v>0</v>
      </c>
      <c r="U383" s="51">
        <v>0</v>
      </c>
      <c r="V383" s="51">
        <v>0</v>
      </c>
      <c r="W383" s="51">
        <v>0</v>
      </c>
      <c r="X383" s="51">
        <v>0</v>
      </c>
      <c r="Y383" s="51">
        <v>0</v>
      </c>
      <c r="Z383" s="48">
        <v>0</v>
      </c>
      <c r="AA383" s="48">
        <v>0</v>
      </c>
      <c r="AB383" s="48">
        <v>0</v>
      </c>
      <c r="AC383" s="48">
        <v>0</v>
      </c>
      <c r="AD383" s="55">
        <v>0</v>
      </c>
      <c r="AE383" s="213">
        <v>0</v>
      </c>
      <c r="AF383" s="212">
        <v>0</v>
      </c>
      <c r="AG383" s="121">
        <v>0</v>
      </c>
      <c r="AH383" s="51">
        <v>0</v>
      </c>
      <c r="AI383" s="51">
        <v>0</v>
      </c>
      <c r="AJ383" s="51">
        <v>0</v>
      </c>
      <c r="AK383" s="51">
        <v>0</v>
      </c>
      <c r="AL383" s="14"/>
      <c r="AM383" s="122"/>
      <c r="AN383" s="51">
        <v>0</v>
      </c>
      <c r="AO383" s="51">
        <v>0</v>
      </c>
      <c r="AP383" s="51">
        <v>0</v>
      </c>
      <c r="AQ383" s="47"/>
      <c r="AR383" s="51">
        <v>0</v>
      </c>
      <c r="AS383" s="51">
        <v>0</v>
      </c>
    </row>
    <row r="384" ht="156" customHeight="1" hidden="1">
      <c r="A384" t="s" s="70">
        <v>1331</v>
      </c>
      <c r="B384" t="s" s="69">
        <v>399</v>
      </c>
      <c r="C384" t="s" s="130">
        <v>800</v>
      </c>
      <c r="D384" t="s" s="209">
        <v>717</v>
      </c>
      <c r="E384" t="s" s="217">
        <v>1332</v>
      </c>
      <c r="F384" t="s" s="210">
        <v>714</v>
      </c>
      <c r="G384" s="211"/>
      <c r="H384" s="42">
        <f>SUM(J384,N384)</f>
        <v>1000</v>
      </c>
      <c r="I384" s="207">
        <f>SUM(Q384,S384,U384,W384,Y384,AA384,AC384,AE384,AG384,AI384,AK384,AM384,AO384,AQ384,AS384)</f>
        <v>309</v>
      </c>
      <c r="J384" s="43">
        <f>SUM(P384,R384,T384,V384,X384,Z384,AB384,AD384,AF384,AH384,AJ384,AL384,AN384,AP384,AR384)</f>
        <v>1000</v>
      </c>
      <c r="K384" s="44"/>
      <c r="L384" s="6"/>
      <c r="M384" s="6"/>
      <c r="N384" s="14"/>
      <c r="O384" s="122"/>
      <c r="P384" s="46"/>
      <c r="Q384" s="27">
        <v>0</v>
      </c>
      <c r="R384" s="51">
        <v>1000</v>
      </c>
      <c r="S384" s="51">
        <v>309</v>
      </c>
      <c r="T384" s="51">
        <v>0</v>
      </c>
      <c r="U384" s="51">
        <v>0</v>
      </c>
      <c r="V384" s="51">
        <v>0</v>
      </c>
      <c r="W384" s="51">
        <v>0</v>
      </c>
      <c r="X384" s="51">
        <v>0</v>
      </c>
      <c r="Y384" s="51">
        <v>0</v>
      </c>
      <c r="Z384" s="48">
        <v>0</v>
      </c>
      <c r="AA384" s="48">
        <v>0</v>
      </c>
      <c r="AB384" s="48">
        <v>0</v>
      </c>
      <c r="AC384" s="48">
        <v>0</v>
      </c>
      <c r="AD384" s="55">
        <v>0</v>
      </c>
      <c r="AE384" s="213">
        <v>0</v>
      </c>
      <c r="AF384" s="212">
        <v>0</v>
      </c>
      <c r="AG384" s="121">
        <v>0</v>
      </c>
      <c r="AH384" s="51">
        <v>0</v>
      </c>
      <c r="AI384" s="51">
        <v>0</v>
      </c>
      <c r="AJ384" s="51">
        <v>0</v>
      </c>
      <c r="AK384" s="51">
        <v>0</v>
      </c>
      <c r="AL384" s="14"/>
      <c r="AM384" s="122"/>
      <c r="AN384" s="51">
        <v>0</v>
      </c>
      <c r="AO384" s="51">
        <v>0</v>
      </c>
      <c r="AP384" s="51">
        <v>0</v>
      </c>
      <c r="AQ384" s="47"/>
      <c r="AR384" s="51">
        <v>0</v>
      </c>
      <c r="AS384" s="51">
        <v>0</v>
      </c>
    </row>
    <row r="385" ht="117" customHeight="1" hidden="1">
      <c r="A385" t="s" s="70">
        <v>1333</v>
      </c>
      <c r="B385" t="s" s="69">
        <v>400</v>
      </c>
      <c r="C385" t="s" s="130">
        <v>800</v>
      </c>
      <c r="D385" t="s" s="209">
        <v>717</v>
      </c>
      <c r="E385" t="s" s="217">
        <v>1334</v>
      </c>
      <c r="F385" t="s" s="210">
        <v>714</v>
      </c>
      <c r="G385" s="211"/>
      <c r="H385" s="42">
        <f>SUM(J385,N385)</f>
        <v>1682</v>
      </c>
      <c r="I385" s="207">
        <f>SUM(Q385,S385,U385,W385,Y385,AA385,AC385,AE385,AG385,AI385,AK385,AM385,AO385,AQ385,AS385)</f>
        <v>218</v>
      </c>
      <c r="J385" s="43">
        <f>SUM(P385,R385,T385,V385,X385,Z385,AB385,AD385,AF385,AH385,AJ385,AL385,AN385,AP385,AR385)</f>
        <v>1682</v>
      </c>
      <c r="K385" s="44"/>
      <c r="L385" s="6"/>
      <c r="M385" s="6"/>
      <c r="N385" s="14"/>
      <c r="O385" s="122"/>
      <c r="P385" s="46"/>
      <c r="Q385" s="27">
        <v>0</v>
      </c>
      <c r="R385" s="51">
        <v>1682</v>
      </c>
      <c r="S385" s="51">
        <v>218</v>
      </c>
      <c r="T385" s="51">
        <v>0</v>
      </c>
      <c r="U385" s="51">
        <v>0</v>
      </c>
      <c r="V385" s="51">
        <v>0</v>
      </c>
      <c r="W385" s="51">
        <v>0</v>
      </c>
      <c r="X385" s="51">
        <v>0</v>
      </c>
      <c r="Y385" s="51">
        <v>0</v>
      </c>
      <c r="Z385" s="48">
        <v>0</v>
      </c>
      <c r="AA385" s="48">
        <v>0</v>
      </c>
      <c r="AB385" s="48">
        <v>0</v>
      </c>
      <c r="AC385" s="48">
        <v>0</v>
      </c>
      <c r="AD385" s="55">
        <v>0</v>
      </c>
      <c r="AE385" s="213">
        <v>0</v>
      </c>
      <c r="AF385" s="212">
        <v>0</v>
      </c>
      <c r="AG385" s="121">
        <v>0</v>
      </c>
      <c r="AH385" s="51">
        <v>0</v>
      </c>
      <c r="AI385" s="51">
        <v>0</v>
      </c>
      <c r="AJ385" s="51">
        <v>0</v>
      </c>
      <c r="AK385" s="51">
        <v>0</v>
      </c>
      <c r="AL385" s="14"/>
      <c r="AM385" s="122"/>
      <c r="AN385" s="51">
        <v>0</v>
      </c>
      <c r="AO385" s="51">
        <v>0</v>
      </c>
      <c r="AP385" s="51">
        <v>0</v>
      </c>
      <c r="AQ385" s="47"/>
      <c r="AR385" s="51">
        <v>0</v>
      </c>
      <c r="AS385" s="51">
        <v>0</v>
      </c>
    </row>
    <row r="386" ht="409.5" customHeight="1" hidden="1">
      <c r="A386" t="s" s="70">
        <v>1335</v>
      </c>
      <c r="B386" t="s" s="69">
        <v>401</v>
      </c>
      <c r="C386" t="s" s="130">
        <v>800</v>
      </c>
      <c r="D386" t="s" s="209">
        <v>717</v>
      </c>
      <c r="E386" t="s" s="132">
        <v>1336</v>
      </c>
      <c r="F386" t="s" s="210">
        <v>714</v>
      </c>
      <c r="G386" s="211"/>
      <c r="H386" s="42">
        <f>SUM(J386,N386)</f>
        <v>0</v>
      </c>
      <c r="I386" s="207">
        <f>SUM(Q386,S386,U386,W386,Y386,AA386,AC386,AE386,AG386,AI386,AK386,AM386,AO386,AQ386,AS386)</f>
        <v>0</v>
      </c>
      <c r="J386" s="43">
        <f>SUM(P386,R386,T386,V386,X386,Z386,AB386,AD386,AF386,AH386,AJ386,AL386,AN386,AP386,AR386)</f>
        <v>0</v>
      </c>
      <c r="K386" s="44"/>
      <c r="L386" s="6"/>
      <c r="M386" s="6"/>
      <c r="N386" s="14"/>
      <c r="O386" s="122"/>
      <c r="P386" s="46"/>
      <c r="Q386" s="27">
        <v>0</v>
      </c>
      <c r="R386" s="51">
        <v>0</v>
      </c>
      <c r="S386" s="51">
        <v>0</v>
      </c>
      <c r="T386" s="51">
        <v>0</v>
      </c>
      <c r="U386" s="51">
        <v>0</v>
      </c>
      <c r="V386" s="51">
        <v>0</v>
      </c>
      <c r="W386" s="51">
        <v>0</v>
      </c>
      <c r="X386" s="51">
        <v>0</v>
      </c>
      <c r="Y386" s="51">
        <v>0</v>
      </c>
      <c r="Z386" s="48">
        <v>0</v>
      </c>
      <c r="AA386" s="48">
        <v>0</v>
      </c>
      <c r="AB386" s="48">
        <v>0</v>
      </c>
      <c r="AC386" s="48">
        <v>0</v>
      </c>
      <c r="AD386" s="55">
        <v>0</v>
      </c>
      <c r="AE386" s="213">
        <v>0</v>
      </c>
      <c r="AF386" s="212">
        <v>0</v>
      </c>
      <c r="AG386" s="121">
        <v>0</v>
      </c>
      <c r="AH386" s="51">
        <v>0</v>
      </c>
      <c r="AI386" s="51">
        <v>0</v>
      </c>
      <c r="AJ386" s="51">
        <v>0</v>
      </c>
      <c r="AK386" s="51">
        <v>0</v>
      </c>
      <c r="AL386" s="14"/>
      <c r="AM386" s="122"/>
      <c r="AN386" s="51">
        <v>0</v>
      </c>
      <c r="AO386" s="51">
        <v>0</v>
      </c>
      <c r="AP386" s="51">
        <v>0</v>
      </c>
      <c r="AQ386" s="47"/>
      <c r="AR386" s="51">
        <v>0</v>
      </c>
      <c r="AS386" s="51">
        <v>0</v>
      </c>
    </row>
    <row r="387" ht="136.5" customHeight="1" hidden="1">
      <c r="A387" t="s" s="70">
        <v>1337</v>
      </c>
      <c r="B387" t="s" s="69">
        <v>402</v>
      </c>
      <c r="C387" t="s" s="130">
        <v>800</v>
      </c>
      <c r="D387" t="s" s="209">
        <v>717</v>
      </c>
      <c r="E387" t="s" s="132">
        <v>1338</v>
      </c>
      <c r="F387" t="s" s="210">
        <v>714</v>
      </c>
      <c r="G387" s="211"/>
      <c r="H387" s="42">
        <f>SUM(J387,N387)</f>
        <v>0</v>
      </c>
      <c r="I387" s="207">
        <f>SUM(Q387,S387,U387,W387,Y387,AA387,AC387,AE387,AG387,AI387,AK387,AM387,AO387,AQ387,AS387)</f>
        <v>0</v>
      </c>
      <c r="J387" s="43">
        <f>SUM(P387,R387,T387,V387,X387,Z387,AB387,AD387,AF387,AH387,AJ387,AL387,AN387,AP387,AR387)</f>
        <v>0</v>
      </c>
      <c r="K387" s="44"/>
      <c r="L387" s="6"/>
      <c r="M387" s="6"/>
      <c r="N387" s="14"/>
      <c r="O387" s="122"/>
      <c r="P387" s="46"/>
      <c r="Q387" s="27">
        <v>0</v>
      </c>
      <c r="R387" s="51">
        <v>0</v>
      </c>
      <c r="S387" s="51">
        <v>0</v>
      </c>
      <c r="T387" s="51">
        <v>0</v>
      </c>
      <c r="U387" s="51">
        <v>0</v>
      </c>
      <c r="V387" s="51">
        <v>0</v>
      </c>
      <c r="W387" s="51">
        <v>0</v>
      </c>
      <c r="X387" s="51">
        <v>0</v>
      </c>
      <c r="Y387" s="51">
        <v>0</v>
      </c>
      <c r="Z387" s="48">
        <v>0</v>
      </c>
      <c r="AA387" s="48">
        <v>0</v>
      </c>
      <c r="AB387" s="48">
        <v>0</v>
      </c>
      <c r="AC387" s="48">
        <v>0</v>
      </c>
      <c r="AD387" s="55">
        <v>0</v>
      </c>
      <c r="AE387" s="213">
        <v>0</v>
      </c>
      <c r="AF387" s="212">
        <v>0</v>
      </c>
      <c r="AG387" s="121">
        <v>0</v>
      </c>
      <c r="AH387" s="51">
        <v>0</v>
      </c>
      <c r="AI387" s="51">
        <v>0</v>
      </c>
      <c r="AJ387" s="51">
        <v>0</v>
      </c>
      <c r="AK387" s="51">
        <v>0</v>
      </c>
      <c r="AL387" s="14"/>
      <c r="AM387" s="122"/>
      <c r="AN387" s="51">
        <v>0</v>
      </c>
      <c r="AO387" s="51">
        <v>0</v>
      </c>
      <c r="AP387" s="51">
        <v>0</v>
      </c>
      <c r="AQ387" s="47"/>
      <c r="AR387" s="47"/>
      <c r="AS387" s="47"/>
    </row>
    <row r="388" ht="409.5" customHeight="1" hidden="1">
      <c r="A388" t="s" s="70">
        <v>1339</v>
      </c>
      <c r="B388" t="s" s="69">
        <v>403</v>
      </c>
      <c r="C388" t="s" s="130">
        <v>800</v>
      </c>
      <c r="D388" t="s" s="209">
        <v>717</v>
      </c>
      <c r="E388" t="s" s="217">
        <v>1340</v>
      </c>
      <c r="F388" t="s" s="210">
        <v>714</v>
      </c>
      <c r="G388" s="211"/>
      <c r="H388" s="42">
        <f>SUM(J388,N388)</f>
        <v>0</v>
      </c>
      <c r="I388" s="207">
        <f>SUM(Q388,S388,U388,W388,Y388,AA388,AC388,AE388,AG388,AI388,AK388,AM388,AO388,AQ388,AS388)</f>
        <v>0</v>
      </c>
      <c r="J388" s="43">
        <f>SUM(P388,R388,T388,V388,X388,Z388,AB388,AD388,AF388,AH388,AJ388,AL388,AN388,AP388,AR388)</f>
        <v>0</v>
      </c>
      <c r="K388" s="44"/>
      <c r="L388" s="6"/>
      <c r="M388" s="6"/>
      <c r="N388" s="14"/>
      <c r="O388" s="122"/>
      <c r="P388" s="46"/>
      <c r="Q388" s="27">
        <v>0</v>
      </c>
      <c r="R388" s="51">
        <v>0</v>
      </c>
      <c r="S388" s="51">
        <v>0</v>
      </c>
      <c r="T388" s="51">
        <v>0</v>
      </c>
      <c r="U388" s="51">
        <v>0</v>
      </c>
      <c r="V388" s="51">
        <v>0</v>
      </c>
      <c r="W388" s="51">
        <v>0</v>
      </c>
      <c r="X388" s="51">
        <v>0</v>
      </c>
      <c r="Y388" s="51">
        <v>0</v>
      </c>
      <c r="Z388" s="48">
        <v>0</v>
      </c>
      <c r="AA388" s="48">
        <v>0</v>
      </c>
      <c r="AB388" s="48">
        <v>0</v>
      </c>
      <c r="AC388" s="48">
        <v>0</v>
      </c>
      <c r="AD388" s="55">
        <v>0</v>
      </c>
      <c r="AE388" s="213">
        <v>0</v>
      </c>
      <c r="AF388" s="212">
        <v>0</v>
      </c>
      <c r="AG388" s="121">
        <v>0</v>
      </c>
      <c r="AH388" s="51">
        <v>0</v>
      </c>
      <c r="AI388" s="51">
        <v>0</v>
      </c>
      <c r="AJ388" s="51">
        <v>0</v>
      </c>
      <c r="AK388" s="51">
        <v>0</v>
      </c>
      <c r="AL388" s="14"/>
      <c r="AM388" s="122"/>
      <c r="AN388" s="51">
        <v>0</v>
      </c>
      <c r="AO388" s="51">
        <v>0</v>
      </c>
      <c r="AP388" s="51">
        <v>0</v>
      </c>
      <c r="AQ388" s="47"/>
      <c r="AR388" s="51">
        <v>0</v>
      </c>
      <c r="AS388" s="51">
        <v>0</v>
      </c>
    </row>
    <row r="389" ht="283.5" customHeight="1" hidden="1">
      <c r="A389" t="s" s="70">
        <v>1341</v>
      </c>
      <c r="B389" t="s" s="70">
        <v>404</v>
      </c>
      <c r="C389" t="s" s="130">
        <v>800</v>
      </c>
      <c r="D389" t="s" s="209">
        <v>717</v>
      </c>
      <c r="E389" t="s" s="217">
        <v>1342</v>
      </c>
      <c r="F389" t="s" s="210">
        <v>714</v>
      </c>
      <c r="G389" s="211"/>
      <c r="H389" s="42">
        <f>SUM(J389,N389)</f>
        <v>0</v>
      </c>
      <c r="I389" s="207">
        <f>SUM(Q389,S389,U389,W389,Y389,AA389,AC389,AE389,AG389,AI389,AK389,AM389,AO389,AQ389,AS389)</f>
        <v>0</v>
      </c>
      <c r="J389" s="43">
        <f>SUM(P389,R389,T389,V389,X389,Z389,AB389,AD389,AF389,AH389,AJ389,AL389,AN389,AP389,AR389)</f>
        <v>0</v>
      </c>
      <c r="K389" s="44"/>
      <c r="L389" s="6"/>
      <c r="M389" s="6"/>
      <c r="N389" s="14"/>
      <c r="O389" s="122"/>
      <c r="P389" s="46"/>
      <c r="Q389" s="27">
        <v>0</v>
      </c>
      <c r="R389" s="51">
        <v>0</v>
      </c>
      <c r="S389" s="51">
        <v>0</v>
      </c>
      <c r="T389" s="51">
        <v>0</v>
      </c>
      <c r="U389" s="51">
        <v>0</v>
      </c>
      <c r="V389" s="51">
        <v>0</v>
      </c>
      <c r="W389" s="51">
        <v>0</v>
      </c>
      <c r="X389" s="51">
        <v>0</v>
      </c>
      <c r="Y389" s="51">
        <v>0</v>
      </c>
      <c r="Z389" s="48">
        <v>0</v>
      </c>
      <c r="AA389" s="48">
        <v>0</v>
      </c>
      <c r="AB389" s="48">
        <v>0</v>
      </c>
      <c r="AC389" s="48">
        <v>0</v>
      </c>
      <c r="AD389" s="55">
        <v>0</v>
      </c>
      <c r="AE389" s="213">
        <v>0</v>
      </c>
      <c r="AF389" s="212">
        <v>0</v>
      </c>
      <c r="AG389" s="121">
        <v>0</v>
      </c>
      <c r="AH389" s="51">
        <v>0</v>
      </c>
      <c r="AI389" s="51">
        <v>0</v>
      </c>
      <c r="AJ389" s="51">
        <v>0</v>
      </c>
      <c r="AK389" s="51">
        <v>0</v>
      </c>
      <c r="AL389" s="14"/>
      <c r="AM389" s="122"/>
      <c r="AN389" s="51">
        <v>0</v>
      </c>
      <c r="AO389" s="51">
        <v>0</v>
      </c>
      <c r="AP389" s="51">
        <v>0</v>
      </c>
      <c r="AQ389" s="47"/>
      <c r="AR389" s="51">
        <v>0</v>
      </c>
      <c r="AS389" s="51">
        <v>0</v>
      </c>
    </row>
    <row r="390" ht="409.5" customHeight="1" hidden="1">
      <c r="A390" t="s" s="70">
        <v>1343</v>
      </c>
      <c r="B390" t="s" s="69">
        <v>405</v>
      </c>
      <c r="C390" t="s" s="130">
        <v>800</v>
      </c>
      <c r="D390" t="s" s="209">
        <v>717</v>
      </c>
      <c r="E390" t="s" s="217">
        <v>1344</v>
      </c>
      <c r="F390" t="s" s="210">
        <v>714</v>
      </c>
      <c r="G390" s="211"/>
      <c r="H390" s="42">
        <f>SUM(J390,N390)</f>
        <v>0</v>
      </c>
      <c r="I390" s="207">
        <f>SUM(Q390,S390,U390,W390,Y390,AA390,AC390,AE390,AG390,AI390,AK390,AM390,AO390,AQ390,AS390)</f>
        <v>0</v>
      </c>
      <c r="J390" s="43">
        <f>SUM(P390,R390,T390,V390,X390,Z390,AB390,AD390,AF390,AH390,AJ390,AL390,AN390,AP390,AR390)</f>
        <v>0</v>
      </c>
      <c r="K390" s="44"/>
      <c r="L390" s="6"/>
      <c r="M390" s="6"/>
      <c r="N390" s="14"/>
      <c r="O390" s="122"/>
      <c r="P390" s="46"/>
      <c r="Q390" s="27">
        <v>0</v>
      </c>
      <c r="R390" s="51">
        <v>0</v>
      </c>
      <c r="S390" s="51">
        <v>0</v>
      </c>
      <c r="T390" s="51">
        <v>0</v>
      </c>
      <c r="U390" s="51">
        <v>0</v>
      </c>
      <c r="V390" s="51">
        <v>0</v>
      </c>
      <c r="W390" s="51">
        <v>0</v>
      </c>
      <c r="X390" s="51">
        <v>0</v>
      </c>
      <c r="Y390" s="51">
        <v>0</v>
      </c>
      <c r="Z390" s="48">
        <v>0</v>
      </c>
      <c r="AA390" s="48">
        <v>0</v>
      </c>
      <c r="AB390" s="48">
        <v>0</v>
      </c>
      <c r="AC390" s="48">
        <v>0</v>
      </c>
      <c r="AD390" s="55">
        <v>0</v>
      </c>
      <c r="AE390" s="213">
        <v>0</v>
      </c>
      <c r="AF390" s="212">
        <v>0</v>
      </c>
      <c r="AG390" s="121">
        <v>0</v>
      </c>
      <c r="AH390" s="51">
        <v>0</v>
      </c>
      <c r="AI390" s="51">
        <v>0</v>
      </c>
      <c r="AJ390" s="51">
        <v>0</v>
      </c>
      <c r="AK390" s="51">
        <v>0</v>
      </c>
      <c r="AL390" s="14"/>
      <c r="AM390" s="122"/>
      <c r="AN390" s="51">
        <v>0</v>
      </c>
      <c r="AO390" s="51">
        <v>0</v>
      </c>
      <c r="AP390" s="51">
        <v>0</v>
      </c>
      <c r="AQ390" s="47"/>
      <c r="AR390" s="51">
        <v>0</v>
      </c>
      <c r="AS390" s="51">
        <v>0</v>
      </c>
    </row>
    <row r="391" ht="312" customHeight="1" hidden="1">
      <c r="A391" t="s" s="70">
        <v>1345</v>
      </c>
      <c r="B391" t="s" s="69">
        <v>406</v>
      </c>
      <c r="C391" t="s" s="130">
        <v>800</v>
      </c>
      <c r="D391" t="s" s="209">
        <v>717</v>
      </c>
      <c r="E391" t="s" s="132">
        <v>1346</v>
      </c>
      <c r="F391" t="s" s="210">
        <v>714</v>
      </c>
      <c r="G391" s="211"/>
      <c r="H391" s="42">
        <f>SUM(J391,N391)</f>
        <v>75</v>
      </c>
      <c r="I391" s="207">
        <f>SUM(Q391,S391,U391,W391,Y391,AA391,AC391,AE391,AG391,AI391,AK391,AM391,AO391,AQ391,AS391)</f>
        <v>0</v>
      </c>
      <c r="J391" s="43">
        <f>SUM(P391,R391,T391,V391,X391,Z391,AB391,AD391,AF391,AH391,AJ391,AL391,AN391,AP391,AR391)</f>
        <v>75</v>
      </c>
      <c r="K391" s="44"/>
      <c r="L391" s="6"/>
      <c r="M391" s="6"/>
      <c r="N391" s="14"/>
      <c r="O391" s="122"/>
      <c r="P391" s="46"/>
      <c r="Q391" s="27">
        <v>0</v>
      </c>
      <c r="R391" s="38">
        <v>75</v>
      </c>
      <c r="S391" s="38">
        <v>0</v>
      </c>
      <c r="T391" s="51">
        <v>0</v>
      </c>
      <c r="U391" s="51">
        <v>0</v>
      </c>
      <c r="V391" s="51">
        <v>0</v>
      </c>
      <c r="W391" s="51">
        <v>0</v>
      </c>
      <c r="X391" s="51">
        <v>0</v>
      </c>
      <c r="Y391" s="51">
        <v>0</v>
      </c>
      <c r="Z391" s="48">
        <v>0</v>
      </c>
      <c r="AA391" s="48">
        <v>0</v>
      </c>
      <c r="AB391" s="48">
        <v>0</v>
      </c>
      <c r="AC391" s="48">
        <v>0</v>
      </c>
      <c r="AD391" s="55">
        <v>0</v>
      </c>
      <c r="AE391" s="213">
        <v>0</v>
      </c>
      <c r="AF391" s="212">
        <v>0</v>
      </c>
      <c r="AG391" s="121">
        <v>0</v>
      </c>
      <c r="AH391" s="51">
        <v>0</v>
      </c>
      <c r="AI391" s="51">
        <v>0</v>
      </c>
      <c r="AJ391" s="51">
        <v>0</v>
      </c>
      <c r="AK391" s="51">
        <v>0</v>
      </c>
      <c r="AL391" s="14"/>
      <c r="AM391" s="122"/>
      <c r="AN391" s="51">
        <v>0</v>
      </c>
      <c r="AO391" s="51">
        <v>0</v>
      </c>
      <c r="AP391" s="51">
        <v>0</v>
      </c>
      <c r="AQ391" s="47"/>
      <c r="AR391" s="51">
        <v>0</v>
      </c>
      <c r="AS391" s="51">
        <v>0</v>
      </c>
    </row>
    <row r="392" ht="312" customHeight="1" hidden="1">
      <c r="A392" t="s" s="70">
        <v>1347</v>
      </c>
      <c r="B392" t="s" s="69">
        <v>407</v>
      </c>
      <c r="C392" t="s" s="130">
        <v>800</v>
      </c>
      <c r="D392" t="s" s="209">
        <v>717</v>
      </c>
      <c r="E392" t="s" s="132">
        <v>1346</v>
      </c>
      <c r="F392" t="s" s="210">
        <v>714</v>
      </c>
      <c r="G392" s="211"/>
      <c r="H392" s="42">
        <f>SUM(J392,N392)</f>
        <v>91</v>
      </c>
      <c r="I392" s="207">
        <f>SUM(Q392,S392,U392,W392,Y392,AA392,AC392,AE392,AG392,AI392,AK392,AM392,AO392,AQ392,AS392)</f>
        <v>26</v>
      </c>
      <c r="J392" s="43">
        <f>SUM(P392,R392,T392,V392,X392,Z392,AB392,AD392,AF392,AH392,AJ392,AL392,AN392,AP392,AR392)</f>
        <v>91</v>
      </c>
      <c r="K392" s="44"/>
      <c r="L392" s="6"/>
      <c r="M392" s="6"/>
      <c r="N392" s="14"/>
      <c r="O392" s="122"/>
      <c r="P392" s="46"/>
      <c r="Q392" s="27">
        <v>0</v>
      </c>
      <c r="R392" s="38">
        <v>91</v>
      </c>
      <c r="S392" s="38">
        <v>26</v>
      </c>
      <c r="T392" s="51">
        <v>0</v>
      </c>
      <c r="U392" s="51">
        <v>0</v>
      </c>
      <c r="V392" s="51">
        <v>0</v>
      </c>
      <c r="W392" s="51">
        <v>0</v>
      </c>
      <c r="X392" s="51">
        <v>0</v>
      </c>
      <c r="Y392" s="51">
        <v>0</v>
      </c>
      <c r="Z392" s="48">
        <v>0</v>
      </c>
      <c r="AA392" s="48">
        <v>0</v>
      </c>
      <c r="AB392" s="48">
        <v>0</v>
      </c>
      <c r="AC392" s="48">
        <v>0</v>
      </c>
      <c r="AD392" s="55">
        <v>0</v>
      </c>
      <c r="AE392" s="213">
        <v>0</v>
      </c>
      <c r="AF392" s="212">
        <v>0</v>
      </c>
      <c r="AG392" s="121">
        <v>0</v>
      </c>
      <c r="AH392" s="51">
        <v>0</v>
      </c>
      <c r="AI392" s="51">
        <v>0</v>
      </c>
      <c r="AJ392" s="51">
        <v>0</v>
      </c>
      <c r="AK392" s="51">
        <v>0</v>
      </c>
      <c r="AL392" s="14"/>
      <c r="AM392" s="122"/>
      <c r="AN392" s="51">
        <v>0</v>
      </c>
      <c r="AO392" s="51">
        <v>0</v>
      </c>
      <c r="AP392" s="51">
        <v>0</v>
      </c>
      <c r="AQ392" s="47"/>
      <c r="AR392" s="51">
        <v>0</v>
      </c>
      <c r="AS392" s="51">
        <v>0</v>
      </c>
    </row>
    <row r="393" ht="19.5" customHeight="1" hidden="1">
      <c r="A393" t="s" s="88">
        <v>1348</v>
      </c>
      <c r="B393" t="s" s="67">
        <v>114</v>
      </c>
      <c r="C393" s="228"/>
      <c r="D393" s="228"/>
      <c r="E393" s="189"/>
      <c r="F393" s="182">
        <v>0</v>
      </c>
      <c r="G393" s="183"/>
      <c r="H393" s="42">
        <f>SUM(J393,N393)</f>
        <v>0</v>
      </c>
      <c r="I393" s="207">
        <f>SUM(Q393,S393,U393,W393,Y393,AA393,AC393,AE393,AG393,AI393,AK393,AM393,AO393,AQ393,AS393)</f>
        <v>0</v>
      </c>
      <c r="J393" s="43">
        <f>SUM(P393,R393,T393,V393,X393,Z393,AB393,AD393,AF393,AH393,AJ393,AL393,AN393,AP393,AR393)</f>
        <v>0</v>
      </c>
      <c r="K393" s="44"/>
      <c r="L393" s="6"/>
      <c r="M393" s="6"/>
      <c r="N393" s="14"/>
      <c r="O393" s="122"/>
      <c r="P393" s="46"/>
      <c r="Q393" s="46"/>
      <c r="R393" s="47"/>
      <c r="S393" s="47"/>
      <c r="T393" s="47"/>
      <c r="U393" s="47"/>
      <c r="V393" s="47"/>
      <c r="W393" s="47"/>
      <c r="X393" s="47"/>
      <c r="Y393" s="47"/>
      <c r="Z393" s="48">
        <v>0</v>
      </c>
      <c r="AA393" s="48">
        <v>0</v>
      </c>
      <c r="AB393" s="49"/>
      <c r="AC393" s="49"/>
      <c r="AD393" s="50"/>
      <c r="AE393" s="50"/>
      <c r="AF393" s="14"/>
      <c r="AG393" s="122"/>
      <c r="AH393" s="51">
        <v>0</v>
      </c>
      <c r="AI393" s="51">
        <v>0</v>
      </c>
      <c r="AJ393" s="47"/>
      <c r="AK393" s="47"/>
      <c r="AL393" s="14"/>
      <c r="AM393" s="122"/>
      <c r="AN393" s="47"/>
      <c r="AO393" s="47"/>
      <c r="AP393" s="47"/>
      <c r="AQ393" s="47"/>
      <c r="AR393" s="51">
        <v>0</v>
      </c>
      <c r="AS393" s="51">
        <v>0</v>
      </c>
    </row>
    <row r="394" ht="252" customHeight="1" hidden="1">
      <c r="A394" t="s" s="130">
        <v>1349</v>
      </c>
      <c r="B394" t="s" s="52">
        <v>408</v>
      </c>
      <c r="C394" t="s" s="130">
        <v>790</v>
      </c>
      <c r="D394" t="s" s="209">
        <v>791</v>
      </c>
      <c r="E394" s="189"/>
      <c r="F394" t="s" s="210">
        <v>714</v>
      </c>
      <c r="G394" s="211"/>
      <c r="H394" s="42">
        <f>SUM(J394,N394)</f>
        <v>0</v>
      </c>
      <c r="I394" s="207">
        <f>SUM(Q394,S394,U394,W394,Y394,AA394,AC394,AE394,AG394,AI394,AK394,AM394,AO394,AQ394,AS394)</f>
        <v>0</v>
      </c>
      <c r="J394" s="43">
        <f>SUM(P394,R394,T394,V394,X394,Z394,AB394,AD394,AF394,AH394,AJ394,AL394,AN394,AP394,AR394)</f>
        <v>0</v>
      </c>
      <c r="K394" s="44"/>
      <c r="L394" s="6"/>
      <c r="M394" s="6"/>
      <c r="N394" s="14"/>
      <c r="O394" s="122"/>
      <c r="P394" s="27">
        <v>0</v>
      </c>
      <c r="Q394" s="27">
        <v>0</v>
      </c>
      <c r="R394" s="51">
        <v>0</v>
      </c>
      <c r="S394" s="51">
        <v>0</v>
      </c>
      <c r="T394" s="51">
        <v>0</v>
      </c>
      <c r="U394" s="51">
        <v>0</v>
      </c>
      <c r="V394" s="51">
        <v>0</v>
      </c>
      <c r="W394" s="51">
        <v>0</v>
      </c>
      <c r="X394" s="51">
        <v>0</v>
      </c>
      <c r="Y394" s="51">
        <v>0</v>
      </c>
      <c r="Z394" s="48">
        <v>0</v>
      </c>
      <c r="AA394" s="48">
        <v>0</v>
      </c>
      <c r="AB394" s="48">
        <v>0</v>
      </c>
      <c r="AC394" s="48">
        <v>0</v>
      </c>
      <c r="AD394" s="55">
        <v>0</v>
      </c>
      <c r="AE394" s="213">
        <v>0</v>
      </c>
      <c r="AF394" s="212">
        <v>0</v>
      </c>
      <c r="AG394" s="121">
        <v>0</v>
      </c>
      <c r="AH394" s="51">
        <v>0</v>
      </c>
      <c r="AI394" s="51">
        <v>0</v>
      </c>
      <c r="AJ394" s="51">
        <v>0</v>
      </c>
      <c r="AK394" s="51">
        <v>0</v>
      </c>
      <c r="AL394" s="14"/>
      <c r="AM394" s="122"/>
      <c r="AN394" s="51">
        <v>0</v>
      </c>
      <c r="AO394" s="51">
        <v>0</v>
      </c>
      <c r="AP394" s="51">
        <v>0</v>
      </c>
      <c r="AQ394" s="47"/>
      <c r="AR394" s="51">
        <v>0</v>
      </c>
      <c r="AS394" s="51">
        <v>0</v>
      </c>
    </row>
    <row r="395" ht="141.75" customHeight="1" hidden="1">
      <c r="A395" t="s" s="130">
        <v>1350</v>
      </c>
      <c r="B395" t="s" s="52">
        <v>409</v>
      </c>
      <c r="C395" t="s" s="130">
        <v>782</v>
      </c>
      <c r="D395" t="s" s="209">
        <v>717</v>
      </c>
      <c r="E395" t="s" s="217">
        <v>1351</v>
      </c>
      <c r="F395" t="s" s="210">
        <v>714</v>
      </c>
      <c r="G395" s="211"/>
      <c r="H395" s="42">
        <f>SUM(J395,N395)</f>
        <v>0</v>
      </c>
      <c r="I395" s="207">
        <f>SUM(Q395,S395,U395,W395,Y395,AA395,AC395,AE395,AG395,AI395,AK395,AM395,AO395,AQ395,AS395)</f>
        <v>0</v>
      </c>
      <c r="J395" s="43">
        <f>SUM(P395,R395,T395,V395,X395,Z395,AB395,AD395,AF395,AH395,AJ395,AL395,AN395,AP395,AR395)</f>
        <v>0</v>
      </c>
      <c r="K395" s="44"/>
      <c r="L395" s="6"/>
      <c r="M395" s="6"/>
      <c r="N395" s="14"/>
      <c r="O395" s="122"/>
      <c r="P395" s="27">
        <v>0</v>
      </c>
      <c r="Q395" s="27">
        <v>0</v>
      </c>
      <c r="R395" s="51">
        <v>0</v>
      </c>
      <c r="S395" s="51">
        <v>0</v>
      </c>
      <c r="T395" s="51">
        <v>0</v>
      </c>
      <c r="U395" s="51">
        <v>0</v>
      </c>
      <c r="V395" s="51">
        <v>0</v>
      </c>
      <c r="W395" s="51">
        <v>0</v>
      </c>
      <c r="X395" s="51">
        <v>0</v>
      </c>
      <c r="Y395" s="51">
        <v>0</v>
      </c>
      <c r="Z395" s="48">
        <v>0</v>
      </c>
      <c r="AA395" s="48">
        <v>0</v>
      </c>
      <c r="AB395" s="48">
        <v>0</v>
      </c>
      <c r="AC395" s="48">
        <v>0</v>
      </c>
      <c r="AD395" s="55">
        <v>0</v>
      </c>
      <c r="AE395" s="213">
        <v>0</v>
      </c>
      <c r="AF395" s="212">
        <v>0</v>
      </c>
      <c r="AG395" s="121">
        <v>0</v>
      </c>
      <c r="AH395" s="51">
        <v>0</v>
      </c>
      <c r="AI395" s="51">
        <v>0</v>
      </c>
      <c r="AJ395" s="51">
        <v>0</v>
      </c>
      <c r="AK395" s="51">
        <v>0</v>
      </c>
      <c r="AL395" s="14"/>
      <c r="AM395" s="122"/>
      <c r="AN395" s="51">
        <v>0</v>
      </c>
      <c r="AO395" s="51">
        <v>0</v>
      </c>
      <c r="AP395" s="51">
        <v>0</v>
      </c>
      <c r="AQ395" s="47"/>
      <c r="AR395" s="51">
        <v>0</v>
      </c>
      <c r="AS395" s="51">
        <v>0</v>
      </c>
    </row>
    <row r="396" ht="19.5" customHeight="1" hidden="1">
      <c r="A396" s="227">
        <v>9</v>
      </c>
      <c r="B396" t="s" s="10">
        <v>410</v>
      </c>
      <c r="C396" s="180"/>
      <c r="D396" s="180"/>
      <c r="E396" s="189"/>
      <c r="F396" s="182">
        <v>0</v>
      </c>
      <c r="G396" s="183"/>
      <c r="H396" s="42">
        <f>SUM(J396,N396)</f>
        <v>0</v>
      </c>
      <c r="I396" s="207">
        <f>SUM(Q396,S396,U396,W396,Y396,AA396,AC396,AE396,AG396,AI396,AK396,AM396,AO396,AQ396,AS396)</f>
        <v>0</v>
      </c>
      <c r="J396" s="43">
        <f>SUM(P396,R396,T396,V396,X396,Z396,AB396,AD396,AF396,AH396,AJ396,AL396,AN396,AP396,AR396)</f>
        <v>0</v>
      </c>
      <c r="K396" s="44"/>
      <c r="L396" s="6"/>
      <c r="M396" s="6"/>
      <c r="N396" s="14"/>
      <c r="O396" s="122"/>
      <c r="P396" s="46"/>
      <c r="Q396" s="46"/>
      <c r="R396" s="47"/>
      <c r="S396" s="47"/>
      <c r="T396" s="47"/>
      <c r="U396" s="47"/>
      <c r="V396" s="47"/>
      <c r="W396" s="47"/>
      <c r="X396" s="47"/>
      <c r="Y396" s="47"/>
      <c r="Z396" s="48">
        <v>0</v>
      </c>
      <c r="AA396" s="48">
        <v>0</v>
      </c>
      <c r="AB396" s="49"/>
      <c r="AC396" s="49"/>
      <c r="AD396" s="50"/>
      <c r="AE396" s="50"/>
      <c r="AF396" s="14"/>
      <c r="AG396" s="122"/>
      <c r="AH396" s="51">
        <v>0</v>
      </c>
      <c r="AI396" s="51">
        <v>0</v>
      </c>
      <c r="AJ396" s="47"/>
      <c r="AK396" s="47"/>
      <c r="AL396" s="14"/>
      <c r="AM396" s="122"/>
      <c r="AN396" s="47"/>
      <c r="AO396" s="47"/>
      <c r="AP396" s="47"/>
      <c r="AQ396" s="47"/>
      <c r="AR396" s="51">
        <v>0</v>
      </c>
      <c r="AS396" s="51">
        <v>0</v>
      </c>
    </row>
    <row r="397" ht="19.5" customHeight="1" hidden="1">
      <c r="A397" t="s" s="88">
        <v>1352</v>
      </c>
      <c r="B397" t="s" s="67">
        <v>411</v>
      </c>
      <c r="C397" s="228"/>
      <c r="D397" s="228"/>
      <c r="E397" s="189"/>
      <c r="F397" s="182">
        <v>0</v>
      </c>
      <c r="G397" s="183"/>
      <c r="H397" s="42">
        <f>SUM(J397,N397)</f>
        <v>0</v>
      </c>
      <c r="I397" s="207">
        <f>SUM(Q397,S397,U397,W397,Y397,AA397,AC397,AE397,AG397,AI397,AK397,AM397,AO397,AQ397,AS397)</f>
        <v>0</v>
      </c>
      <c r="J397" s="43">
        <f>SUM(P397,R397,T397,V397,X397,Z397,AB397,AD397,AF397,AH397,AJ397,AL397,AN397,AP397,AR397)</f>
        <v>0</v>
      </c>
      <c r="K397" s="44"/>
      <c r="L397" s="6"/>
      <c r="M397" s="6"/>
      <c r="N397" s="14"/>
      <c r="O397" s="122"/>
      <c r="P397" s="46"/>
      <c r="Q397" s="46"/>
      <c r="R397" s="47"/>
      <c r="S397" s="47"/>
      <c r="T397" s="47"/>
      <c r="U397" s="47"/>
      <c r="V397" s="47"/>
      <c r="W397" s="47"/>
      <c r="X397" s="47"/>
      <c r="Y397" s="47"/>
      <c r="Z397" s="48">
        <v>0</v>
      </c>
      <c r="AA397" s="48">
        <v>0</v>
      </c>
      <c r="AB397" s="49"/>
      <c r="AC397" s="49"/>
      <c r="AD397" s="50"/>
      <c r="AE397" s="50"/>
      <c r="AF397" s="14"/>
      <c r="AG397" s="122"/>
      <c r="AH397" s="51">
        <v>0</v>
      </c>
      <c r="AI397" s="51">
        <v>0</v>
      </c>
      <c r="AJ397" s="47"/>
      <c r="AK397" s="47"/>
      <c r="AL397" s="14"/>
      <c r="AM397" s="122"/>
      <c r="AN397" s="47"/>
      <c r="AO397" s="47"/>
      <c r="AP397" s="47"/>
      <c r="AQ397" s="47"/>
      <c r="AR397" s="51">
        <v>0</v>
      </c>
      <c r="AS397" s="51">
        <v>0</v>
      </c>
    </row>
    <row r="398" ht="19.5" customHeight="1" hidden="1">
      <c r="A398" t="s" s="88">
        <v>1353</v>
      </c>
      <c r="B398" t="s" s="67">
        <v>412</v>
      </c>
      <c r="C398" s="228"/>
      <c r="D398" s="228"/>
      <c r="E398" s="189"/>
      <c r="F398" s="182">
        <v>0</v>
      </c>
      <c r="G398" s="183"/>
      <c r="H398" s="42">
        <f>SUM(J398,N398)</f>
        <v>0</v>
      </c>
      <c r="I398" s="207">
        <f>SUM(Q398,S398,U398,W398,Y398,AA398,AC398,AE398,AG398,AI398,AK398,AM398,AO398,AQ398,AS398)</f>
        <v>0</v>
      </c>
      <c r="J398" s="43">
        <f>SUM(P398,R398,T398,V398,X398,Z398,AB398,AD398,AF398,AH398,AJ398,AL398,AN398,AP398,AR398)</f>
        <v>0</v>
      </c>
      <c r="K398" s="44"/>
      <c r="L398" s="6"/>
      <c r="M398" s="6"/>
      <c r="N398" s="14"/>
      <c r="O398" s="122"/>
      <c r="P398" s="46"/>
      <c r="Q398" s="46"/>
      <c r="R398" s="47"/>
      <c r="S398" s="47"/>
      <c r="T398" s="47"/>
      <c r="U398" s="47"/>
      <c r="V398" s="47"/>
      <c r="W398" s="47"/>
      <c r="X398" s="47"/>
      <c r="Y398" s="47"/>
      <c r="Z398" s="48">
        <v>0</v>
      </c>
      <c r="AA398" s="48">
        <v>0</v>
      </c>
      <c r="AB398" s="49"/>
      <c r="AC398" s="49"/>
      <c r="AD398" s="50"/>
      <c r="AE398" s="50"/>
      <c r="AF398" s="14"/>
      <c r="AG398" s="122"/>
      <c r="AH398" s="51">
        <v>0</v>
      </c>
      <c r="AI398" s="51">
        <v>0</v>
      </c>
      <c r="AJ398" s="47"/>
      <c r="AK398" s="47"/>
      <c r="AL398" s="14"/>
      <c r="AM398" s="122"/>
      <c r="AN398" s="47"/>
      <c r="AO398" s="47"/>
      <c r="AP398" s="47"/>
      <c r="AQ398" s="47"/>
      <c r="AR398" s="51">
        <v>0</v>
      </c>
      <c r="AS398" s="51">
        <v>0</v>
      </c>
    </row>
    <row r="399" ht="19.5" customHeight="1" hidden="1">
      <c r="A399" t="s" s="220">
        <v>1354</v>
      </c>
      <c r="B399" t="s" s="52">
        <v>413</v>
      </c>
      <c r="C399" t="s" s="130">
        <v>1000</v>
      </c>
      <c r="D399" t="s" s="209">
        <v>713</v>
      </c>
      <c r="E399" t="s" s="217">
        <v>1113</v>
      </c>
      <c r="F399" t="s" s="210">
        <v>714</v>
      </c>
      <c r="G399" s="211"/>
      <c r="H399" s="42">
        <f>SUM(J399,N399)</f>
        <v>91630</v>
      </c>
      <c r="I399" s="207">
        <f>SUM(Q399,S399,U399,W399,Y399,AA399,AC399,AE399,AG399,AI399,AK399,AM399,AO399,AQ399,AS399)</f>
        <v>52314</v>
      </c>
      <c r="J399" s="43">
        <f>SUM(P399,R399,T399,V399,X399,Z399,AB399,AD399,AF399,AH399,AJ399,AL399,AN399,AP399,AR399)</f>
        <v>91630</v>
      </c>
      <c r="K399" s="44"/>
      <c r="L399" s="6"/>
      <c r="M399" s="6"/>
      <c r="N399" s="14"/>
      <c r="O399" s="122"/>
      <c r="P399" s="27">
        <v>0</v>
      </c>
      <c r="Q399" s="27">
        <v>0</v>
      </c>
      <c r="R399" s="51">
        <v>880</v>
      </c>
      <c r="S399" s="51">
        <v>800</v>
      </c>
      <c r="T399" s="51">
        <v>100</v>
      </c>
      <c r="U399" s="51">
        <v>0</v>
      </c>
      <c r="V399" s="51">
        <v>100</v>
      </c>
      <c r="W399" s="51">
        <v>0</v>
      </c>
      <c r="X399" s="51">
        <v>0</v>
      </c>
      <c r="Y399" s="51">
        <v>0</v>
      </c>
      <c r="Z399" s="48">
        <v>42000</v>
      </c>
      <c r="AA399" s="48">
        <v>11290</v>
      </c>
      <c r="AB399" s="48">
        <v>16050</v>
      </c>
      <c r="AC399" s="48">
        <v>15611</v>
      </c>
      <c r="AD399" s="55">
        <v>16100</v>
      </c>
      <c r="AE399" s="213">
        <v>13505</v>
      </c>
      <c r="AF399" s="212">
        <v>7100</v>
      </c>
      <c r="AG399" s="121">
        <v>5500</v>
      </c>
      <c r="AH399" s="51">
        <v>9300</v>
      </c>
      <c r="AI399" s="51">
        <v>5608</v>
      </c>
      <c r="AJ399" s="51">
        <v>0</v>
      </c>
      <c r="AK399" s="51">
        <v>0</v>
      </c>
      <c r="AL399" s="14"/>
      <c r="AM399" s="122"/>
      <c r="AN399" s="51">
        <v>0</v>
      </c>
      <c r="AO399" s="51">
        <v>0</v>
      </c>
      <c r="AP399" s="51">
        <v>0</v>
      </c>
      <c r="AQ399" s="47"/>
      <c r="AR399" s="51">
        <v>0</v>
      </c>
      <c r="AS399" s="51">
        <v>0</v>
      </c>
    </row>
    <row r="400" ht="19.5" customHeight="1" hidden="1">
      <c r="A400" t="s" s="220">
        <v>1355</v>
      </c>
      <c r="B400" t="s" s="52">
        <v>414</v>
      </c>
      <c r="C400" t="s" s="130">
        <v>1000</v>
      </c>
      <c r="D400" t="s" s="209">
        <v>713</v>
      </c>
      <c r="E400" s="189"/>
      <c r="F400" t="s" s="210">
        <v>714</v>
      </c>
      <c r="G400" s="211"/>
      <c r="H400" s="42">
        <f>SUM(J400,N400)</f>
        <v>111430</v>
      </c>
      <c r="I400" s="207">
        <f>SUM(Q400,S400,U400,W400,Y400,AA400,AC400,AE400,AG400,AI400,AK400,AM400,AO400,AQ400,AS400)</f>
        <v>76258</v>
      </c>
      <c r="J400" s="43">
        <f>SUM(P400,R400,T400,V400,X400,Z400,AB400,AD400,AF400,AH400,AJ400,AL400,AN400,AP400,AR400)</f>
        <v>111430</v>
      </c>
      <c r="K400" s="44"/>
      <c r="L400" s="6"/>
      <c r="M400" s="6"/>
      <c r="N400" s="14"/>
      <c r="O400" s="122"/>
      <c r="P400" s="27">
        <v>0</v>
      </c>
      <c r="Q400" s="27">
        <v>0</v>
      </c>
      <c r="R400" s="51">
        <v>0</v>
      </c>
      <c r="S400" s="51">
        <v>0</v>
      </c>
      <c r="T400" s="51">
        <v>100</v>
      </c>
      <c r="U400" s="51">
        <v>0</v>
      </c>
      <c r="V400" s="51">
        <v>100</v>
      </c>
      <c r="W400" s="51">
        <v>0</v>
      </c>
      <c r="X400" s="51">
        <v>0</v>
      </c>
      <c r="Y400" s="51">
        <v>0</v>
      </c>
      <c r="Z400" s="48">
        <v>29000</v>
      </c>
      <c r="AA400" s="48">
        <v>9000</v>
      </c>
      <c r="AB400" s="48">
        <v>25480</v>
      </c>
      <c r="AC400" s="48">
        <v>18416</v>
      </c>
      <c r="AD400" s="55">
        <v>21000</v>
      </c>
      <c r="AE400" s="213">
        <v>21933</v>
      </c>
      <c r="AF400" s="212">
        <v>17000</v>
      </c>
      <c r="AG400" s="121">
        <v>13700</v>
      </c>
      <c r="AH400" s="51">
        <v>18750</v>
      </c>
      <c r="AI400" s="51">
        <v>13209</v>
      </c>
      <c r="AJ400" s="51">
        <v>0</v>
      </c>
      <c r="AK400" s="51">
        <v>0</v>
      </c>
      <c r="AL400" s="14"/>
      <c r="AM400" s="122"/>
      <c r="AN400" s="51">
        <v>0</v>
      </c>
      <c r="AO400" s="51">
        <v>0</v>
      </c>
      <c r="AP400" s="51">
        <v>0</v>
      </c>
      <c r="AQ400" s="47"/>
      <c r="AR400" s="51">
        <v>0</v>
      </c>
      <c r="AS400" s="51">
        <v>0</v>
      </c>
    </row>
    <row r="401" ht="19.5" customHeight="1" hidden="1">
      <c r="A401" t="s" s="88">
        <v>1356</v>
      </c>
      <c r="B401" t="s" s="67">
        <v>415</v>
      </c>
      <c r="C401" s="228"/>
      <c r="D401" s="228"/>
      <c r="E401" s="189"/>
      <c r="F401" s="182">
        <v>0</v>
      </c>
      <c r="G401" s="183"/>
      <c r="H401" s="42">
        <f>SUM(J401,N401)</f>
        <v>0</v>
      </c>
      <c r="I401" s="207">
        <f>SUM(Q401,S401,U401,W401,Y401,AA401,AC401,AE401,AG401,AI401,AK401,AM401,AO401,AQ401,AS401)</f>
        <v>0</v>
      </c>
      <c r="J401" s="43">
        <f>SUM(P401,R401,T401,V401,X401,Z401,AB401,AD401,AF401,AH401,AJ401,AL401,AN401,AP401,AR401)</f>
        <v>0</v>
      </c>
      <c r="K401" s="44"/>
      <c r="L401" s="6"/>
      <c r="M401" s="6"/>
      <c r="N401" s="14"/>
      <c r="O401" s="122"/>
      <c r="P401" s="46"/>
      <c r="Q401" s="46"/>
      <c r="R401" s="47"/>
      <c r="S401" s="47"/>
      <c r="T401" s="47"/>
      <c r="U401" s="47"/>
      <c r="V401" s="47"/>
      <c r="W401" s="47"/>
      <c r="X401" s="47"/>
      <c r="Y401" s="47"/>
      <c r="Z401" s="48">
        <v>0</v>
      </c>
      <c r="AA401" s="48">
        <v>0</v>
      </c>
      <c r="AB401" s="49"/>
      <c r="AC401" s="49"/>
      <c r="AD401" s="50"/>
      <c r="AE401" s="50"/>
      <c r="AF401" s="14"/>
      <c r="AG401" s="122"/>
      <c r="AH401" s="51">
        <v>0</v>
      </c>
      <c r="AI401" s="51">
        <v>0</v>
      </c>
      <c r="AJ401" s="47"/>
      <c r="AK401" s="47"/>
      <c r="AL401" s="14"/>
      <c r="AM401" s="122"/>
      <c r="AN401" s="47"/>
      <c r="AO401" s="47"/>
      <c r="AP401" s="47"/>
      <c r="AQ401" s="47"/>
      <c r="AR401" s="51">
        <v>0</v>
      </c>
      <c r="AS401" s="51">
        <v>0</v>
      </c>
    </row>
    <row r="402" ht="47.25" customHeight="1" hidden="1">
      <c r="A402" t="s" s="59">
        <v>1357</v>
      </c>
      <c r="B402" t="s" s="21">
        <v>416</v>
      </c>
      <c r="C402" t="s" s="59">
        <v>782</v>
      </c>
      <c r="D402" t="s" s="190">
        <v>717</v>
      </c>
      <c r="E402" s="191"/>
      <c r="F402" t="s" s="192">
        <v>714</v>
      </c>
      <c r="G402" s="193"/>
      <c r="H402" s="194">
        <f>SUM(J402,N402)</f>
        <v>460</v>
      </c>
      <c r="I402" s="195">
        <f>SUM(Q402,S402,U402,W402,Y402,AA402,AC402,AE402,AG402,AI402,AK402,AM402,AO402,AQ402,AS402)</f>
        <v>0</v>
      </c>
      <c r="J402" s="23">
        <f>SUM(P402,R402,T402,V402,X402,Z402,AB402,AD402,AF402,AH402,AJ402,AL402,AN402,AP402,AR402)</f>
        <v>460</v>
      </c>
      <c r="K402" s="36"/>
      <c r="L402" s="196"/>
      <c r="M402" s="196"/>
      <c r="N402" s="196"/>
      <c r="O402" s="197"/>
      <c r="P402" s="27">
        <v>200</v>
      </c>
      <c r="Q402" s="27">
        <v>0</v>
      </c>
      <c r="R402" s="28">
        <v>200</v>
      </c>
      <c r="S402" s="28">
        <v>0</v>
      </c>
      <c r="T402" s="28">
        <v>10</v>
      </c>
      <c r="U402" s="28">
        <v>0</v>
      </c>
      <c r="V402" s="28">
        <v>50</v>
      </c>
      <c r="W402" s="28">
        <v>0</v>
      </c>
      <c r="X402" s="28">
        <v>0</v>
      </c>
      <c r="Y402" s="28">
        <v>0</v>
      </c>
      <c r="Z402" s="30">
        <v>0</v>
      </c>
      <c r="AA402" s="30">
        <v>0</v>
      </c>
      <c r="AB402" s="30">
        <v>0</v>
      </c>
      <c r="AC402" s="30">
        <v>0</v>
      </c>
      <c r="AD402" s="30">
        <v>0</v>
      </c>
      <c r="AE402" s="30">
        <v>0</v>
      </c>
      <c r="AF402" s="198">
        <v>0</v>
      </c>
      <c r="AG402" s="206">
        <v>0</v>
      </c>
      <c r="AH402" s="28">
        <v>0</v>
      </c>
      <c r="AI402" s="28">
        <v>0</v>
      </c>
      <c r="AJ402" s="28">
        <v>0</v>
      </c>
      <c r="AK402" s="28">
        <v>0</v>
      </c>
      <c r="AL402" s="202"/>
      <c r="AM402" s="197"/>
      <c r="AN402" s="28">
        <v>0</v>
      </c>
      <c r="AO402" s="28">
        <v>0</v>
      </c>
      <c r="AP402" s="28">
        <v>0</v>
      </c>
      <c r="AQ402" s="87"/>
      <c r="AR402" s="28">
        <v>0</v>
      </c>
      <c r="AS402" s="28">
        <v>0</v>
      </c>
    </row>
    <row r="403" ht="47.25" customHeight="1" hidden="1">
      <c r="A403" t="s" s="220">
        <v>1358</v>
      </c>
      <c r="B403" t="s" s="52">
        <v>417</v>
      </c>
      <c r="C403" t="s" s="130">
        <v>782</v>
      </c>
      <c r="D403" t="s" s="209">
        <v>717</v>
      </c>
      <c r="E403" s="189"/>
      <c r="F403" t="s" s="210">
        <v>714</v>
      </c>
      <c r="G403" s="211"/>
      <c r="H403" s="42">
        <f>SUM(J403,N403)</f>
        <v>11000</v>
      </c>
      <c r="I403" s="207">
        <f>SUM(Q403,S403,U403,W403,Y403,AA403,AC403,AE403,AG403,AI403,AK403,AM403,AO403,AQ403,AS403)</f>
        <v>6595</v>
      </c>
      <c r="J403" s="43">
        <f>SUM(P403,R403,T403,V403,X403,Z403,AB403,AD403,AF403,AH403,AJ403,AL403,AN403,AP403,AR403)</f>
        <v>11000</v>
      </c>
      <c r="K403" s="44"/>
      <c r="L403" s="6"/>
      <c r="M403" s="6"/>
      <c r="N403" s="14"/>
      <c r="O403" s="122"/>
      <c r="P403" s="27">
        <v>300</v>
      </c>
      <c r="Q403" s="27">
        <v>200</v>
      </c>
      <c r="R403" s="51">
        <v>1000</v>
      </c>
      <c r="S403" s="51">
        <v>1000</v>
      </c>
      <c r="T403" s="51">
        <v>6000</v>
      </c>
      <c r="U403" s="51">
        <v>2985</v>
      </c>
      <c r="V403" s="51">
        <v>2000</v>
      </c>
      <c r="W403" s="51">
        <v>1910</v>
      </c>
      <c r="X403" s="51">
        <v>1700</v>
      </c>
      <c r="Y403" s="51">
        <v>500</v>
      </c>
      <c r="Z403" s="48">
        <v>0</v>
      </c>
      <c r="AA403" s="48">
        <v>0</v>
      </c>
      <c r="AB403" s="48">
        <v>0</v>
      </c>
      <c r="AC403" s="48">
        <v>0</v>
      </c>
      <c r="AD403" s="55">
        <v>0</v>
      </c>
      <c r="AE403" s="213">
        <v>0</v>
      </c>
      <c r="AF403" s="212">
        <v>0</v>
      </c>
      <c r="AG403" s="121">
        <v>0</v>
      </c>
      <c r="AH403" s="51">
        <v>0</v>
      </c>
      <c r="AI403" s="51">
        <v>0</v>
      </c>
      <c r="AJ403" s="51">
        <v>0</v>
      </c>
      <c r="AK403" s="51">
        <v>0</v>
      </c>
      <c r="AL403" s="14"/>
      <c r="AM403" s="122"/>
      <c r="AN403" s="51">
        <v>0</v>
      </c>
      <c r="AO403" s="51">
        <v>0</v>
      </c>
      <c r="AP403" s="51">
        <v>0</v>
      </c>
      <c r="AQ403" s="47"/>
      <c r="AR403" s="51">
        <v>0</v>
      </c>
      <c r="AS403" s="51">
        <v>0</v>
      </c>
    </row>
    <row r="404" ht="19.5" customHeight="1" hidden="1">
      <c r="A404" t="s" s="88">
        <v>1359</v>
      </c>
      <c r="B404" t="s" s="67">
        <v>418</v>
      </c>
      <c r="C404" s="228"/>
      <c r="D404" s="228"/>
      <c r="E404" s="189"/>
      <c r="F404" s="182">
        <v>0</v>
      </c>
      <c r="G404" s="183"/>
      <c r="H404" s="42">
        <f>SUM(J404,N404)</f>
        <v>0</v>
      </c>
      <c r="I404" s="207">
        <f>SUM(Q404,S404,U404,W404,Y404,AA404,AC404,AE404,AG404,AI404,AK404,AM404,AO404,AQ404,AS404)</f>
        <v>0</v>
      </c>
      <c r="J404" s="43">
        <f>SUM(P404,R404,T404,V404,X404,Z404,AB404,AD404,AF404,AH404,AJ404,AL404,AN404,AP404,AR404)</f>
        <v>0</v>
      </c>
      <c r="K404" s="44"/>
      <c r="L404" s="6"/>
      <c r="M404" s="6"/>
      <c r="N404" s="14"/>
      <c r="O404" s="122"/>
      <c r="P404" s="46"/>
      <c r="Q404" s="46"/>
      <c r="R404" s="47"/>
      <c r="S404" s="47"/>
      <c r="T404" s="47"/>
      <c r="U404" s="47"/>
      <c r="V404" s="47"/>
      <c r="W404" s="47"/>
      <c r="X404" s="47"/>
      <c r="Y404" s="47"/>
      <c r="Z404" s="48">
        <v>0</v>
      </c>
      <c r="AA404" s="48">
        <v>0</v>
      </c>
      <c r="AB404" s="49"/>
      <c r="AC404" s="49"/>
      <c r="AD404" s="50"/>
      <c r="AE404" s="50"/>
      <c r="AF404" s="14"/>
      <c r="AG404" s="122"/>
      <c r="AH404" s="51">
        <v>0</v>
      </c>
      <c r="AI404" s="51">
        <v>0</v>
      </c>
      <c r="AJ404" s="47"/>
      <c r="AK404" s="47"/>
      <c r="AL404" s="14"/>
      <c r="AM404" s="122"/>
      <c r="AN404" s="47"/>
      <c r="AO404" s="47"/>
      <c r="AP404" s="47"/>
      <c r="AQ404" s="47"/>
      <c r="AR404" s="51">
        <v>0</v>
      </c>
      <c r="AS404" s="51">
        <v>0</v>
      </c>
    </row>
    <row r="405" ht="97.5" customHeight="1" hidden="1">
      <c r="A405" t="s" s="103">
        <v>1360</v>
      </c>
      <c r="B405" t="s" s="10">
        <v>419</v>
      </c>
      <c r="C405" t="s" s="103">
        <v>910</v>
      </c>
      <c r="D405" t="s" s="66">
        <v>713</v>
      </c>
      <c r="E405" t="s" s="219">
        <v>1361</v>
      </c>
      <c r="F405" t="s" s="101">
        <v>714</v>
      </c>
      <c r="G405" s="203"/>
      <c r="H405" s="204">
        <f>SUM(J405,N405)</f>
        <v>57300</v>
      </c>
      <c r="I405" s="205">
        <f>SUM(Q405,S405,U405,W405,Y405,AA405,AC405,AE405,AG405,AI405,AK405,AM405,AO405,AQ405,AS405)</f>
        <v>7050</v>
      </c>
      <c r="J405" s="35">
        <f>SUM(P405,R405,T405,V405,X405,Z405,AB405,AD405,AF405,AH405,AJ405,AL405,AN405,AP405,AR405)</f>
        <v>57300</v>
      </c>
      <c r="K405" s="36"/>
      <c r="L405" s="196"/>
      <c r="M405" s="196"/>
      <c r="N405" s="196"/>
      <c r="O405" s="197"/>
      <c r="P405" s="27">
        <v>25000</v>
      </c>
      <c r="Q405" s="27">
        <v>7050</v>
      </c>
      <c r="R405" s="38">
        <v>0</v>
      </c>
      <c r="S405" s="38">
        <v>0</v>
      </c>
      <c r="T405" s="38">
        <v>0</v>
      </c>
      <c r="U405" s="38">
        <v>0</v>
      </c>
      <c r="V405" s="38">
        <v>100</v>
      </c>
      <c r="W405" s="38">
        <v>0</v>
      </c>
      <c r="X405" s="38">
        <v>0</v>
      </c>
      <c r="Y405" s="38">
        <v>0</v>
      </c>
      <c r="Z405" s="40">
        <v>0</v>
      </c>
      <c r="AA405" s="40">
        <v>0</v>
      </c>
      <c r="AB405" s="40">
        <v>0</v>
      </c>
      <c r="AC405" s="40">
        <v>0</v>
      </c>
      <c r="AD405" s="40">
        <v>0</v>
      </c>
      <c r="AE405" s="40">
        <v>0</v>
      </c>
      <c r="AF405" s="198">
        <v>0</v>
      </c>
      <c r="AG405" s="206">
        <v>0</v>
      </c>
      <c r="AH405" s="38">
        <v>0</v>
      </c>
      <c r="AI405" s="38">
        <v>0</v>
      </c>
      <c r="AJ405" s="38">
        <v>32000</v>
      </c>
      <c r="AK405" s="38">
        <v>0</v>
      </c>
      <c r="AL405" s="275">
        <v>200</v>
      </c>
      <c r="AM405" s="275">
        <v>0</v>
      </c>
      <c r="AN405" s="38">
        <v>0</v>
      </c>
      <c r="AO405" s="38">
        <v>0</v>
      </c>
      <c r="AP405" s="38">
        <v>0</v>
      </c>
      <c r="AQ405" s="80"/>
      <c r="AR405" s="38">
        <v>0</v>
      </c>
      <c r="AS405" s="38">
        <v>0</v>
      </c>
    </row>
    <row r="406" ht="47.25" customHeight="1" hidden="1">
      <c r="A406" t="s" s="59">
        <v>1362</v>
      </c>
      <c r="B406" t="s" s="21">
        <v>420</v>
      </c>
      <c r="C406" t="s" s="59">
        <v>1273</v>
      </c>
      <c r="D406" t="s" s="190">
        <v>713</v>
      </c>
      <c r="E406" t="s" s="216">
        <v>1363</v>
      </c>
      <c r="F406" t="s" s="192">
        <v>714</v>
      </c>
      <c r="G406" s="193"/>
      <c r="H406" s="194">
        <f>SUM(J406,N406)</f>
        <v>30100</v>
      </c>
      <c r="I406" s="195">
        <f>SUM(Q406,S406,U406,W406,Y406,AA406,AC406,AE406,AG406,AI406,AK406,AM406,AO406,AQ406,AS406)</f>
        <v>5280</v>
      </c>
      <c r="J406" s="23">
        <f>SUM(P406,R406,T406,V406,X406,Z406,AB406,AD406,AF406,AH406,AJ406,AL406,AN406,AP406,AR406)</f>
        <v>30100</v>
      </c>
      <c r="K406" s="36"/>
      <c r="L406" s="196"/>
      <c r="M406" s="196"/>
      <c r="N406" s="196"/>
      <c r="O406" s="197"/>
      <c r="P406" s="27">
        <v>10000</v>
      </c>
      <c r="Q406" s="27">
        <v>5280</v>
      </c>
      <c r="R406" s="28">
        <v>0</v>
      </c>
      <c r="S406" s="28">
        <v>0</v>
      </c>
      <c r="T406" s="28">
        <v>0</v>
      </c>
      <c r="U406" s="28">
        <v>0</v>
      </c>
      <c r="V406" s="28">
        <v>100</v>
      </c>
      <c r="W406" s="28">
        <v>0</v>
      </c>
      <c r="X406" s="28">
        <v>10000</v>
      </c>
      <c r="Y406" s="28">
        <v>0</v>
      </c>
      <c r="Z406" s="30">
        <v>0</v>
      </c>
      <c r="AA406" s="30">
        <v>0</v>
      </c>
      <c r="AB406" s="30">
        <v>0</v>
      </c>
      <c r="AC406" s="30">
        <v>0</v>
      </c>
      <c r="AD406" s="30">
        <v>0</v>
      </c>
      <c r="AE406" s="30">
        <v>0</v>
      </c>
      <c r="AF406" s="198">
        <v>0</v>
      </c>
      <c r="AG406" s="206">
        <v>0</v>
      </c>
      <c r="AH406" s="28">
        <v>0</v>
      </c>
      <c r="AI406" s="28">
        <v>0</v>
      </c>
      <c r="AJ406" s="28">
        <v>10000</v>
      </c>
      <c r="AK406" s="28">
        <v>0</v>
      </c>
      <c r="AL406" s="202"/>
      <c r="AM406" s="197"/>
      <c r="AN406" s="28">
        <v>0</v>
      </c>
      <c r="AO406" s="28">
        <v>0</v>
      </c>
      <c r="AP406" s="28">
        <v>0</v>
      </c>
      <c r="AQ406" s="87"/>
      <c r="AR406" s="28">
        <v>0</v>
      </c>
      <c r="AS406" s="28">
        <v>0</v>
      </c>
    </row>
    <row r="407" ht="39" customHeight="1" hidden="1">
      <c r="A407" t="s" s="130">
        <v>1364</v>
      </c>
      <c r="B407" t="s" s="52">
        <v>421</v>
      </c>
      <c r="C407" t="s" s="130">
        <v>971</v>
      </c>
      <c r="D407" t="s" s="209">
        <v>791</v>
      </c>
      <c r="E407" t="s" s="217">
        <v>1365</v>
      </c>
      <c r="F407" t="s" s="210">
        <v>720</v>
      </c>
      <c r="G407" s="211"/>
      <c r="H407" s="42">
        <f>SUM(J407,N407)</f>
        <v>17518</v>
      </c>
      <c r="I407" s="207">
        <f>SUM(Q407,S407,U407,W407,Y407,AA407,AC407,AE407,AG407,AI407,AK407,AM407,AO407,AQ407,AS407)</f>
        <v>1889</v>
      </c>
      <c r="J407" s="43">
        <f>SUM(P407,R407,T407,V407,X407,Z407,AB407,AD407,AF407,AH407,AJ407,AL407,AN407,AP407,AR407)</f>
        <v>17518</v>
      </c>
      <c r="K407" s="44"/>
      <c r="L407" s="6"/>
      <c r="M407" s="6"/>
      <c r="N407" s="14"/>
      <c r="O407" s="122"/>
      <c r="P407" s="27">
        <v>0</v>
      </c>
      <c r="Q407" s="27">
        <v>0</v>
      </c>
      <c r="R407" s="51">
        <v>3000</v>
      </c>
      <c r="S407" s="51">
        <v>212</v>
      </c>
      <c r="T407" s="51">
        <v>3000</v>
      </c>
      <c r="U407" s="51">
        <v>96</v>
      </c>
      <c r="V407" s="51">
        <v>800</v>
      </c>
      <c r="W407" s="51">
        <v>96</v>
      </c>
      <c r="X407" s="51">
        <v>90</v>
      </c>
      <c r="Y407" s="51">
        <v>96</v>
      </c>
      <c r="Z407" s="48">
        <v>0</v>
      </c>
      <c r="AA407" s="48">
        <v>0</v>
      </c>
      <c r="AB407" s="48">
        <v>3170</v>
      </c>
      <c r="AC407" s="48">
        <v>290</v>
      </c>
      <c r="AD407" s="55">
        <v>3280</v>
      </c>
      <c r="AE407" s="213">
        <v>139</v>
      </c>
      <c r="AF407" s="212">
        <v>2500</v>
      </c>
      <c r="AG407" s="121">
        <v>750</v>
      </c>
      <c r="AH407" s="51">
        <v>1678</v>
      </c>
      <c r="AI407" s="51">
        <v>210</v>
      </c>
      <c r="AJ407" s="51">
        <v>0</v>
      </c>
      <c r="AK407" s="51">
        <v>0</v>
      </c>
      <c r="AL407" s="14"/>
      <c r="AM407" s="122"/>
      <c r="AN407" s="51">
        <v>0</v>
      </c>
      <c r="AO407" s="51">
        <v>0</v>
      </c>
      <c r="AP407" s="51">
        <v>0</v>
      </c>
      <c r="AQ407" s="47"/>
      <c r="AR407" s="51">
        <v>0</v>
      </c>
      <c r="AS407" s="51">
        <v>0</v>
      </c>
    </row>
    <row r="408" ht="19.5" customHeight="1" hidden="1">
      <c r="A408" t="s" s="88">
        <v>1366</v>
      </c>
      <c r="B408" t="s" s="67">
        <v>422</v>
      </c>
      <c r="C408" s="228"/>
      <c r="D408" s="228"/>
      <c r="E408" s="189"/>
      <c r="F408" s="182">
        <v>0</v>
      </c>
      <c r="G408" s="183"/>
      <c r="H408" s="42">
        <f>SUM(J408,N408)</f>
        <v>2700</v>
      </c>
      <c r="I408" s="207">
        <f>SUM(Q408,S408,U408,W408,Y408,AA408,AC408,AE408,AG408,AI408,AK408,AM408,AO408,AQ408,AS408)</f>
        <v>0</v>
      </c>
      <c r="J408" s="43">
        <f>SUM(P408,R408,T408,V408,X408,Z408,AB408,AD408,AF408,AH408,AJ408,AL408,AN408,AP408,AR408)</f>
        <v>2700</v>
      </c>
      <c r="K408" s="44"/>
      <c r="L408" s="6"/>
      <c r="M408" s="6"/>
      <c r="N408" s="14"/>
      <c r="O408" s="122"/>
      <c r="P408" s="46"/>
      <c r="Q408" s="46"/>
      <c r="R408" s="47"/>
      <c r="S408" s="47"/>
      <c r="T408" s="47"/>
      <c r="U408" s="47"/>
      <c r="V408" s="47"/>
      <c r="W408" s="47"/>
      <c r="X408" s="47"/>
      <c r="Y408" s="47"/>
      <c r="Z408" s="48">
        <v>2700</v>
      </c>
      <c r="AA408" s="48">
        <v>0</v>
      </c>
      <c r="AB408" s="49"/>
      <c r="AC408" s="49"/>
      <c r="AD408" s="50"/>
      <c r="AE408" s="50"/>
      <c r="AF408" s="14"/>
      <c r="AG408" s="122"/>
      <c r="AH408" s="51">
        <v>0</v>
      </c>
      <c r="AI408" s="51">
        <v>0</v>
      </c>
      <c r="AJ408" s="47"/>
      <c r="AK408" s="47"/>
      <c r="AL408" s="14"/>
      <c r="AM408" s="122"/>
      <c r="AN408" s="47"/>
      <c r="AO408" s="47"/>
      <c r="AP408" s="47"/>
      <c r="AQ408" s="47"/>
      <c r="AR408" s="51">
        <v>0</v>
      </c>
      <c r="AS408" s="51">
        <v>0</v>
      </c>
    </row>
    <row r="409" ht="63" customHeight="1" hidden="1">
      <c r="A409" t="s" s="59">
        <v>1367</v>
      </c>
      <c r="B409" t="s" s="21">
        <v>423</v>
      </c>
      <c r="C409" t="s" s="59">
        <v>782</v>
      </c>
      <c r="D409" t="s" s="190">
        <v>713</v>
      </c>
      <c r="E409" t="s" s="253">
        <v>1368</v>
      </c>
      <c r="F409" t="s" s="192">
        <v>714</v>
      </c>
      <c r="G409" s="193"/>
      <c r="H409" s="194">
        <f>SUM(J409,N409)</f>
        <v>2060</v>
      </c>
      <c r="I409" s="195">
        <f>SUM(Q409,S409,U409,W409,Y409,AA409,AC409,AE409,AG409,AI409,AK409,AM409,AO409,AQ409,AS409)</f>
        <v>150</v>
      </c>
      <c r="J409" s="23">
        <f>SUM(P409,R409,T409,V409,X409,Z409,AB409,AD409,AF409,AH409,AJ409,AL409,AN409,AP409,AR409)</f>
        <v>2060</v>
      </c>
      <c r="K409" s="36"/>
      <c r="L409" s="196"/>
      <c r="M409" s="196"/>
      <c r="N409" s="196"/>
      <c r="O409" s="197"/>
      <c r="P409" s="27">
        <v>0</v>
      </c>
      <c r="Q409" s="27">
        <v>0</v>
      </c>
      <c r="R409" s="28">
        <v>1000</v>
      </c>
      <c r="S409" s="28">
        <v>0</v>
      </c>
      <c r="T409" s="28">
        <v>200</v>
      </c>
      <c r="U409" s="28">
        <v>150</v>
      </c>
      <c r="V409" s="28">
        <v>800</v>
      </c>
      <c r="W409" s="28">
        <v>0</v>
      </c>
      <c r="X409" s="28">
        <v>0</v>
      </c>
      <c r="Y409" s="28">
        <v>0</v>
      </c>
      <c r="Z409" s="30">
        <v>10</v>
      </c>
      <c r="AA409" s="30">
        <v>0</v>
      </c>
      <c r="AB409" s="30">
        <v>50</v>
      </c>
      <c r="AC409" s="30">
        <v>0</v>
      </c>
      <c r="AD409" s="30">
        <v>0</v>
      </c>
      <c r="AE409" s="30">
        <v>0</v>
      </c>
      <c r="AF409" s="198">
        <v>0</v>
      </c>
      <c r="AG409" s="206">
        <v>0</v>
      </c>
      <c r="AH409" s="28">
        <v>0</v>
      </c>
      <c r="AI409" s="28">
        <v>0</v>
      </c>
      <c r="AJ409" s="28">
        <v>0</v>
      </c>
      <c r="AK409" s="28">
        <v>0</v>
      </c>
      <c r="AL409" s="202"/>
      <c r="AM409" s="197"/>
      <c r="AN409" s="28">
        <v>0</v>
      </c>
      <c r="AO409" s="28">
        <v>0</v>
      </c>
      <c r="AP409" s="28">
        <v>0</v>
      </c>
      <c r="AQ409" s="87"/>
      <c r="AR409" s="28">
        <v>0</v>
      </c>
      <c r="AS409" s="28">
        <v>0</v>
      </c>
    </row>
    <row r="410" ht="78.75" customHeight="1" hidden="1">
      <c r="A410" t="s" s="59">
        <v>1369</v>
      </c>
      <c r="B410" t="s" s="21">
        <v>424</v>
      </c>
      <c r="C410" t="s" s="59">
        <v>782</v>
      </c>
      <c r="D410" t="s" s="190">
        <v>713</v>
      </c>
      <c r="E410" s="281">
        <v>1197</v>
      </c>
      <c r="F410" t="s" s="192">
        <v>714</v>
      </c>
      <c r="G410" s="193"/>
      <c r="H410" s="194">
        <f>SUM(J410,N410)</f>
        <v>3200</v>
      </c>
      <c r="I410" s="195">
        <f>SUM(Q410,S410,U410,W410,Y410,AA410,AC410,AE410,AG410,AI410,AK410,AM410,AO410,AQ410,AS410)</f>
        <v>1730</v>
      </c>
      <c r="J410" s="23">
        <f>SUM(P410,R410,T410,V410,X410,Z410,AB410,AD410,AF410,AH410,AJ410,AL410,AN410,AP410,AR410)</f>
        <v>3200</v>
      </c>
      <c r="K410" s="36"/>
      <c r="L410" s="196"/>
      <c r="M410" s="196"/>
      <c r="N410" s="196"/>
      <c r="O410" s="197"/>
      <c r="P410" s="27">
        <v>1000</v>
      </c>
      <c r="Q410" s="27">
        <v>530</v>
      </c>
      <c r="R410" s="28">
        <v>1600</v>
      </c>
      <c r="S410" s="28">
        <v>740</v>
      </c>
      <c r="T410" s="28">
        <v>200</v>
      </c>
      <c r="U410" s="28">
        <v>150</v>
      </c>
      <c r="V410" s="28">
        <v>400</v>
      </c>
      <c r="W410" s="28">
        <v>310</v>
      </c>
      <c r="X410" s="28">
        <v>0</v>
      </c>
      <c r="Y410" s="28">
        <v>0</v>
      </c>
      <c r="Z410" s="30">
        <v>0</v>
      </c>
      <c r="AA410" s="30">
        <v>0</v>
      </c>
      <c r="AB410" s="30">
        <v>0</v>
      </c>
      <c r="AC410" s="30">
        <v>0</v>
      </c>
      <c r="AD410" s="30">
        <v>0</v>
      </c>
      <c r="AE410" s="30">
        <v>0</v>
      </c>
      <c r="AF410" s="198">
        <v>0</v>
      </c>
      <c r="AG410" s="206">
        <v>0</v>
      </c>
      <c r="AH410" s="28">
        <v>0</v>
      </c>
      <c r="AI410" s="28">
        <v>0</v>
      </c>
      <c r="AJ410" s="28">
        <v>0</v>
      </c>
      <c r="AK410" s="28">
        <v>0</v>
      </c>
      <c r="AL410" s="202"/>
      <c r="AM410" s="197"/>
      <c r="AN410" s="28">
        <v>0</v>
      </c>
      <c r="AO410" s="28">
        <v>0</v>
      </c>
      <c r="AP410" s="28">
        <v>0</v>
      </c>
      <c r="AQ410" s="87"/>
      <c r="AR410" s="28">
        <v>0</v>
      </c>
      <c r="AS410" s="28">
        <v>0</v>
      </c>
    </row>
    <row r="411" ht="19.5" customHeight="1" hidden="1">
      <c r="A411" t="s" s="88">
        <v>1370</v>
      </c>
      <c r="B411" t="s" s="67">
        <v>425</v>
      </c>
      <c r="C411" s="228"/>
      <c r="D411" s="228"/>
      <c r="E411" s="189"/>
      <c r="F411" s="182">
        <v>0</v>
      </c>
      <c r="G411" s="183"/>
      <c r="H411" s="42">
        <f>SUM(J411,N411)</f>
        <v>0</v>
      </c>
      <c r="I411" s="207">
        <f>SUM(Q411,S411,U411,W411,Y411,AA411,AC411,AE411,AG411,AI411,AK411,AM411,AO411,AQ411,AS411)</f>
        <v>0</v>
      </c>
      <c r="J411" s="43">
        <f>SUM(P411,R411,T411,V411,X411,Z411,AB411,AD411,AF411,AH411,AJ411,AL411,AN411,AP411,AR411)</f>
        <v>0</v>
      </c>
      <c r="K411" s="44"/>
      <c r="L411" s="6"/>
      <c r="M411" s="6"/>
      <c r="N411" s="14"/>
      <c r="O411" s="122"/>
      <c r="P411" s="46"/>
      <c r="Q411" s="46"/>
      <c r="R411" s="47"/>
      <c r="S411" s="47"/>
      <c r="T411" s="47"/>
      <c r="U411" s="47"/>
      <c r="V411" s="47"/>
      <c r="W411" s="47"/>
      <c r="X411" s="47"/>
      <c r="Y411" s="47"/>
      <c r="Z411" s="48">
        <v>0</v>
      </c>
      <c r="AA411" s="48">
        <v>0</v>
      </c>
      <c r="AB411" s="49"/>
      <c r="AC411" s="49"/>
      <c r="AD411" s="50"/>
      <c r="AE411" s="50"/>
      <c r="AF411" s="14"/>
      <c r="AG411" s="122"/>
      <c r="AH411" s="51">
        <v>0</v>
      </c>
      <c r="AI411" s="51">
        <v>0</v>
      </c>
      <c r="AJ411" s="47"/>
      <c r="AK411" s="47"/>
      <c r="AL411" s="14"/>
      <c r="AM411" s="122"/>
      <c r="AN411" s="47"/>
      <c r="AO411" s="47"/>
      <c r="AP411" s="47"/>
      <c r="AQ411" s="47"/>
      <c r="AR411" s="51">
        <v>0</v>
      </c>
      <c r="AS411" s="51">
        <v>0</v>
      </c>
    </row>
    <row r="412" ht="63" customHeight="1" hidden="1">
      <c r="A412" t="s" s="130">
        <v>1371</v>
      </c>
      <c r="B412" t="s" s="52">
        <v>426</v>
      </c>
      <c r="C412" t="s" s="130">
        <v>761</v>
      </c>
      <c r="D412" t="s" s="209">
        <v>713</v>
      </c>
      <c r="E412" t="s" s="132">
        <v>1372</v>
      </c>
      <c r="F412" t="s" s="210">
        <v>720</v>
      </c>
      <c r="G412" s="211"/>
      <c r="H412" s="42">
        <f>SUM(J412,N412)</f>
        <v>842590</v>
      </c>
      <c r="I412" s="207">
        <f>SUM(Q412,S412,U412,W412,Y412,AA412,AC412,AE412,AG412,AI412,AK412,AM412,AO412,AQ412,AS412)</f>
        <v>468100</v>
      </c>
      <c r="J412" s="43">
        <f>SUM(P412,R412,T412,V412,X412,Z412,AB412,AD412,AF412,AH412,AJ412,AL412,AN412,AP412,AR412)</f>
        <v>842590</v>
      </c>
      <c r="K412" s="44"/>
      <c r="L412" s="6"/>
      <c r="M412" s="6"/>
      <c r="N412" s="14"/>
      <c r="O412" s="122"/>
      <c r="P412" s="27">
        <v>5000</v>
      </c>
      <c r="Q412" s="27">
        <v>6610</v>
      </c>
      <c r="R412" s="51">
        <v>99990</v>
      </c>
      <c r="S412" s="51">
        <v>77250</v>
      </c>
      <c r="T412" s="51">
        <v>40000</v>
      </c>
      <c r="U412" s="51">
        <v>30630</v>
      </c>
      <c r="V412" s="51">
        <v>50000</v>
      </c>
      <c r="W412" s="51">
        <v>53100</v>
      </c>
      <c r="X412" s="51">
        <v>0</v>
      </c>
      <c r="Y412" s="51">
        <v>0</v>
      </c>
      <c r="Z412" s="48">
        <v>275000</v>
      </c>
      <c r="AA412" s="48">
        <v>181000</v>
      </c>
      <c r="AB412" s="48">
        <v>145100</v>
      </c>
      <c r="AC412" s="48">
        <v>34540</v>
      </c>
      <c r="AD412" s="55">
        <v>180000</v>
      </c>
      <c r="AE412" s="213">
        <v>58200</v>
      </c>
      <c r="AF412" s="212">
        <v>28500</v>
      </c>
      <c r="AG412" s="121">
        <v>20200</v>
      </c>
      <c r="AH412" s="51">
        <v>16000</v>
      </c>
      <c r="AI412" s="51">
        <v>6570</v>
      </c>
      <c r="AJ412" s="51">
        <v>3000</v>
      </c>
      <c r="AK412" s="51">
        <v>0</v>
      </c>
      <c r="AL412" s="14"/>
      <c r="AM412" s="122"/>
      <c r="AN412" s="51">
        <v>0</v>
      </c>
      <c r="AO412" s="51">
        <v>0</v>
      </c>
      <c r="AP412" s="51">
        <v>0</v>
      </c>
      <c r="AQ412" s="47"/>
      <c r="AR412" s="51">
        <v>0</v>
      </c>
      <c r="AS412" s="51">
        <v>0</v>
      </c>
    </row>
    <row r="413" ht="19.5" customHeight="1" hidden="1">
      <c r="A413" t="s" s="88">
        <v>1373</v>
      </c>
      <c r="B413" t="s" s="67">
        <v>427</v>
      </c>
      <c r="C413" s="228"/>
      <c r="D413" s="228"/>
      <c r="E413" s="189"/>
      <c r="F413" s="182">
        <v>0</v>
      </c>
      <c r="G413" s="183"/>
      <c r="H413" s="42">
        <f>SUM(J413,N413)</f>
        <v>0</v>
      </c>
      <c r="I413" s="207">
        <f>SUM(Q413,S413,U413,W413,Y413,AA413,AC413,AE413,AG413,AI413,AK413,AM413,AO413,AQ413,AS413)</f>
        <v>0</v>
      </c>
      <c r="J413" s="43">
        <f>SUM(P413,R413,T413,V413,X413,Z413,AB413,AD413,AF413,AH413,AJ413,AL413,AN413,AP413,AR413)</f>
        <v>0</v>
      </c>
      <c r="K413" s="44"/>
      <c r="L413" s="6"/>
      <c r="M413" s="6"/>
      <c r="N413" s="14"/>
      <c r="O413" s="122"/>
      <c r="P413" s="46"/>
      <c r="Q413" s="46"/>
      <c r="R413" s="47"/>
      <c r="S413" s="47"/>
      <c r="T413" s="47"/>
      <c r="U413" s="47"/>
      <c r="V413" s="47"/>
      <c r="W413" s="47"/>
      <c r="X413" s="47"/>
      <c r="Y413" s="47"/>
      <c r="Z413" s="48">
        <v>0</v>
      </c>
      <c r="AA413" s="48">
        <v>0</v>
      </c>
      <c r="AB413" s="49"/>
      <c r="AC413" s="49"/>
      <c r="AD413" s="50"/>
      <c r="AE413" s="50"/>
      <c r="AF413" s="14"/>
      <c r="AG413" s="122"/>
      <c r="AH413" s="51">
        <v>0</v>
      </c>
      <c r="AI413" s="51">
        <v>0</v>
      </c>
      <c r="AJ413" s="47"/>
      <c r="AK413" s="47"/>
      <c r="AL413" s="14"/>
      <c r="AM413" s="122"/>
      <c r="AN413" s="47"/>
      <c r="AO413" s="47"/>
      <c r="AP413" s="47"/>
      <c r="AQ413" s="47"/>
      <c r="AR413" s="51">
        <v>0</v>
      </c>
      <c r="AS413" s="51">
        <v>0</v>
      </c>
    </row>
    <row r="414" ht="283.5" customHeight="1" hidden="1">
      <c r="A414" t="s" s="130">
        <v>1374</v>
      </c>
      <c r="B414" t="s" s="52">
        <v>428</v>
      </c>
      <c r="C414" t="s" s="130">
        <v>1375</v>
      </c>
      <c r="D414" t="s" s="209">
        <v>1376</v>
      </c>
      <c r="E414" t="s" s="132">
        <v>1377</v>
      </c>
      <c r="F414" t="s" s="210">
        <v>714</v>
      </c>
      <c r="G414" s="211"/>
      <c r="H414" s="42">
        <f>SUM(J414,N414)</f>
        <v>0</v>
      </c>
      <c r="I414" s="207">
        <f>SUM(Q414,S414,U414,W414,Y414,AA414,AC414,AE414,AG414,AI414,AK414,AM414,AO414,AQ414,AS414)</f>
        <v>0</v>
      </c>
      <c r="J414" s="43">
        <f>SUM(P414,R414,T414,V414,X414,Z414,AB414,AD414,AF414,AH414,AJ414,AL414,AN414,AP414,AR414)</f>
        <v>0</v>
      </c>
      <c r="K414" s="44"/>
      <c r="L414" s="6"/>
      <c r="M414" s="6"/>
      <c r="N414" s="14"/>
      <c r="O414" s="122"/>
      <c r="P414" s="27">
        <v>0</v>
      </c>
      <c r="Q414" s="27">
        <v>0</v>
      </c>
      <c r="R414" s="51">
        <v>0</v>
      </c>
      <c r="S414" s="51">
        <v>0</v>
      </c>
      <c r="T414" s="51">
        <v>0</v>
      </c>
      <c r="U414" s="51">
        <v>0</v>
      </c>
      <c r="V414" s="51">
        <v>0</v>
      </c>
      <c r="W414" s="51">
        <v>0</v>
      </c>
      <c r="X414" s="51">
        <v>0</v>
      </c>
      <c r="Y414" s="51">
        <v>0</v>
      </c>
      <c r="Z414" s="48">
        <v>0</v>
      </c>
      <c r="AA414" s="48">
        <v>0</v>
      </c>
      <c r="AB414" s="48">
        <v>0</v>
      </c>
      <c r="AC414" s="48">
        <v>0</v>
      </c>
      <c r="AD414" s="55">
        <v>0</v>
      </c>
      <c r="AE414" s="213">
        <v>0</v>
      </c>
      <c r="AF414" s="212">
        <v>0</v>
      </c>
      <c r="AG414" s="121">
        <v>0</v>
      </c>
      <c r="AH414" s="51">
        <v>0</v>
      </c>
      <c r="AI414" s="51">
        <v>0</v>
      </c>
      <c r="AJ414" s="51">
        <v>0</v>
      </c>
      <c r="AK414" s="51">
        <v>0</v>
      </c>
      <c r="AL414" s="14"/>
      <c r="AM414" s="122"/>
      <c r="AN414" s="51">
        <v>0</v>
      </c>
      <c r="AO414" s="51">
        <v>0</v>
      </c>
      <c r="AP414" s="51">
        <v>0</v>
      </c>
      <c r="AQ414" s="47"/>
      <c r="AR414" s="51">
        <v>0</v>
      </c>
      <c r="AS414" s="51">
        <v>0</v>
      </c>
    </row>
    <row r="415" ht="409.5" customHeight="1" hidden="1">
      <c r="A415" t="s" s="130">
        <v>1378</v>
      </c>
      <c r="B415" t="s" s="52">
        <v>429</v>
      </c>
      <c r="C415" t="s" s="130">
        <v>1375</v>
      </c>
      <c r="D415" t="s" s="209">
        <v>1376</v>
      </c>
      <c r="E415" t="s" s="132">
        <v>1379</v>
      </c>
      <c r="F415" t="s" s="210">
        <v>714</v>
      </c>
      <c r="G415" s="211"/>
      <c r="H415" s="42">
        <f>SUM(J415,N415)</f>
        <v>0</v>
      </c>
      <c r="I415" s="207">
        <f>SUM(Q415,S415,U415,W415,Y415,AA415,AC415,AE415,AG415,AI415,AK415,AM415,AO415,AQ415,AS415)</f>
        <v>0</v>
      </c>
      <c r="J415" s="43">
        <f>SUM(P415,R415,T415,V415,X415,Z415,AB415,AD415,AF415,AH415,AJ415,AL415,AN415,AP415,AR415)</f>
        <v>0</v>
      </c>
      <c r="K415" s="44"/>
      <c r="L415" s="6"/>
      <c r="M415" s="6"/>
      <c r="N415" s="14"/>
      <c r="O415" s="122"/>
      <c r="P415" s="27">
        <v>0</v>
      </c>
      <c r="Q415" s="27">
        <v>0</v>
      </c>
      <c r="R415" s="51">
        <v>0</v>
      </c>
      <c r="S415" s="51">
        <v>0</v>
      </c>
      <c r="T415" s="51">
        <v>0</v>
      </c>
      <c r="U415" s="51">
        <v>0</v>
      </c>
      <c r="V415" s="51">
        <v>0</v>
      </c>
      <c r="W415" s="51">
        <v>0</v>
      </c>
      <c r="X415" s="51">
        <v>0</v>
      </c>
      <c r="Y415" s="51">
        <v>0</v>
      </c>
      <c r="Z415" s="49"/>
      <c r="AA415" s="48">
        <v>0</v>
      </c>
      <c r="AB415" s="48">
        <v>0</v>
      </c>
      <c r="AC415" s="48">
        <v>0</v>
      </c>
      <c r="AD415" s="55">
        <v>0</v>
      </c>
      <c r="AE415" s="213">
        <v>0</v>
      </c>
      <c r="AF415" s="212">
        <v>0</v>
      </c>
      <c r="AG415" s="121">
        <v>0</v>
      </c>
      <c r="AH415" s="51">
        <v>0</v>
      </c>
      <c r="AI415" s="51">
        <v>0</v>
      </c>
      <c r="AJ415" s="51">
        <v>0</v>
      </c>
      <c r="AK415" s="51">
        <v>0</v>
      </c>
      <c r="AL415" s="14"/>
      <c r="AM415" s="122"/>
      <c r="AN415" s="51">
        <v>0</v>
      </c>
      <c r="AO415" s="51">
        <v>0</v>
      </c>
      <c r="AP415" s="51">
        <v>0</v>
      </c>
      <c r="AQ415" s="47"/>
      <c r="AR415" s="51">
        <v>0</v>
      </c>
      <c r="AS415" s="51">
        <v>0</v>
      </c>
    </row>
    <row r="416" ht="409.5" customHeight="1" hidden="1">
      <c r="A416" t="s" s="130">
        <v>1380</v>
      </c>
      <c r="B416" t="s" s="52">
        <v>430</v>
      </c>
      <c r="C416" t="s" s="130">
        <v>1375</v>
      </c>
      <c r="D416" t="s" s="209">
        <v>1376</v>
      </c>
      <c r="E416" t="s" s="217">
        <v>1381</v>
      </c>
      <c r="F416" t="s" s="210">
        <v>714</v>
      </c>
      <c r="G416" s="211"/>
      <c r="H416" s="42">
        <f>SUM(J416,N416)</f>
        <v>0</v>
      </c>
      <c r="I416" s="207">
        <f>SUM(Q416,S416,U416,W416,Y416,AA416,AC416,AE416,AG416,AI416,AK416,AM416,AO416,AQ416,AS416)</f>
        <v>0</v>
      </c>
      <c r="J416" s="43">
        <f>SUM(P416,R416,T416,V416,X416,Z416,AB416,AD416,AF416,AH416,AJ416,AL416,AN416,AP416,AR416)</f>
        <v>0</v>
      </c>
      <c r="K416" s="44"/>
      <c r="L416" s="6"/>
      <c r="M416" s="6"/>
      <c r="N416" s="14"/>
      <c r="O416" s="122"/>
      <c r="P416" s="27">
        <v>0</v>
      </c>
      <c r="Q416" s="27">
        <v>0</v>
      </c>
      <c r="R416" s="51">
        <v>0</v>
      </c>
      <c r="S416" s="51">
        <v>0</v>
      </c>
      <c r="T416" s="51">
        <v>0</v>
      </c>
      <c r="U416" s="51">
        <v>0</v>
      </c>
      <c r="V416" s="51">
        <v>0</v>
      </c>
      <c r="W416" s="51">
        <v>0</v>
      </c>
      <c r="X416" s="51">
        <v>0</v>
      </c>
      <c r="Y416" s="51">
        <v>0</v>
      </c>
      <c r="Z416" s="48">
        <v>0</v>
      </c>
      <c r="AA416" s="48">
        <v>0</v>
      </c>
      <c r="AB416" s="48">
        <v>0</v>
      </c>
      <c r="AC416" s="48">
        <v>0</v>
      </c>
      <c r="AD416" s="55">
        <v>0</v>
      </c>
      <c r="AE416" s="213">
        <v>0</v>
      </c>
      <c r="AF416" s="212">
        <v>0</v>
      </c>
      <c r="AG416" s="121">
        <v>0</v>
      </c>
      <c r="AH416" s="51">
        <v>0</v>
      </c>
      <c r="AI416" s="51">
        <v>0</v>
      </c>
      <c r="AJ416" s="51">
        <v>0</v>
      </c>
      <c r="AK416" s="51">
        <v>0</v>
      </c>
      <c r="AL416" s="14"/>
      <c r="AM416" s="122"/>
      <c r="AN416" s="51">
        <v>0</v>
      </c>
      <c r="AO416" s="51">
        <v>0</v>
      </c>
      <c r="AP416" s="51">
        <v>0</v>
      </c>
      <c r="AQ416" s="47"/>
      <c r="AR416" s="51">
        <v>0</v>
      </c>
      <c r="AS416" s="51">
        <v>0</v>
      </c>
    </row>
    <row r="417" ht="236.25" customHeight="1" hidden="1">
      <c r="A417" t="s" s="130">
        <v>1382</v>
      </c>
      <c r="B417" t="s" s="52">
        <v>431</v>
      </c>
      <c r="C417" t="s" s="130">
        <v>1375</v>
      </c>
      <c r="D417" t="s" s="209">
        <v>1376</v>
      </c>
      <c r="E417" s="189"/>
      <c r="F417" t="s" s="210">
        <v>714</v>
      </c>
      <c r="G417" s="211"/>
      <c r="H417" s="42">
        <f>SUM(J417,N417)</f>
        <v>0</v>
      </c>
      <c r="I417" s="207">
        <f>SUM(Q417,S417,U417,W417,Y417,AA417,AC417,AE417,AG417,AI417,AK417,AM417,AO417,AQ417,AS417)</f>
        <v>0</v>
      </c>
      <c r="J417" s="43">
        <f>SUM(P417,R417,T417,V417,X417,Z417,AB417,AD417,AF417,AH417,AJ417,AL417,AN417,AP417,AR417)</f>
        <v>0</v>
      </c>
      <c r="K417" s="44"/>
      <c r="L417" s="6"/>
      <c r="M417" s="6"/>
      <c r="N417" s="14"/>
      <c r="O417" s="122"/>
      <c r="P417" s="27">
        <v>0</v>
      </c>
      <c r="Q417" s="27">
        <v>0</v>
      </c>
      <c r="R417" s="51">
        <v>0</v>
      </c>
      <c r="S417" s="51">
        <v>0</v>
      </c>
      <c r="T417" s="51">
        <v>0</v>
      </c>
      <c r="U417" s="51">
        <v>0</v>
      </c>
      <c r="V417" s="47"/>
      <c r="W417" s="47"/>
      <c r="X417" s="51">
        <v>0</v>
      </c>
      <c r="Y417" s="51">
        <v>0</v>
      </c>
      <c r="Z417" s="48">
        <v>0</v>
      </c>
      <c r="AA417" s="48">
        <v>0</v>
      </c>
      <c r="AB417" s="48">
        <v>0</v>
      </c>
      <c r="AC417" s="48">
        <v>0</v>
      </c>
      <c r="AD417" s="55">
        <v>0</v>
      </c>
      <c r="AE417" s="213">
        <v>0</v>
      </c>
      <c r="AF417" s="212">
        <v>0</v>
      </c>
      <c r="AG417" s="121">
        <v>0</v>
      </c>
      <c r="AH417" s="51">
        <v>0</v>
      </c>
      <c r="AI417" s="51">
        <v>0</v>
      </c>
      <c r="AJ417" s="51">
        <v>0</v>
      </c>
      <c r="AK417" s="51">
        <v>0</v>
      </c>
      <c r="AL417" s="14"/>
      <c r="AM417" s="122"/>
      <c r="AN417" s="51">
        <v>0</v>
      </c>
      <c r="AO417" s="51">
        <v>0</v>
      </c>
      <c r="AP417" s="51">
        <v>0</v>
      </c>
      <c r="AQ417" s="47"/>
      <c r="AR417" s="47"/>
      <c r="AS417" s="47"/>
    </row>
    <row r="418" ht="204.75" customHeight="1" hidden="1">
      <c r="A418" t="s" s="130">
        <v>1383</v>
      </c>
      <c r="B418" t="s" s="52">
        <v>432</v>
      </c>
      <c r="C418" t="s" s="130">
        <v>1375</v>
      </c>
      <c r="D418" t="s" s="209">
        <v>1376</v>
      </c>
      <c r="E418" s="189"/>
      <c r="F418" t="s" s="210">
        <v>714</v>
      </c>
      <c r="G418" s="211"/>
      <c r="H418" s="42">
        <f>SUM(J418,N418)</f>
        <v>0</v>
      </c>
      <c r="I418" s="207">
        <f>SUM(Q418,S418,U418,W418,Y418,AA418,AC418,AE418,AG418,AI418,AK418,AM418,AO418,AQ418,AS418)</f>
        <v>0</v>
      </c>
      <c r="J418" s="43">
        <f>SUM(P418,R418,T418,V418,X418,Z418,AB418,AD418,AF418,AH418,AJ418,AL418,AN418,AP418,AR418)</f>
        <v>0</v>
      </c>
      <c r="K418" s="44"/>
      <c r="L418" s="6"/>
      <c r="M418" s="6"/>
      <c r="N418" s="14"/>
      <c r="O418" s="122"/>
      <c r="P418" s="27">
        <v>0</v>
      </c>
      <c r="Q418" s="27">
        <v>0</v>
      </c>
      <c r="R418" s="51">
        <v>0</v>
      </c>
      <c r="S418" s="51">
        <v>0</v>
      </c>
      <c r="T418" s="51">
        <v>0</v>
      </c>
      <c r="U418" s="51">
        <v>0</v>
      </c>
      <c r="V418" s="51">
        <v>0</v>
      </c>
      <c r="W418" s="51">
        <v>0</v>
      </c>
      <c r="X418" s="51">
        <v>0</v>
      </c>
      <c r="Y418" s="51">
        <v>0</v>
      </c>
      <c r="Z418" s="48">
        <v>0</v>
      </c>
      <c r="AA418" s="48">
        <v>0</v>
      </c>
      <c r="AB418" s="48">
        <v>0</v>
      </c>
      <c r="AC418" s="48">
        <v>0</v>
      </c>
      <c r="AD418" s="55">
        <v>0</v>
      </c>
      <c r="AE418" s="213">
        <v>0</v>
      </c>
      <c r="AF418" s="212">
        <v>0</v>
      </c>
      <c r="AG418" s="121">
        <v>0</v>
      </c>
      <c r="AH418" s="51">
        <v>0</v>
      </c>
      <c r="AI418" s="51">
        <v>0</v>
      </c>
      <c r="AJ418" s="51">
        <v>0</v>
      </c>
      <c r="AK418" s="51">
        <v>0</v>
      </c>
      <c r="AL418" s="14"/>
      <c r="AM418" s="122"/>
      <c r="AN418" s="51">
        <v>0</v>
      </c>
      <c r="AO418" s="51">
        <v>0</v>
      </c>
      <c r="AP418" s="51">
        <v>0</v>
      </c>
      <c r="AQ418" s="47"/>
      <c r="AR418" s="51">
        <v>0</v>
      </c>
      <c r="AS418" s="51">
        <v>0</v>
      </c>
    </row>
    <row r="419" ht="31.5" customHeight="1" hidden="1">
      <c r="A419" t="s" s="88">
        <v>1384</v>
      </c>
      <c r="B419" t="s" s="67">
        <v>433</v>
      </c>
      <c r="C419" s="228"/>
      <c r="D419" s="228"/>
      <c r="E419" s="189"/>
      <c r="F419" s="182">
        <v>0</v>
      </c>
      <c r="G419" s="183"/>
      <c r="H419" s="42">
        <f>SUM(J419,N419)</f>
        <v>0</v>
      </c>
      <c r="I419" s="207">
        <f>SUM(Q419,S419,U419,W419,Y419,AA419,AC419,AE419,AG419,AI419,AK419,AM419,AO419,AQ419,AS419)</f>
        <v>0</v>
      </c>
      <c r="J419" s="43">
        <f>SUM(P419,R419,T419,V419,X419,Z419,AB419,AD419,AF419,AH419,AJ419,AL419,AN419,AP419,AR419)</f>
        <v>0</v>
      </c>
      <c r="K419" s="44"/>
      <c r="L419" s="6"/>
      <c r="M419" s="6"/>
      <c r="N419" s="14"/>
      <c r="O419" s="122"/>
      <c r="P419" s="46"/>
      <c r="Q419" s="46"/>
      <c r="R419" s="47"/>
      <c r="S419" s="47"/>
      <c r="T419" s="47"/>
      <c r="U419" s="47"/>
      <c r="V419" s="47"/>
      <c r="W419" s="47"/>
      <c r="X419" s="47"/>
      <c r="Y419" s="47"/>
      <c r="Z419" s="48">
        <v>0</v>
      </c>
      <c r="AA419" s="48">
        <v>0</v>
      </c>
      <c r="AB419" s="49"/>
      <c r="AC419" s="49"/>
      <c r="AD419" s="50"/>
      <c r="AE419" s="50"/>
      <c r="AF419" s="14"/>
      <c r="AG419" s="122"/>
      <c r="AH419" s="51">
        <v>0</v>
      </c>
      <c r="AI419" s="51">
        <v>0</v>
      </c>
      <c r="AJ419" s="47"/>
      <c r="AK419" s="47"/>
      <c r="AL419" s="14"/>
      <c r="AM419" s="122"/>
      <c r="AN419" s="47"/>
      <c r="AO419" s="47"/>
      <c r="AP419" s="47"/>
      <c r="AQ419" s="47"/>
      <c r="AR419" s="51">
        <v>0</v>
      </c>
      <c r="AS419" s="51">
        <v>0</v>
      </c>
    </row>
    <row r="420" ht="19.5" customHeight="1" hidden="1">
      <c r="A420" t="s" s="88">
        <v>1385</v>
      </c>
      <c r="B420" t="s" s="67">
        <v>434</v>
      </c>
      <c r="C420" s="228"/>
      <c r="D420" s="228"/>
      <c r="E420" s="189"/>
      <c r="F420" s="182">
        <v>0</v>
      </c>
      <c r="G420" s="183"/>
      <c r="H420" s="42">
        <f>SUM(J420,N420)</f>
        <v>0</v>
      </c>
      <c r="I420" s="207">
        <f>SUM(Q420,S420,U420,W420,Y420,AA420,AC420,AE420,AG420,AI420,AK420,AM420,AO420,AQ420,AS420)</f>
        <v>0</v>
      </c>
      <c r="J420" s="43">
        <f>SUM(P420,R420,T420,V420,X420,Z420,AB420,AD420,AF420,AH420,AJ420,AL420,AN420,AP420,AR420)</f>
        <v>0</v>
      </c>
      <c r="K420" s="44"/>
      <c r="L420" s="6"/>
      <c r="M420" s="6"/>
      <c r="N420" s="14"/>
      <c r="O420" s="122"/>
      <c r="P420" s="46"/>
      <c r="Q420" s="46"/>
      <c r="R420" s="47"/>
      <c r="S420" s="47"/>
      <c r="T420" s="47"/>
      <c r="U420" s="47"/>
      <c r="V420" s="47"/>
      <c r="W420" s="47"/>
      <c r="X420" s="47"/>
      <c r="Y420" s="47"/>
      <c r="Z420" s="48">
        <v>0</v>
      </c>
      <c r="AA420" s="48">
        <v>0</v>
      </c>
      <c r="AB420" s="49"/>
      <c r="AC420" s="49"/>
      <c r="AD420" s="50"/>
      <c r="AE420" s="50"/>
      <c r="AF420" s="14"/>
      <c r="AG420" s="122"/>
      <c r="AH420" s="51">
        <v>0</v>
      </c>
      <c r="AI420" s="51">
        <v>0</v>
      </c>
      <c r="AJ420" s="47"/>
      <c r="AK420" s="47"/>
      <c r="AL420" s="14"/>
      <c r="AM420" s="122"/>
      <c r="AN420" s="47"/>
      <c r="AO420" s="47"/>
      <c r="AP420" s="47"/>
      <c r="AQ420" s="47"/>
      <c r="AR420" s="51">
        <v>0</v>
      </c>
      <c r="AS420" s="51">
        <v>0</v>
      </c>
    </row>
    <row r="421" ht="63" customHeight="1" hidden="1">
      <c r="A421" t="s" s="59">
        <v>1386</v>
      </c>
      <c r="B421" t="s" s="21">
        <v>435</v>
      </c>
      <c r="C421" t="s" s="59">
        <v>1031</v>
      </c>
      <c r="D421" t="s" s="190">
        <v>1376</v>
      </c>
      <c r="E421" s="191"/>
      <c r="F421" t="s" s="192">
        <v>714</v>
      </c>
      <c r="G421" s="193"/>
      <c r="H421" s="194">
        <f>SUM(J421,N421)</f>
        <v>15020</v>
      </c>
      <c r="I421" s="195">
        <f>SUM(Q421,S421,U421,W421,Y421,AA421,AC421,AE421,AG421,AI421,AK421,AM421,AO421,AQ421,AS421)</f>
        <v>10065</v>
      </c>
      <c r="J421" s="23">
        <f>SUM(P421,R421,T421,V421,X421,Z421,AB421,AD421,AF421,AH421,AJ421,AL421,AN421,AP421,AR421)</f>
        <v>15020</v>
      </c>
      <c r="K421" s="36"/>
      <c r="L421" s="196"/>
      <c r="M421" s="196"/>
      <c r="N421" s="196"/>
      <c r="O421" s="197"/>
      <c r="P421" s="27">
        <v>6500</v>
      </c>
      <c r="Q421" s="27">
        <v>4580</v>
      </c>
      <c r="R421" s="28">
        <v>6000</v>
      </c>
      <c r="S421" s="28">
        <v>3785</v>
      </c>
      <c r="T421" s="28">
        <v>1000</v>
      </c>
      <c r="U421" s="28">
        <v>660</v>
      </c>
      <c r="V421" s="28">
        <v>1500</v>
      </c>
      <c r="W421" s="28">
        <v>1040</v>
      </c>
      <c r="X421" s="28">
        <v>20</v>
      </c>
      <c r="Y421" s="28">
        <v>0</v>
      </c>
      <c r="Z421" s="30">
        <v>0</v>
      </c>
      <c r="AA421" s="30">
        <v>0</v>
      </c>
      <c r="AB421" s="30">
        <v>0</v>
      </c>
      <c r="AC421" s="30">
        <v>0</v>
      </c>
      <c r="AD421" s="30">
        <v>0</v>
      </c>
      <c r="AE421" s="30">
        <v>0</v>
      </c>
      <c r="AF421" s="198">
        <v>0</v>
      </c>
      <c r="AG421" s="206">
        <v>0</v>
      </c>
      <c r="AH421" s="28">
        <v>0</v>
      </c>
      <c r="AI421" s="28">
        <v>0</v>
      </c>
      <c r="AJ421" s="28">
        <v>0</v>
      </c>
      <c r="AK421" s="28">
        <v>0</v>
      </c>
      <c r="AL421" s="202"/>
      <c r="AM421" s="197"/>
      <c r="AN421" s="28">
        <v>0</v>
      </c>
      <c r="AO421" s="28">
        <v>0</v>
      </c>
      <c r="AP421" s="28">
        <v>0</v>
      </c>
      <c r="AQ421" s="87"/>
      <c r="AR421" s="28">
        <v>0</v>
      </c>
      <c r="AS421" s="28">
        <v>0</v>
      </c>
    </row>
    <row r="422" ht="19.5" customHeight="1" hidden="1">
      <c r="A422" t="s" s="88">
        <v>1387</v>
      </c>
      <c r="B422" t="s" s="67">
        <v>436</v>
      </c>
      <c r="C422" s="228"/>
      <c r="D422" s="228"/>
      <c r="E422" s="189"/>
      <c r="F422" s="182">
        <v>0</v>
      </c>
      <c r="G422" s="183"/>
      <c r="H422" s="42">
        <f>SUM(J422,N422)</f>
        <v>0</v>
      </c>
      <c r="I422" s="207">
        <f>SUM(Q422,S422,U422,W422,Y422,AA422,AC422,AE422,AG422,AI422,AK422,AM422,AO422,AQ422,AS422)</f>
        <v>0</v>
      </c>
      <c r="J422" s="43">
        <f>SUM(P422,R422,T422,V422,X422,Z422,AB422,AD422,AF422,AH422,AJ422,AL422,AN422,AP422,AR422)</f>
        <v>0</v>
      </c>
      <c r="K422" s="44"/>
      <c r="L422" s="6"/>
      <c r="M422" s="6"/>
      <c r="N422" s="14"/>
      <c r="O422" s="122"/>
      <c r="P422" s="46"/>
      <c r="Q422" s="46"/>
      <c r="R422" s="47"/>
      <c r="S422" s="47"/>
      <c r="T422" s="47"/>
      <c r="U422" s="47"/>
      <c r="V422" s="47"/>
      <c r="W422" s="47"/>
      <c r="X422" s="47"/>
      <c r="Y422" s="47"/>
      <c r="Z422" s="48">
        <v>0</v>
      </c>
      <c r="AA422" s="48">
        <v>0</v>
      </c>
      <c r="AB422" s="49"/>
      <c r="AC422" s="49"/>
      <c r="AD422" s="50"/>
      <c r="AE422" s="50"/>
      <c r="AF422" s="14"/>
      <c r="AG422" s="122"/>
      <c r="AH422" s="51">
        <v>0</v>
      </c>
      <c r="AI422" s="51">
        <v>0</v>
      </c>
      <c r="AJ422" s="47"/>
      <c r="AK422" s="47"/>
      <c r="AL422" s="14"/>
      <c r="AM422" s="122"/>
      <c r="AN422" s="47"/>
      <c r="AO422" s="47"/>
      <c r="AP422" s="47"/>
      <c r="AQ422" s="47"/>
      <c r="AR422" s="51">
        <v>0</v>
      </c>
      <c r="AS422" s="51">
        <v>0</v>
      </c>
    </row>
    <row r="423" ht="204.75" customHeight="1" hidden="1">
      <c r="A423" t="s" s="59">
        <v>1388</v>
      </c>
      <c r="B423" t="s" s="21">
        <v>437</v>
      </c>
      <c r="C423" t="s" s="59">
        <v>1302</v>
      </c>
      <c r="D423" t="s" s="190">
        <v>1376</v>
      </c>
      <c r="E423" t="s" s="223">
        <v>1389</v>
      </c>
      <c r="F423" t="s" s="192">
        <v>714</v>
      </c>
      <c r="G423" s="193"/>
      <c r="H423" s="194">
        <f>SUM(J423,N423)</f>
        <v>22675</v>
      </c>
      <c r="I423" s="195">
        <f>SUM(Q423,S423,U423,W423,Y423,AA423,AC423,AE423,AG423,AI423,AK423,AM423,AO423,AQ423,AS423)</f>
        <v>19109</v>
      </c>
      <c r="J423" s="23">
        <f>SUM(P423,R423,T423,V423,X423,Z423,AB423,AD423,AF423,AH423,AJ423,AL423,AN423,AP423,AR423)</f>
        <v>22675</v>
      </c>
      <c r="K423" s="36"/>
      <c r="L423" s="196"/>
      <c r="M423" s="196"/>
      <c r="N423" s="196"/>
      <c r="O423" s="197"/>
      <c r="P423" s="27">
        <v>14000</v>
      </c>
      <c r="Q423" s="27">
        <v>12750</v>
      </c>
      <c r="R423" s="28">
        <v>600</v>
      </c>
      <c r="S423" s="28">
        <v>880</v>
      </c>
      <c r="T423" s="28">
        <v>6000</v>
      </c>
      <c r="U423" s="28">
        <v>3863</v>
      </c>
      <c r="V423" s="28">
        <v>2000</v>
      </c>
      <c r="W423" s="28">
        <v>1606</v>
      </c>
      <c r="X423" s="28">
        <v>15</v>
      </c>
      <c r="Y423" s="28">
        <v>10</v>
      </c>
      <c r="Z423" s="30">
        <v>0</v>
      </c>
      <c r="AA423" s="30">
        <v>0</v>
      </c>
      <c r="AB423" s="30">
        <v>10</v>
      </c>
      <c r="AC423" s="30">
        <v>0</v>
      </c>
      <c r="AD423" s="30">
        <v>0</v>
      </c>
      <c r="AE423" s="30">
        <v>0</v>
      </c>
      <c r="AF423" s="198">
        <v>50</v>
      </c>
      <c r="AG423" s="206">
        <v>0</v>
      </c>
      <c r="AH423" s="28">
        <v>0</v>
      </c>
      <c r="AI423" s="28">
        <v>0</v>
      </c>
      <c r="AJ423" s="28">
        <v>0</v>
      </c>
      <c r="AK423" s="28">
        <v>0</v>
      </c>
      <c r="AL423" s="202"/>
      <c r="AM423" s="197"/>
      <c r="AN423" s="28">
        <v>0</v>
      </c>
      <c r="AO423" s="28">
        <v>0</v>
      </c>
      <c r="AP423" s="28">
        <v>0</v>
      </c>
      <c r="AQ423" s="87"/>
      <c r="AR423" s="28">
        <v>0</v>
      </c>
      <c r="AS423" s="28">
        <v>0</v>
      </c>
    </row>
    <row r="424" ht="19.5" customHeight="1" hidden="1">
      <c r="A424" t="s" s="88">
        <v>1390</v>
      </c>
      <c r="B424" t="s" s="67">
        <v>438</v>
      </c>
      <c r="C424" s="228"/>
      <c r="D424" s="228"/>
      <c r="E424" s="189"/>
      <c r="F424" s="182">
        <v>0</v>
      </c>
      <c r="G424" s="183"/>
      <c r="H424" s="42">
        <f>SUM(J424,N424)</f>
        <v>0</v>
      </c>
      <c r="I424" s="207">
        <f>SUM(Q424,S424,U424,W424,Y424,AA424,AC424,AE424,AG424,AI424,AK424,AM424,AO424,AQ424,AS424)</f>
        <v>0</v>
      </c>
      <c r="J424" s="43">
        <f>SUM(P424,R424,T424,V424,X424,Z424,AB424,AD424,AF424,AH424,AJ424,AL424,AN424,AP424,AR424)</f>
        <v>0</v>
      </c>
      <c r="K424" s="44"/>
      <c r="L424" s="6"/>
      <c r="M424" s="6"/>
      <c r="N424" s="14"/>
      <c r="O424" s="122"/>
      <c r="P424" s="46"/>
      <c r="Q424" s="46"/>
      <c r="R424" s="47"/>
      <c r="S424" s="47"/>
      <c r="T424" s="47"/>
      <c r="U424" s="47"/>
      <c r="V424" s="47"/>
      <c r="W424" s="47"/>
      <c r="X424" s="47"/>
      <c r="Y424" s="47"/>
      <c r="Z424" s="48">
        <v>0</v>
      </c>
      <c r="AA424" s="48">
        <v>0</v>
      </c>
      <c r="AB424" s="49"/>
      <c r="AC424" s="49"/>
      <c r="AD424" s="50"/>
      <c r="AE424" s="50"/>
      <c r="AF424" s="14"/>
      <c r="AG424" s="122"/>
      <c r="AH424" s="51">
        <v>0</v>
      </c>
      <c r="AI424" s="51">
        <v>0</v>
      </c>
      <c r="AJ424" s="47"/>
      <c r="AK424" s="47"/>
      <c r="AL424" s="14"/>
      <c r="AM424" s="122"/>
      <c r="AN424" s="47"/>
      <c r="AO424" s="47"/>
      <c r="AP424" s="47"/>
      <c r="AQ424" s="47"/>
      <c r="AR424" s="51">
        <v>0</v>
      </c>
      <c r="AS424" s="51">
        <v>0</v>
      </c>
    </row>
    <row r="425" ht="39" customHeight="1" hidden="1">
      <c r="A425" t="s" s="59">
        <v>1391</v>
      </c>
      <c r="B425" t="s" s="21">
        <v>439</v>
      </c>
      <c r="C425" t="s" s="59">
        <v>765</v>
      </c>
      <c r="D425" t="s" s="190">
        <v>713</v>
      </c>
      <c r="E425" t="s" s="223">
        <v>1392</v>
      </c>
      <c r="F425" t="s" s="192">
        <v>720</v>
      </c>
      <c r="G425" s="193"/>
      <c r="H425" s="194">
        <f>SUM(J425,N425)</f>
        <v>106300</v>
      </c>
      <c r="I425" s="195">
        <f>SUM(Q425,S425,U425,W425,Y425,AA425,AC425,AE425,AG425,AI425,AK425,AM425,AO425,AQ425,AS425)</f>
        <v>1950</v>
      </c>
      <c r="J425" s="23">
        <f>SUM(P425,R425,T425,V425,X425,Z425,AB425,AD425,AF425,AH425,AJ425,AL425,AN425,AP425,AR425)</f>
        <v>106300</v>
      </c>
      <c r="K425" s="36"/>
      <c r="L425" s="196"/>
      <c r="M425" s="196"/>
      <c r="N425" s="196"/>
      <c r="O425" s="197"/>
      <c r="P425" s="27">
        <v>10000</v>
      </c>
      <c r="Q425" s="27">
        <v>100</v>
      </c>
      <c r="R425" s="28">
        <v>0</v>
      </c>
      <c r="S425" s="28">
        <v>0</v>
      </c>
      <c r="T425" s="28">
        <v>1000</v>
      </c>
      <c r="U425" s="28">
        <v>0</v>
      </c>
      <c r="V425" s="28">
        <v>600</v>
      </c>
      <c r="W425" s="28">
        <v>0</v>
      </c>
      <c r="X425" s="28">
        <v>0</v>
      </c>
      <c r="Y425" s="28">
        <v>0</v>
      </c>
      <c r="Z425" s="30">
        <v>2000</v>
      </c>
      <c r="AA425" s="30">
        <v>0</v>
      </c>
      <c r="AB425" s="30">
        <v>6100</v>
      </c>
      <c r="AC425" s="30">
        <v>0</v>
      </c>
      <c r="AD425" s="30">
        <v>2600</v>
      </c>
      <c r="AE425" s="30">
        <v>0</v>
      </c>
      <c r="AF425" s="198">
        <v>0</v>
      </c>
      <c r="AG425" s="206">
        <v>0</v>
      </c>
      <c r="AH425" s="28">
        <v>0</v>
      </c>
      <c r="AI425" s="28">
        <v>0</v>
      </c>
      <c r="AJ425" s="28">
        <v>72000</v>
      </c>
      <c r="AK425" s="28">
        <v>350</v>
      </c>
      <c r="AL425" s="234">
        <v>12000</v>
      </c>
      <c r="AM425" s="234">
        <v>1500</v>
      </c>
      <c r="AN425" s="28">
        <v>0</v>
      </c>
      <c r="AO425" s="28">
        <v>0</v>
      </c>
      <c r="AP425" s="28">
        <v>0</v>
      </c>
      <c r="AQ425" s="87"/>
      <c r="AR425" s="28">
        <v>0</v>
      </c>
      <c r="AS425" s="28">
        <v>0</v>
      </c>
    </row>
    <row r="426" ht="78" customHeight="1" hidden="1">
      <c r="A426" t="s" s="130">
        <v>1393</v>
      </c>
      <c r="B426" t="s" s="52">
        <v>440</v>
      </c>
      <c r="C426" t="s" s="130">
        <v>1394</v>
      </c>
      <c r="D426" t="s" s="209">
        <v>717</v>
      </c>
      <c r="E426" t="s" s="132">
        <v>1395</v>
      </c>
      <c r="F426" t="s" s="210">
        <v>720</v>
      </c>
      <c r="G426" s="211"/>
      <c r="H426" s="42">
        <f>SUM(J426,N426)</f>
        <v>0</v>
      </c>
      <c r="I426" s="207">
        <f>SUM(Q426,S426,U426,W426,Y426,AA426,AC426,AE426,AG426,AI426,AK426,AM426,AO426,AQ426,AS426)</f>
        <v>0</v>
      </c>
      <c r="J426" s="43">
        <f>SUM(P426,R426,T426,V426,X426,Z426,AB426,AD426,AF426,AH426,AJ426,AL426,AN426,AP426,AR426)</f>
        <v>0</v>
      </c>
      <c r="K426" s="44"/>
      <c r="L426" s="6"/>
      <c r="M426" s="6"/>
      <c r="N426" s="14"/>
      <c r="O426" s="122"/>
      <c r="P426" s="27">
        <v>0</v>
      </c>
      <c r="Q426" s="27">
        <v>0</v>
      </c>
      <c r="R426" s="51">
        <v>0</v>
      </c>
      <c r="S426" s="51">
        <v>0</v>
      </c>
      <c r="T426" s="51">
        <v>0</v>
      </c>
      <c r="U426" s="51">
        <v>0</v>
      </c>
      <c r="V426" s="51">
        <v>0</v>
      </c>
      <c r="W426" s="51">
        <v>0</v>
      </c>
      <c r="X426" s="51">
        <v>0</v>
      </c>
      <c r="Y426" s="51">
        <v>0</v>
      </c>
      <c r="Z426" s="48">
        <v>0</v>
      </c>
      <c r="AA426" s="48">
        <v>0</v>
      </c>
      <c r="AB426" s="48">
        <v>0</v>
      </c>
      <c r="AC426" s="48">
        <v>0</v>
      </c>
      <c r="AD426" s="55">
        <v>0</v>
      </c>
      <c r="AE426" s="213">
        <v>0</v>
      </c>
      <c r="AF426" s="212">
        <v>0</v>
      </c>
      <c r="AG426" s="121">
        <v>0</v>
      </c>
      <c r="AH426" s="51">
        <v>0</v>
      </c>
      <c r="AI426" s="51">
        <v>0</v>
      </c>
      <c r="AJ426" s="51">
        <v>0</v>
      </c>
      <c r="AK426" s="51">
        <v>0</v>
      </c>
      <c r="AL426" s="14"/>
      <c r="AM426" s="122"/>
      <c r="AN426" s="51">
        <v>0</v>
      </c>
      <c r="AO426" s="51">
        <v>0</v>
      </c>
      <c r="AP426" s="51">
        <v>0</v>
      </c>
      <c r="AQ426" s="47"/>
      <c r="AR426" s="51">
        <v>0</v>
      </c>
      <c r="AS426" s="51">
        <v>0</v>
      </c>
    </row>
    <row r="427" ht="19.5" customHeight="1" hidden="1">
      <c r="A427" t="s" s="88">
        <v>1396</v>
      </c>
      <c r="B427" t="s" s="67">
        <v>441</v>
      </c>
      <c r="C427" s="228"/>
      <c r="D427" s="228"/>
      <c r="E427" s="189"/>
      <c r="F427" s="182">
        <v>0</v>
      </c>
      <c r="G427" s="183"/>
      <c r="H427" s="42">
        <f>SUM(J427,N427)</f>
        <v>0</v>
      </c>
      <c r="I427" s="207">
        <f>SUM(Q427,S427,U427,W427,Y427,AA427,AC427,AE427,AG427,AI427,AK427,AM427,AO427,AQ427,AS427)</f>
        <v>0</v>
      </c>
      <c r="J427" s="43">
        <f>SUM(P427,R427,T427,V427,X427,Z427,AB427,AD427,AF427,AH427,AJ427,AL427,AN427,AP427,AR427)</f>
        <v>0</v>
      </c>
      <c r="K427" s="44"/>
      <c r="L427" s="6"/>
      <c r="M427" s="6"/>
      <c r="N427" s="14"/>
      <c r="O427" s="122"/>
      <c r="P427" s="46"/>
      <c r="Q427" s="46"/>
      <c r="R427" s="47"/>
      <c r="S427" s="47"/>
      <c r="T427" s="47"/>
      <c r="U427" s="47"/>
      <c r="V427" s="47"/>
      <c r="W427" s="47"/>
      <c r="X427" s="47"/>
      <c r="Y427" s="47"/>
      <c r="Z427" s="48">
        <v>0</v>
      </c>
      <c r="AA427" s="48">
        <v>0</v>
      </c>
      <c r="AB427" s="49"/>
      <c r="AC427" s="49"/>
      <c r="AD427" s="50"/>
      <c r="AE427" s="50"/>
      <c r="AF427" s="14"/>
      <c r="AG427" s="122"/>
      <c r="AH427" s="51">
        <v>0</v>
      </c>
      <c r="AI427" s="51">
        <v>0</v>
      </c>
      <c r="AJ427" s="47"/>
      <c r="AK427" s="47"/>
      <c r="AL427" s="14"/>
      <c r="AM427" s="122"/>
      <c r="AN427" s="47"/>
      <c r="AO427" s="47"/>
      <c r="AP427" s="47"/>
      <c r="AQ427" s="47"/>
      <c r="AR427" s="51">
        <v>0</v>
      </c>
      <c r="AS427" s="51">
        <v>0</v>
      </c>
    </row>
    <row r="428" ht="253.5" customHeight="1" hidden="1">
      <c r="A428" t="s" s="130">
        <v>1397</v>
      </c>
      <c r="B428" t="s" s="52">
        <v>442</v>
      </c>
      <c r="C428" t="s" s="130">
        <v>782</v>
      </c>
      <c r="D428" t="s" s="209">
        <v>717</v>
      </c>
      <c r="E428" t="s" s="217">
        <v>1398</v>
      </c>
      <c r="F428" t="s" s="210">
        <v>720</v>
      </c>
      <c r="G428" s="211"/>
      <c r="H428" s="42">
        <f>SUM(J428,N428)</f>
        <v>760</v>
      </c>
      <c r="I428" s="207">
        <f>SUM(Q428,S428,U428,W428,Y428,AA428,AC428,AE428,AG428,AI428,AK428,AM428,AO428,AQ428,AS428)</f>
        <v>325</v>
      </c>
      <c r="J428" s="43">
        <f>SUM(P428,R428,T428,V428,X428,Z428,AB428,AD428,AF428,AH428,AJ428,AL428,AN428,AP428,AR428)</f>
        <v>760</v>
      </c>
      <c r="K428" s="44"/>
      <c r="L428" s="6"/>
      <c r="M428" s="6"/>
      <c r="N428" s="14"/>
      <c r="O428" s="122"/>
      <c r="P428" s="27">
        <v>500</v>
      </c>
      <c r="Q428" s="27">
        <v>280</v>
      </c>
      <c r="R428" s="51">
        <v>150</v>
      </c>
      <c r="S428" s="51">
        <v>10</v>
      </c>
      <c r="T428" s="51">
        <v>40</v>
      </c>
      <c r="U428" s="51">
        <v>25</v>
      </c>
      <c r="V428" s="51">
        <v>10</v>
      </c>
      <c r="W428" s="51">
        <v>0</v>
      </c>
      <c r="X428" s="51">
        <v>0</v>
      </c>
      <c r="Y428" s="51">
        <v>0</v>
      </c>
      <c r="Z428" s="48">
        <v>10</v>
      </c>
      <c r="AA428" s="48">
        <v>10</v>
      </c>
      <c r="AB428" s="48">
        <v>50</v>
      </c>
      <c r="AC428" s="48">
        <v>0</v>
      </c>
      <c r="AD428" s="55">
        <v>0</v>
      </c>
      <c r="AE428" s="213">
        <v>0</v>
      </c>
      <c r="AF428" s="212">
        <v>0</v>
      </c>
      <c r="AG428" s="121">
        <v>0</v>
      </c>
      <c r="AH428" s="51">
        <v>0</v>
      </c>
      <c r="AI428" s="51">
        <v>0</v>
      </c>
      <c r="AJ428" s="51">
        <v>0</v>
      </c>
      <c r="AK428" s="51">
        <v>0</v>
      </c>
      <c r="AL428" s="14"/>
      <c r="AM428" s="122"/>
      <c r="AN428" s="51">
        <v>0</v>
      </c>
      <c r="AO428" s="51">
        <v>0</v>
      </c>
      <c r="AP428" s="51">
        <v>0</v>
      </c>
      <c r="AQ428" s="47"/>
      <c r="AR428" s="51">
        <v>0</v>
      </c>
      <c r="AS428" s="51">
        <v>0</v>
      </c>
    </row>
    <row r="429" ht="31.5" customHeight="1" hidden="1">
      <c r="A429" t="s" s="218">
        <v>1399</v>
      </c>
      <c r="B429" t="s" s="10">
        <v>443</v>
      </c>
      <c r="C429" t="s" s="103">
        <v>782</v>
      </c>
      <c r="D429" t="s" s="66">
        <v>717</v>
      </c>
      <c r="E429" t="s" s="219">
        <v>1400</v>
      </c>
      <c r="F429" t="s" s="101">
        <v>714</v>
      </c>
      <c r="G429" s="203"/>
      <c r="H429" s="204">
        <f>SUM(J429,N429)</f>
        <v>2870</v>
      </c>
      <c r="I429" s="205">
        <f>SUM(Q429,S429,U429,W429,Y429,AA429,AC429,AE429,AG429,AI429,AK429,AM429,AO429,AQ429,AS429)</f>
        <v>315</v>
      </c>
      <c r="J429" s="35">
        <f>SUM(P429,R429,T429,V429,X429,Z429,AB429,AD429,AF429,AH429,AJ429,AL429,AN429,AP429,AR429)</f>
        <v>2870</v>
      </c>
      <c r="K429" s="36"/>
      <c r="L429" s="196"/>
      <c r="M429" s="196"/>
      <c r="N429" s="196"/>
      <c r="O429" s="197"/>
      <c r="P429" s="27">
        <v>2000</v>
      </c>
      <c r="Q429" s="27">
        <v>0</v>
      </c>
      <c r="R429" s="38">
        <v>150</v>
      </c>
      <c r="S429" s="38">
        <v>110</v>
      </c>
      <c r="T429" s="38">
        <v>120</v>
      </c>
      <c r="U429" s="38">
        <v>25</v>
      </c>
      <c r="V429" s="38">
        <v>600</v>
      </c>
      <c r="W429" s="38">
        <v>180</v>
      </c>
      <c r="X429" s="38">
        <v>0</v>
      </c>
      <c r="Y429" s="38">
        <v>0</v>
      </c>
      <c r="Z429" s="40">
        <v>0</v>
      </c>
      <c r="AA429" s="40">
        <v>0</v>
      </c>
      <c r="AB429" s="40">
        <v>0</v>
      </c>
      <c r="AC429" s="40">
        <v>0</v>
      </c>
      <c r="AD429" s="40">
        <v>0</v>
      </c>
      <c r="AE429" s="40">
        <v>0</v>
      </c>
      <c r="AF429" s="198">
        <v>0</v>
      </c>
      <c r="AG429" s="206">
        <v>0</v>
      </c>
      <c r="AH429" s="38">
        <v>0</v>
      </c>
      <c r="AI429" s="38">
        <v>0</v>
      </c>
      <c r="AJ429" s="38">
        <v>0</v>
      </c>
      <c r="AK429" s="38">
        <v>0</v>
      </c>
      <c r="AL429" s="202"/>
      <c r="AM429" s="197"/>
      <c r="AN429" s="38">
        <v>0</v>
      </c>
      <c r="AO429" s="38">
        <v>0</v>
      </c>
      <c r="AP429" s="38">
        <v>0</v>
      </c>
      <c r="AQ429" s="80"/>
      <c r="AR429" s="38">
        <v>0</v>
      </c>
      <c r="AS429" s="38">
        <v>0</v>
      </c>
    </row>
    <row r="430" ht="19.5" customHeight="1" hidden="1">
      <c r="A430" t="s" s="88">
        <v>1401</v>
      </c>
      <c r="B430" t="s" s="67">
        <v>444</v>
      </c>
      <c r="C430" s="250"/>
      <c r="D430" s="250"/>
      <c r="E430" s="189"/>
      <c r="F430" s="182">
        <v>0</v>
      </c>
      <c r="G430" s="183"/>
      <c r="H430" s="42">
        <f>SUM(J430,N430)</f>
        <v>0</v>
      </c>
      <c r="I430" s="207">
        <f>SUM(Q430,S430,U430,W430,Y430,AA430,AC430,AE430,AG430,AI430,AK430,AM430,AO430,AQ430,AS430)</f>
        <v>0</v>
      </c>
      <c r="J430" s="43">
        <f>SUM(P430,R430,T430,V430,X430,Z430,AB430,AD430,AF430,AH430,AJ430,AL430,AN430,AP430,AR430)</f>
        <v>0</v>
      </c>
      <c r="K430" s="44"/>
      <c r="L430" s="6"/>
      <c r="M430" s="6"/>
      <c r="N430" s="14"/>
      <c r="O430" s="122"/>
      <c r="P430" s="46"/>
      <c r="Q430" s="46"/>
      <c r="R430" s="47"/>
      <c r="S430" s="47"/>
      <c r="T430" s="47"/>
      <c r="U430" s="47"/>
      <c r="V430" s="47"/>
      <c r="W430" s="47"/>
      <c r="X430" s="47"/>
      <c r="Y430" s="47"/>
      <c r="Z430" s="48">
        <v>0</v>
      </c>
      <c r="AA430" s="48">
        <v>0</v>
      </c>
      <c r="AB430" s="49"/>
      <c r="AC430" s="49"/>
      <c r="AD430" s="50"/>
      <c r="AE430" s="50"/>
      <c r="AF430" s="14"/>
      <c r="AG430" s="122"/>
      <c r="AH430" s="51">
        <v>0</v>
      </c>
      <c r="AI430" s="51">
        <v>0</v>
      </c>
      <c r="AJ430" s="47"/>
      <c r="AK430" s="47"/>
      <c r="AL430" s="14"/>
      <c r="AM430" s="122"/>
      <c r="AN430" s="47"/>
      <c r="AO430" s="47"/>
      <c r="AP430" s="47"/>
      <c r="AQ430" s="47"/>
      <c r="AR430" s="51">
        <v>0</v>
      </c>
      <c r="AS430" s="51">
        <v>0</v>
      </c>
    </row>
    <row r="431" ht="19.5" customHeight="1" hidden="1">
      <c r="A431" t="s" s="220">
        <v>1402</v>
      </c>
      <c r="B431" t="s" s="71">
        <v>445</v>
      </c>
      <c r="C431" t="s" s="130">
        <v>782</v>
      </c>
      <c r="D431" t="s" s="209">
        <v>717</v>
      </c>
      <c r="E431" t="s" s="217">
        <v>1403</v>
      </c>
      <c r="F431" t="s" s="210">
        <v>720</v>
      </c>
      <c r="G431" s="211"/>
      <c r="H431" s="42">
        <f>SUM(J431,N431)</f>
        <v>814190</v>
      </c>
      <c r="I431" s="207">
        <f>SUM(Q431,S431,U431,W431,Y431,AA431,AC431,AE431,AG431,AI431,AK431,AM431,AO431,AQ431,AS431)</f>
        <v>481070</v>
      </c>
      <c r="J431" s="43">
        <f>SUM(P431,R431,T431,V431,X431,Z431,AB431,AD431,AF431,AH431,AJ431,AL431,AN431,AP431,AR431)</f>
        <v>809190</v>
      </c>
      <c r="K431" s="44"/>
      <c r="L431" s="6"/>
      <c r="M431" s="6"/>
      <c r="N431" s="212">
        <v>5000</v>
      </c>
      <c r="O431" s="122"/>
      <c r="P431" s="27">
        <v>120000</v>
      </c>
      <c r="Q431" s="27">
        <v>85900</v>
      </c>
      <c r="R431" s="51">
        <v>60000</v>
      </c>
      <c r="S431" s="51">
        <v>54080</v>
      </c>
      <c r="T431" s="51">
        <v>150000</v>
      </c>
      <c r="U431" s="51">
        <v>116910</v>
      </c>
      <c r="V431" s="51">
        <v>50000</v>
      </c>
      <c r="W431" s="51">
        <v>37000</v>
      </c>
      <c r="X431" s="51">
        <v>27000</v>
      </c>
      <c r="Y431" s="51">
        <v>25500</v>
      </c>
      <c r="Z431" s="48">
        <v>181500</v>
      </c>
      <c r="AA431" s="48">
        <v>43240</v>
      </c>
      <c r="AB431" s="48">
        <v>36090</v>
      </c>
      <c r="AC431" s="48">
        <v>13493</v>
      </c>
      <c r="AD431" s="93">
        <v>96000</v>
      </c>
      <c r="AE431" s="93">
        <v>43198</v>
      </c>
      <c r="AF431" s="212">
        <v>22000</v>
      </c>
      <c r="AG431" s="121">
        <v>17000</v>
      </c>
      <c r="AH431" s="51">
        <v>47400</v>
      </c>
      <c r="AI431" s="51">
        <v>30145</v>
      </c>
      <c r="AJ431" s="51">
        <v>0</v>
      </c>
      <c r="AK431" s="51">
        <v>0</v>
      </c>
      <c r="AL431" s="14"/>
      <c r="AM431" s="122"/>
      <c r="AN431" s="51">
        <v>200</v>
      </c>
      <c r="AO431" s="51">
        <v>148</v>
      </c>
      <c r="AP431" s="51">
        <v>7000</v>
      </c>
      <c r="AQ431" s="51">
        <v>4500</v>
      </c>
      <c r="AR431" s="51">
        <v>12000</v>
      </c>
      <c r="AS431" s="51">
        <v>9956</v>
      </c>
    </row>
    <row r="432" ht="136.5" customHeight="1" hidden="1">
      <c r="A432" t="s" s="88">
        <v>1404</v>
      </c>
      <c r="B432" t="s" s="67">
        <v>446</v>
      </c>
      <c r="C432" s="228"/>
      <c r="D432" s="228"/>
      <c r="E432" t="s" s="217">
        <v>1405</v>
      </c>
      <c r="F432" s="182">
        <v>0</v>
      </c>
      <c r="G432" s="183"/>
      <c r="H432" s="42">
        <f>SUM(J432,N432)</f>
        <v>0</v>
      </c>
      <c r="I432" s="207">
        <f>SUM(Q432,S432,U432,W432,Y432,AA432,AC432,AE432,AG432,AI432,AK432,AM432,AO432,AQ432,AS432)</f>
        <v>0</v>
      </c>
      <c r="J432" s="43">
        <f>SUM(P432,R432,T432,V432,X432,Z432,AB432,AD432,AF432,AH432,AJ432,AL432,AN432,AP432,AR432)</f>
        <v>0</v>
      </c>
      <c r="K432" s="44"/>
      <c r="L432" s="6"/>
      <c r="M432" s="6"/>
      <c r="N432" s="14"/>
      <c r="O432" s="122"/>
      <c r="P432" s="46"/>
      <c r="Q432" s="46"/>
      <c r="R432" s="47"/>
      <c r="S432" s="47"/>
      <c r="T432" s="47"/>
      <c r="U432" s="47"/>
      <c r="V432" s="47"/>
      <c r="W432" s="47"/>
      <c r="X432" s="47"/>
      <c r="Y432" s="47"/>
      <c r="Z432" s="48">
        <v>0</v>
      </c>
      <c r="AA432" s="48">
        <v>0</v>
      </c>
      <c r="AB432" s="49"/>
      <c r="AC432" s="49"/>
      <c r="AD432" s="50"/>
      <c r="AE432" s="50"/>
      <c r="AF432" s="14"/>
      <c r="AG432" s="122"/>
      <c r="AH432" s="51">
        <v>0</v>
      </c>
      <c r="AI432" s="51">
        <v>0</v>
      </c>
      <c r="AJ432" s="47"/>
      <c r="AK432" s="47"/>
      <c r="AL432" s="14"/>
      <c r="AM432" s="122"/>
      <c r="AN432" s="47"/>
      <c r="AO432" s="47"/>
      <c r="AP432" s="47"/>
      <c r="AQ432" s="47"/>
      <c r="AR432" s="51">
        <v>0</v>
      </c>
      <c r="AS432" s="51">
        <v>0</v>
      </c>
    </row>
    <row r="433" ht="31.5" customHeight="1" hidden="1">
      <c r="A433" t="s" s="130">
        <v>1406</v>
      </c>
      <c r="B433" t="s" s="52">
        <v>447</v>
      </c>
      <c r="C433" t="s" s="130">
        <v>790</v>
      </c>
      <c r="D433" t="s" s="209">
        <v>1376</v>
      </c>
      <c r="E433" t="s" s="217">
        <v>1407</v>
      </c>
      <c r="F433" t="s" s="210">
        <v>714</v>
      </c>
      <c r="G433" s="211"/>
      <c r="H433" s="42">
        <f>SUM(J433,N433)</f>
        <v>6350</v>
      </c>
      <c r="I433" s="207">
        <f>SUM(Q433,S433,U433,W433,Y433,AA433,AC433,AE433,AG433,AI433,AK433,AM433,AO433,AQ433,AS433)</f>
        <v>5675</v>
      </c>
      <c r="J433" s="43">
        <f>SUM(P433,R433,T433,V433,X433,Z433,AB433,AD433,AF433,AH433,AJ433,AL433,AN433,AP433,AR433)</f>
        <v>6300</v>
      </c>
      <c r="K433" s="44"/>
      <c r="L433" s="6"/>
      <c r="M433" s="6"/>
      <c r="N433" s="212">
        <v>50</v>
      </c>
      <c r="O433" s="122"/>
      <c r="P433" s="27">
        <v>5000</v>
      </c>
      <c r="Q433" s="27">
        <v>4325</v>
      </c>
      <c r="R433" s="51">
        <v>100</v>
      </c>
      <c r="S433" s="51">
        <v>100</v>
      </c>
      <c r="T433" s="51">
        <v>700</v>
      </c>
      <c r="U433" s="51">
        <v>650</v>
      </c>
      <c r="V433" s="51">
        <v>500</v>
      </c>
      <c r="W433" s="51">
        <v>600</v>
      </c>
      <c r="X433" s="51">
        <v>0</v>
      </c>
      <c r="Y433" s="51">
        <v>0</v>
      </c>
      <c r="Z433" s="48">
        <v>0</v>
      </c>
      <c r="AA433" s="48">
        <v>0</v>
      </c>
      <c r="AB433" s="48">
        <v>0</v>
      </c>
      <c r="AC433" s="48">
        <v>0</v>
      </c>
      <c r="AD433" s="55">
        <v>0</v>
      </c>
      <c r="AE433" s="213">
        <v>0</v>
      </c>
      <c r="AF433" s="212">
        <v>0</v>
      </c>
      <c r="AG433" s="121">
        <v>0</v>
      </c>
      <c r="AH433" s="51">
        <v>0</v>
      </c>
      <c r="AI433" s="51">
        <v>0</v>
      </c>
      <c r="AJ433" s="51">
        <v>0</v>
      </c>
      <c r="AK433" s="51">
        <v>0</v>
      </c>
      <c r="AL433" s="14"/>
      <c r="AM433" s="122"/>
      <c r="AN433" s="51">
        <v>0</v>
      </c>
      <c r="AO433" s="51">
        <v>0</v>
      </c>
      <c r="AP433" s="51">
        <v>0</v>
      </c>
      <c r="AQ433" s="47"/>
      <c r="AR433" s="51">
        <v>0</v>
      </c>
      <c r="AS433" s="51">
        <v>0</v>
      </c>
    </row>
    <row r="434" ht="136.5" customHeight="1" hidden="1">
      <c r="A434" t="s" s="130">
        <v>1408</v>
      </c>
      <c r="B434" t="s" s="52">
        <v>448</v>
      </c>
      <c r="C434" t="s" s="130">
        <v>790</v>
      </c>
      <c r="D434" t="s" s="209">
        <v>1376</v>
      </c>
      <c r="E434" t="s" s="132">
        <v>1409</v>
      </c>
      <c r="F434" t="s" s="210">
        <v>720</v>
      </c>
      <c r="G434" s="211"/>
      <c r="H434" s="42">
        <f>SUM(J434,N434)</f>
        <v>240880</v>
      </c>
      <c r="I434" s="207">
        <f>SUM(Q434,S434,U434,W434,Y434,AA434,AC434,AE434,AG434,AI434,AK434,AM434,AO434,AQ434,AS434)</f>
        <v>91088</v>
      </c>
      <c r="J434" s="43">
        <f>SUM(P434,R434,T434,V434,X434,Z434,AB434,AD434,AF434,AH434,AJ434,AL434,AN434,AP434,AR434)</f>
        <v>240880</v>
      </c>
      <c r="K434" s="44"/>
      <c r="L434" s="6"/>
      <c r="M434" s="6"/>
      <c r="N434" s="14"/>
      <c r="O434" s="122"/>
      <c r="P434" s="27">
        <v>70000</v>
      </c>
      <c r="Q434" s="27">
        <v>43500</v>
      </c>
      <c r="R434" s="51">
        <v>80000</v>
      </c>
      <c r="S434" s="51">
        <v>20825</v>
      </c>
      <c r="T434" s="51">
        <v>50000</v>
      </c>
      <c r="U434" s="51">
        <v>13000</v>
      </c>
      <c r="V434" s="51">
        <v>20000</v>
      </c>
      <c r="W434" s="51">
        <v>8660</v>
      </c>
      <c r="X434" s="51">
        <v>2000</v>
      </c>
      <c r="Y434" s="51">
        <v>1950</v>
      </c>
      <c r="Z434" s="48">
        <v>1000</v>
      </c>
      <c r="AA434" s="48">
        <v>0</v>
      </c>
      <c r="AB434" s="48">
        <v>5510</v>
      </c>
      <c r="AC434" s="48">
        <v>859</v>
      </c>
      <c r="AD434" s="55">
        <v>2000</v>
      </c>
      <c r="AE434" s="213">
        <v>50</v>
      </c>
      <c r="AF434" s="212">
        <v>2000</v>
      </c>
      <c r="AG434" s="121">
        <v>1000</v>
      </c>
      <c r="AH434" s="51">
        <v>4370</v>
      </c>
      <c r="AI434" s="51">
        <v>1244</v>
      </c>
      <c r="AJ434" s="51">
        <v>0</v>
      </c>
      <c r="AK434" s="51">
        <v>0</v>
      </c>
      <c r="AL434" s="14"/>
      <c r="AM434" s="122"/>
      <c r="AN434" s="51">
        <v>0</v>
      </c>
      <c r="AO434" s="51">
        <v>0</v>
      </c>
      <c r="AP434" s="51">
        <v>4000</v>
      </c>
      <c r="AQ434" s="51">
        <v>0</v>
      </c>
      <c r="AR434" s="51">
        <v>0</v>
      </c>
      <c r="AS434" s="51">
        <v>0</v>
      </c>
    </row>
    <row r="435" ht="78" customHeight="1" hidden="1">
      <c r="A435" t="s" s="130">
        <v>1410</v>
      </c>
      <c r="B435" t="s" s="52">
        <v>449</v>
      </c>
      <c r="C435" t="s" s="130">
        <v>790</v>
      </c>
      <c r="D435" t="s" s="209">
        <v>1376</v>
      </c>
      <c r="E435" t="s" s="217">
        <v>1411</v>
      </c>
      <c r="F435" t="s" s="210">
        <v>720</v>
      </c>
      <c r="G435" s="211"/>
      <c r="H435" s="42">
        <f>SUM(J435,N435)</f>
        <v>11000</v>
      </c>
      <c r="I435" s="207">
        <f>SUM(Q435,S435,U435,W435,Y435,AA435,AC435,AE435,AG435,AI435,AK435,AM435,AO435,AQ435,AS435)</f>
        <v>4650</v>
      </c>
      <c r="J435" s="43">
        <f>SUM(P435,R435,T435,V435,X435,Z435,AB435,AD435,AF435,AH435,AJ435,AL435,AN435,AP435,AR435)</f>
        <v>11000</v>
      </c>
      <c r="K435" s="44"/>
      <c r="L435" s="6"/>
      <c r="M435" s="6"/>
      <c r="N435" s="14"/>
      <c r="O435" s="122"/>
      <c r="P435" s="27">
        <v>0</v>
      </c>
      <c r="Q435" s="27">
        <v>650</v>
      </c>
      <c r="R435" s="51">
        <v>5000</v>
      </c>
      <c r="S435" s="51">
        <v>4000</v>
      </c>
      <c r="T435" s="51">
        <v>5000</v>
      </c>
      <c r="U435" s="51">
        <v>0</v>
      </c>
      <c r="V435" s="51">
        <v>1000</v>
      </c>
      <c r="W435" s="51">
        <v>0</v>
      </c>
      <c r="X435" s="51">
        <v>0</v>
      </c>
      <c r="Y435" s="51">
        <v>0</v>
      </c>
      <c r="Z435" s="48">
        <v>0</v>
      </c>
      <c r="AA435" s="48">
        <v>0</v>
      </c>
      <c r="AB435" s="48">
        <v>0</v>
      </c>
      <c r="AC435" s="48">
        <v>0</v>
      </c>
      <c r="AD435" s="55">
        <v>0</v>
      </c>
      <c r="AE435" s="213">
        <v>0</v>
      </c>
      <c r="AF435" s="212">
        <v>0</v>
      </c>
      <c r="AG435" s="121">
        <v>0</v>
      </c>
      <c r="AH435" s="51">
        <v>0</v>
      </c>
      <c r="AI435" s="51">
        <v>0</v>
      </c>
      <c r="AJ435" s="51">
        <v>0</v>
      </c>
      <c r="AK435" s="51">
        <v>0</v>
      </c>
      <c r="AL435" s="14"/>
      <c r="AM435" s="122"/>
      <c r="AN435" s="51">
        <v>0</v>
      </c>
      <c r="AO435" s="51">
        <v>0</v>
      </c>
      <c r="AP435" s="51">
        <v>0</v>
      </c>
      <c r="AQ435" s="47"/>
      <c r="AR435" s="51">
        <v>0</v>
      </c>
      <c r="AS435" s="51">
        <v>0</v>
      </c>
    </row>
    <row r="436" ht="58.5" customHeight="1" hidden="1">
      <c r="A436" t="s" s="130">
        <v>1412</v>
      </c>
      <c r="B436" t="s" s="52">
        <v>450</v>
      </c>
      <c r="C436" t="s" s="130">
        <v>790</v>
      </c>
      <c r="D436" t="s" s="209">
        <v>1376</v>
      </c>
      <c r="E436" t="s" s="132">
        <v>1413</v>
      </c>
      <c r="F436" t="s" s="210">
        <v>714</v>
      </c>
      <c r="G436" s="211"/>
      <c r="H436" s="42">
        <f>SUM(J436,N436)</f>
        <v>85395</v>
      </c>
      <c r="I436" s="207">
        <f>SUM(Q436,S436,U436,W436,Y436,AA436,AC436,AE436,AG436,AI436,AK436,AM436,AO436,AQ436,AS436)</f>
        <v>68863</v>
      </c>
      <c r="J436" s="43">
        <f>SUM(P436,R436,T436,V436,X436,Z436,AB436,AD436,AF436,AH436,AJ436,AL436,AN436,AP436,AR436)</f>
        <v>80395</v>
      </c>
      <c r="K436" s="44"/>
      <c r="L436" s="6"/>
      <c r="M436" s="6"/>
      <c r="N436" s="212">
        <v>5000</v>
      </c>
      <c r="O436" s="122"/>
      <c r="P436" s="27">
        <v>10000</v>
      </c>
      <c r="Q436" s="27">
        <v>11915</v>
      </c>
      <c r="R436" s="51">
        <v>30000</v>
      </c>
      <c r="S436" s="51">
        <v>22750</v>
      </c>
      <c r="T436" s="51">
        <v>17000</v>
      </c>
      <c r="U436" s="51">
        <v>16500</v>
      </c>
      <c r="V436" s="51">
        <v>15000</v>
      </c>
      <c r="W436" s="51">
        <v>12190</v>
      </c>
      <c r="X436" s="51">
        <v>2800</v>
      </c>
      <c r="Y436" s="51">
        <v>2787</v>
      </c>
      <c r="Z436" s="48">
        <v>1900</v>
      </c>
      <c r="AA436" s="48">
        <v>1011</v>
      </c>
      <c r="AB436" s="48">
        <v>1865</v>
      </c>
      <c r="AC436" s="48">
        <v>860</v>
      </c>
      <c r="AD436" s="55">
        <v>1005</v>
      </c>
      <c r="AE436" s="213">
        <v>379</v>
      </c>
      <c r="AF436" s="212">
        <v>200</v>
      </c>
      <c r="AG436" s="121">
        <v>100</v>
      </c>
      <c r="AH436" s="51">
        <v>600</v>
      </c>
      <c r="AI436" s="51">
        <v>346</v>
      </c>
      <c r="AJ436" s="51">
        <v>0</v>
      </c>
      <c r="AK436" s="51">
        <v>0</v>
      </c>
      <c r="AL436" s="14"/>
      <c r="AM436" s="122"/>
      <c r="AN436" s="51">
        <v>25</v>
      </c>
      <c r="AO436" s="51">
        <v>25</v>
      </c>
      <c r="AP436" s="51">
        <v>0</v>
      </c>
      <c r="AQ436" s="47"/>
      <c r="AR436" s="51">
        <v>0</v>
      </c>
      <c r="AS436" s="51">
        <v>0</v>
      </c>
    </row>
    <row r="437" ht="47.25" customHeight="1" hidden="1">
      <c r="A437" t="s" s="59">
        <v>1414</v>
      </c>
      <c r="B437" t="s" s="21">
        <v>451</v>
      </c>
      <c r="C437" t="s" s="59">
        <v>782</v>
      </c>
      <c r="D437" t="s" s="190">
        <v>1376</v>
      </c>
      <c r="E437" t="s" s="253">
        <v>1415</v>
      </c>
      <c r="F437" t="s" s="192">
        <v>714</v>
      </c>
      <c r="G437" s="193"/>
      <c r="H437" s="194">
        <f>SUM(J437,N437)</f>
        <v>4790</v>
      </c>
      <c r="I437" s="195">
        <f>SUM(Q437,S437,U437,W437,Y437,AA437,AC437,AE437,AG437,AI437,AK437,AM437,AO437,AQ437,AS437)</f>
        <v>3062</v>
      </c>
      <c r="J437" s="23">
        <f>SUM(P437,R437,T437,V437,X437,Z437,AB437,AD437,AF437,AH437,AJ437,AL437,AN437,AP437,AR437)</f>
        <v>4740</v>
      </c>
      <c r="K437" s="36"/>
      <c r="L437" s="196"/>
      <c r="M437" s="196"/>
      <c r="N437" s="199">
        <v>50</v>
      </c>
      <c r="O437" s="197"/>
      <c r="P437" s="27">
        <v>900</v>
      </c>
      <c r="Q437" s="27">
        <v>950</v>
      </c>
      <c r="R437" s="28">
        <v>2000</v>
      </c>
      <c r="S437" s="28">
        <v>880</v>
      </c>
      <c r="T437" s="28">
        <v>500</v>
      </c>
      <c r="U437" s="28">
        <v>67</v>
      </c>
      <c r="V437" s="28">
        <v>1200</v>
      </c>
      <c r="W437" s="28">
        <v>1090</v>
      </c>
      <c r="X437" s="28">
        <v>90</v>
      </c>
      <c r="Y437" s="28">
        <v>75</v>
      </c>
      <c r="Z437" s="30">
        <v>0</v>
      </c>
      <c r="AA437" s="30">
        <v>0</v>
      </c>
      <c r="AB437" s="30">
        <v>0</v>
      </c>
      <c r="AC437" s="30">
        <v>0</v>
      </c>
      <c r="AD437" s="30">
        <v>0</v>
      </c>
      <c r="AE437" s="30">
        <v>0</v>
      </c>
      <c r="AF437" s="198">
        <v>50</v>
      </c>
      <c r="AG437" s="206">
        <v>0</v>
      </c>
      <c r="AH437" s="28">
        <v>0</v>
      </c>
      <c r="AI437" s="28">
        <v>0</v>
      </c>
      <c r="AJ437" s="28">
        <v>0</v>
      </c>
      <c r="AK437" s="28">
        <v>0</v>
      </c>
      <c r="AL437" s="202"/>
      <c r="AM437" s="197"/>
      <c r="AN437" s="28">
        <v>0</v>
      </c>
      <c r="AO437" s="28">
        <v>0</v>
      </c>
      <c r="AP437" s="28">
        <v>0</v>
      </c>
      <c r="AQ437" s="87"/>
      <c r="AR437" s="28">
        <v>0</v>
      </c>
      <c r="AS437" s="28">
        <v>0</v>
      </c>
    </row>
    <row r="438" ht="236.25" customHeight="1" hidden="1">
      <c r="A438" t="s" s="130">
        <v>1416</v>
      </c>
      <c r="B438" t="s" s="52">
        <v>452</v>
      </c>
      <c r="C438" t="s" s="130">
        <v>790</v>
      </c>
      <c r="D438" t="s" s="209">
        <v>1376</v>
      </c>
      <c r="E438" t="s" s="236">
        <v>1417</v>
      </c>
      <c r="F438" t="s" s="210">
        <v>714</v>
      </c>
      <c r="G438" s="211"/>
      <c r="H438" s="42">
        <f>SUM(J438,N438)</f>
        <v>43735</v>
      </c>
      <c r="I438" s="207">
        <f>SUM(Q438,S438,U438,W438,Y438,AA438,AC438,AE438,AG438,AI438,AK438,AM438,AO438,AQ438,AS438)</f>
        <v>34054</v>
      </c>
      <c r="J438" s="43">
        <f>SUM(P438,R438,T438,V438,X438,Z438,AB438,AD438,AF438,AH438,AJ438,AL438,AN438,AP438,AR438)</f>
        <v>43735</v>
      </c>
      <c r="K438" s="44"/>
      <c r="L438" s="6"/>
      <c r="M438" s="6"/>
      <c r="N438" s="14"/>
      <c r="O438" s="122"/>
      <c r="P438" s="27">
        <v>17000</v>
      </c>
      <c r="Q438" s="27">
        <v>13700</v>
      </c>
      <c r="R438" s="51">
        <v>10000</v>
      </c>
      <c r="S438" s="51">
        <v>7175</v>
      </c>
      <c r="T438" s="51">
        <v>200</v>
      </c>
      <c r="U438" s="51">
        <v>0</v>
      </c>
      <c r="V438" s="51">
        <v>1000</v>
      </c>
      <c r="W438" s="51">
        <v>2050</v>
      </c>
      <c r="X438" s="51">
        <v>8000</v>
      </c>
      <c r="Y438" s="51">
        <v>7340</v>
      </c>
      <c r="Z438" s="48">
        <v>1900</v>
      </c>
      <c r="AA438" s="48">
        <v>960</v>
      </c>
      <c r="AB438" s="48">
        <v>1785</v>
      </c>
      <c r="AC438" s="48">
        <v>855</v>
      </c>
      <c r="AD438" s="55">
        <v>440</v>
      </c>
      <c r="AE438" s="213">
        <v>123</v>
      </c>
      <c r="AF438" s="212">
        <v>500</v>
      </c>
      <c r="AG438" s="121">
        <v>200</v>
      </c>
      <c r="AH438" s="51">
        <v>2910</v>
      </c>
      <c r="AI438" s="51">
        <v>1651</v>
      </c>
      <c r="AJ438" s="51">
        <v>0</v>
      </c>
      <c r="AK438" s="51">
        <v>0</v>
      </c>
      <c r="AL438" s="14"/>
      <c r="AM438" s="122"/>
      <c r="AN438" s="51">
        <v>0</v>
      </c>
      <c r="AO438" s="51">
        <v>0</v>
      </c>
      <c r="AP438" s="51">
        <v>0</v>
      </c>
      <c r="AQ438" s="47"/>
      <c r="AR438" s="51">
        <v>0</v>
      </c>
      <c r="AS438" s="51">
        <v>0</v>
      </c>
    </row>
    <row r="439" ht="47.25" customHeight="1" hidden="1">
      <c r="A439" t="s" s="59">
        <v>1418</v>
      </c>
      <c r="B439" t="s" s="21">
        <v>453</v>
      </c>
      <c r="C439" t="s" s="59">
        <v>790</v>
      </c>
      <c r="D439" t="s" s="190">
        <v>717</v>
      </c>
      <c r="E439" t="s" s="222">
        <v>1419</v>
      </c>
      <c r="F439" t="s" s="192">
        <v>714</v>
      </c>
      <c r="G439" s="193"/>
      <c r="H439" s="194">
        <f>SUM(J439,N439)</f>
        <v>9500</v>
      </c>
      <c r="I439" s="195">
        <f>SUM(Q439,S439,U439,W439,Y439,AA439,AC439,AE439,AG439,AI439,AK439,AM439,AO439,AQ439,AS439)</f>
        <v>2408</v>
      </c>
      <c r="J439" s="23">
        <f>SUM(P439,R439,T439,V439,X439,Z439,AB439,AD439,AF439,AH439,AJ439,AL439,AN439,AP439,AR439)</f>
        <v>9500</v>
      </c>
      <c r="K439" s="36"/>
      <c r="L439" s="196"/>
      <c r="M439" s="196"/>
      <c r="N439" s="196"/>
      <c r="O439" s="197"/>
      <c r="P439" s="27">
        <v>8000</v>
      </c>
      <c r="Q439" s="27">
        <v>1916</v>
      </c>
      <c r="R439" s="28">
        <v>600</v>
      </c>
      <c r="S439" s="28">
        <v>229</v>
      </c>
      <c r="T439" s="28">
        <v>600</v>
      </c>
      <c r="U439" s="28">
        <v>147</v>
      </c>
      <c r="V439" s="28">
        <v>300</v>
      </c>
      <c r="W439" s="28">
        <v>116</v>
      </c>
      <c r="X439" s="28">
        <v>0</v>
      </c>
      <c r="Y439" s="28">
        <v>0</v>
      </c>
      <c r="Z439" s="30">
        <v>0</v>
      </c>
      <c r="AA439" s="30">
        <v>0</v>
      </c>
      <c r="AB439" s="30">
        <v>0</v>
      </c>
      <c r="AC439" s="30">
        <v>0</v>
      </c>
      <c r="AD439" s="30">
        <v>0</v>
      </c>
      <c r="AE439" s="30">
        <v>0</v>
      </c>
      <c r="AF439" s="198">
        <v>0</v>
      </c>
      <c r="AG439" s="206">
        <v>0</v>
      </c>
      <c r="AH439" s="28">
        <v>0</v>
      </c>
      <c r="AI439" s="28">
        <v>0</v>
      </c>
      <c r="AJ439" s="28">
        <v>0</v>
      </c>
      <c r="AK439" s="28">
        <v>0</v>
      </c>
      <c r="AL439" s="202"/>
      <c r="AM439" s="197"/>
      <c r="AN439" s="28">
        <v>0</v>
      </c>
      <c r="AO439" s="28">
        <v>0</v>
      </c>
      <c r="AP439" s="28">
        <v>0</v>
      </c>
      <c r="AQ439" s="87"/>
      <c r="AR439" s="28">
        <v>0</v>
      </c>
      <c r="AS439" s="28">
        <v>0</v>
      </c>
    </row>
    <row r="440" ht="126" customHeight="1" hidden="1">
      <c r="A440" t="s" s="130">
        <v>1420</v>
      </c>
      <c r="B440" t="s" s="52">
        <v>454</v>
      </c>
      <c r="C440" t="s" s="130">
        <v>790</v>
      </c>
      <c r="D440" t="s" s="209">
        <v>1376</v>
      </c>
      <c r="E440" s="189"/>
      <c r="F440" t="s" s="210">
        <v>720</v>
      </c>
      <c r="G440" s="211"/>
      <c r="H440" s="42">
        <f>SUM(J440,N440)</f>
        <v>72025</v>
      </c>
      <c r="I440" s="207">
        <f>SUM(Q440,S440,U440,W440,Y440,AA440,AC440,AE440,AG440,AI440,AK440,AM440,AO440,AQ440,AS440)</f>
        <v>55720</v>
      </c>
      <c r="J440" s="43">
        <f>SUM(P440,R440,T440,V440,X440,Z440,AB440,AD440,AF440,AH440,AJ440,AL440,AN440,AP440,AR440)</f>
        <v>72025</v>
      </c>
      <c r="K440" s="44"/>
      <c r="L440" s="6"/>
      <c r="M440" s="6"/>
      <c r="N440" s="14"/>
      <c r="O440" s="122"/>
      <c r="P440" s="27">
        <v>30000</v>
      </c>
      <c r="Q440" s="27">
        <v>30000</v>
      </c>
      <c r="R440" s="51">
        <v>20000</v>
      </c>
      <c r="S440" s="51">
        <v>18875</v>
      </c>
      <c r="T440" s="51">
        <v>15000</v>
      </c>
      <c r="U440" s="51">
        <v>100</v>
      </c>
      <c r="V440" s="51">
        <v>6000</v>
      </c>
      <c r="W440" s="51">
        <v>6220</v>
      </c>
      <c r="X440" s="51">
        <v>0</v>
      </c>
      <c r="Y440" s="51">
        <v>0</v>
      </c>
      <c r="Z440" s="48">
        <v>0</v>
      </c>
      <c r="AA440" s="48">
        <v>0</v>
      </c>
      <c r="AB440" s="48">
        <v>0</v>
      </c>
      <c r="AC440" s="48">
        <v>0</v>
      </c>
      <c r="AD440" s="55">
        <v>0</v>
      </c>
      <c r="AE440" s="213">
        <v>0</v>
      </c>
      <c r="AF440" s="212">
        <v>1000</v>
      </c>
      <c r="AG440" s="121">
        <v>500</v>
      </c>
      <c r="AH440" s="51">
        <v>0</v>
      </c>
      <c r="AI440" s="51">
        <v>0</v>
      </c>
      <c r="AJ440" s="51">
        <v>0</v>
      </c>
      <c r="AK440" s="51">
        <v>0</v>
      </c>
      <c r="AL440" s="14"/>
      <c r="AM440" s="122"/>
      <c r="AN440" s="51">
        <v>25</v>
      </c>
      <c r="AO440" s="51">
        <v>25</v>
      </c>
      <c r="AP440" s="51">
        <v>0</v>
      </c>
      <c r="AQ440" s="47"/>
      <c r="AR440" s="51">
        <v>0</v>
      </c>
      <c r="AS440" s="51">
        <v>0</v>
      </c>
    </row>
    <row r="441" ht="39" customHeight="1" hidden="1">
      <c r="A441" t="s" s="59">
        <v>1421</v>
      </c>
      <c r="B441" t="s" s="21">
        <v>455</v>
      </c>
      <c r="C441" t="s" s="59">
        <v>1422</v>
      </c>
      <c r="D441" t="s" s="190">
        <v>1376</v>
      </c>
      <c r="E441" t="s" s="216">
        <v>1423</v>
      </c>
      <c r="F441" t="s" s="192">
        <v>714</v>
      </c>
      <c r="G441" s="193"/>
      <c r="H441" s="194">
        <f>SUM(J441,N441)</f>
        <v>5600</v>
      </c>
      <c r="I441" s="195">
        <f>SUM(Q441,S441,U441,W441,Y441,AA441,AC441,AE441,AG441,AI441,AK441,AM441,AO441,AQ441,AS441)</f>
        <v>1538</v>
      </c>
      <c r="J441" s="23">
        <f>SUM(P441,R441,T441,V441,X441,Z441,AB441,AD441,AF441,AH441,AJ441,AL441,AN441,AP441,AR441)</f>
        <v>5600</v>
      </c>
      <c r="K441" s="36"/>
      <c r="L441" s="196"/>
      <c r="M441" s="196"/>
      <c r="N441" s="196"/>
      <c r="O441" s="197"/>
      <c r="P441" s="27">
        <v>3000</v>
      </c>
      <c r="Q441" s="27">
        <v>1438</v>
      </c>
      <c r="R441" s="28">
        <v>50</v>
      </c>
      <c r="S441" s="28">
        <v>0</v>
      </c>
      <c r="T441" s="28">
        <v>2500</v>
      </c>
      <c r="U441" s="28">
        <v>0</v>
      </c>
      <c r="V441" s="28">
        <v>50</v>
      </c>
      <c r="W441" s="28">
        <v>100</v>
      </c>
      <c r="X441" s="28">
        <v>0</v>
      </c>
      <c r="Y441" s="28">
        <v>0</v>
      </c>
      <c r="Z441" s="30">
        <v>0</v>
      </c>
      <c r="AA441" s="30">
        <v>0</v>
      </c>
      <c r="AB441" s="30">
        <v>0</v>
      </c>
      <c r="AC441" s="30">
        <v>0</v>
      </c>
      <c r="AD441" s="30">
        <v>0</v>
      </c>
      <c r="AE441" s="30">
        <v>0</v>
      </c>
      <c r="AF441" s="198">
        <v>0</v>
      </c>
      <c r="AG441" s="206">
        <v>0</v>
      </c>
      <c r="AH441" s="28">
        <v>0</v>
      </c>
      <c r="AI441" s="28">
        <v>0</v>
      </c>
      <c r="AJ441" s="28">
        <v>0</v>
      </c>
      <c r="AK441" s="28">
        <v>0</v>
      </c>
      <c r="AL441" s="202"/>
      <c r="AM441" s="197"/>
      <c r="AN441" s="28">
        <v>0</v>
      </c>
      <c r="AO441" s="28">
        <v>0</v>
      </c>
      <c r="AP441" s="28">
        <v>0</v>
      </c>
      <c r="AQ441" s="87"/>
      <c r="AR441" s="28">
        <v>0</v>
      </c>
      <c r="AS441" s="28">
        <v>0</v>
      </c>
    </row>
    <row r="442" ht="31.5" customHeight="1" hidden="1">
      <c r="A442" t="s" s="130">
        <v>1424</v>
      </c>
      <c r="B442" t="s" s="52">
        <v>456</v>
      </c>
      <c r="C442" t="s" s="130">
        <v>790</v>
      </c>
      <c r="D442" t="s" s="209">
        <v>1376</v>
      </c>
      <c r="E442" s="189"/>
      <c r="F442" t="s" s="210">
        <v>714</v>
      </c>
      <c r="G442" s="211"/>
      <c r="H442" s="42">
        <f>SUM(J442,N442)</f>
        <v>470655</v>
      </c>
      <c r="I442" s="207">
        <f>SUM(Q442,S442,U442,W442,Y442,AA442,AC442,AE442,AG442,AI442,AK442,AM442,AO442,AQ442,AS442)</f>
        <v>280545</v>
      </c>
      <c r="J442" s="43">
        <f>SUM(P442,R442,T442,V442,X442,Z442,AB442,AD442,AF442,AH442,AJ442,AL442,AN442,AP442,AR442)</f>
        <v>467655</v>
      </c>
      <c r="K442" s="44"/>
      <c r="L442" s="6"/>
      <c r="M442" s="6"/>
      <c r="N442" s="212">
        <v>3000</v>
      </c>
      <c r="O442" s="122"/>
      <c r="P442" s="27">
        <v>150000</v>
      </c>
      <c r="Q442" s="27">
        <v>122094</v>
      </c>
      <c r="R442" s="51">
        <v>80000</v>
      </c>
      <c r="S442" s="51">
        <v>64515</v>
      </c>
      <c r="T442" s="51">
        <v>150000</v>
      </c>
      <c r="U442" s="51">
        <v>29000</v>
      </c>
      <c r="V442" s="51">
        <v>50000</v>
      </c>
      <c r="W442" s="51">
        <v>42900</v>
      </c>
      <c r="X442" s="51">
        <v>11000</v>
      </c>
      <c r="Y442" s="51">
        <v>10425</v>
      </c>
      <c r="Z442" s="48">
        <v>4000</v>
      </c>
      <c r="AA442" s="48">
        <v>2500</v>
      </c>
      <c r="AB442" s="48">
        <v>8710</v>
      </c>
      <c r="AC442" s="48">
        <v>3126</v>
      </c>
      <c r="AD442" s="55">
        <v>4480</v>
      </c>
      <c r="AE442" s="213">
        <v>2134</v>
      </c>
      <c r="AF442" s="212">
        <v>2000</v>
      </c>
      <c r="AG442" s="121">
        <v>1000</v>
      </c>
      <c r="AH442" s="51">
        <v>7115</v>
      </c>
      <c r="AI442" s="51">
        <v>2801</v>
      </c>
      <c r="AJ442" s="51">
        <v>300</v>
      </c>
      <c r="AK442" s="51">
        <v>25</v>
      </c>
      <c r="AL442" s="14"/>
      <c r="AM442" s="122"/>
      <c r="AN442" s="51">
        <v>25</v>
      </c>
      <c r="AO442" s="51">
        <v>25</v>
      </c>
      <c r="AP442" s="51">
        <v>0</v>
      </c>
      <c r="AQ442" s="47"/>
      <c r="AR442" s="51">
        <v>25</v>
      </c>
      <c r="AS442" s="51">
        <v>0</v>
      </c>
    </row>
    <row r="443" ht="47.25" customHeight="1" hidden="1">
      <c r="A443" t="s" s="130">
        <v>1425</v>
      </c>
      <c r="B443" t="s" s="52">
        <v>457</v>
      </c>
      <c r="C443" t="s" s="130">
        <v>790</v>
      </c>
      <c r="D443" t="s" s="209">
        <v>1376</v>
      </c>
      <c r="E443" t="s" s="236">
        <v>1426</v>
      </c>
      <c r="F443" t="s" s="210">
        <v>720</v>
      </c>
      <c r="G443" s="211"/>
      <c r="H443" s="42">
        <f>SUM(J443,N443)</f>
        <v>92400</v>
      </c>
      <c r="I443" s="207">
        <f>SUM(Q443,S443,U443,W443,Y443,AA443,AC443,AE443,AG443,AI443,AK443,AM443,AO443,AQ443,AS443)</f>
        <v>54479</v>
      </c>
      <c r="J443" s="43">
        <f>SUM(P443,R443,T443,V443,X443,Z443,AB443,AD443,AF443,AH443,AJ443,AL443,AN443,AP443,AR443)</f>
        <v>92400</v>
      </c>
      <c r="K443" s="44"/>
      <c r="L443" s="6"/>
      <c r="M443" s="6"/>
      <c r="N443" s="14"/>
      <c r="O443" s="122"/>
      <c r="P443" s="27">
        <v>30000</v>
      </c>
      <c r="Q443" s="27">
        <v>24825</v>
      </c>
      <c r="R443" s="51">
        <v>25000</v>
      </c>
      <c r="S443" s="51">
        <v>21454</v>
      </c>
      <c r="T443" s="51">
        <v>25000</v>
      </c>
      <c r="U443" s="51">
        <v>0</v>
      </c>
      <c r="V443" s="51">
        <v>8000</v>
      </c>
      <c r="W443" s="51">
        <v>4900</v>
      </c>
      <c r="X443" s="51">
        <v>2400</v>
      </c>
      <c r="Y443" s="51">
        <v>2300</v>
      </c>
      <c r="Z443" s="48">
        <v>0</v>
      </c>
      <c r="AA443" s="48">
        <v>0</v>
      </c>
      <c r="AB443" s="48">
        <v>0</v>
      </c>
      <c r="AC443" s="48">
        <v>0</v>
      </c>
      <c r="AD443" s="55">
        <v>0</v>
      </c>
      <c r="AE443" s="213">
        <v>0</v>
      </c>
      <c r="AF443" s="212">
        <v>2000</v>
      </c>
      <c r="AG443" s="121">
        <v>1000</v>
      </c>
      <c r="AH443" s="51">
        <v>0</v>
      </c>
      <c r="AI443" s="51">
        <v>0</v>
      </c>
      <c r="AJ443" s="51">
        <v>0</v>
      </c>
      <c r="AK443" s="51">
        <v>0</v>
      </c>
      <c r="AL443" s="14"/>
      <c r="AM443" s="122"/>
      <c r="AN443" s="51">
        <v>0</v>
      </c>
      <c r="AO443" s="51">
        <v>0</v>
      </c>
      <c r="AP443" s="51">
        <v>0</v>
      </c>
      <c r="AQ443" s="47"/>
      <c r="AR443" s="51">
        <v>0</v>
      </c>
      <c r="AS443" s="51">
        <v>0</v>
      </c>
    </row>
    <row r="444" ht="63" customHeight="1" hidden="1">
      <c r="A444" t="s" s="130">
        <v>1427</v>
      </c>
      <c r="B444" t="s" s="52">
        <v>458</v>
      </c>
      <c r="C444" t="s" s="130">
        <v>790</v>
      </c>
      <c r="D444" t="s" s="209">
        <v>1376</v>
      </c>
      <c r="E444" t="s" s="236">
        <v>1415</v>
      </c>
      <c r="F444" t="s" s="210">
        <v>714</v>
      </c>
      <c r="G444" s="211"/>
      <c r="H444" s="42">
        <f>SUM(J444,N444)</f>
        <v>93120</v>
      </c>
      <c r="I444" s="207">
        <f>SUM(Q444,S444,U444,W444,Y444,AA444,AC444,AE444,AG444,AI444,AK444,AM444,AO444,AQ444,AS444)</f>
        <v>82200</v>
      </c>
      <c r="J444" s="43">
        <f>SUM(P444,R444,T444,V444,X444,Z444,AB444,AD444,AF444,AH444,AJ444,AL444,AN444,AP444,AR444)</f>
        <v>93120</v>
      </c>
      <c r="K444" s="44"/>
      <c r="L444" s="6"/>
      <c r="M444" s="6"/>
      <c r="N444" s="14"/>
      <c r="O444" s="122"/>
      <c r="P444" s="27">
        <v>1000</v>
      </c>
      <c r="Q444" s="27">
        <v>7350</v>
      </c>
      <c r="R444" s="51">
        <v>50000</v>
      </c>
      <c r="S444" s="51">
        <v>43550</v>
      </c>
      <c r="T444" s="51">
        <v>12000</v>
      </c>
      <c r="U444" s="51">
        <v>7000</v>
      </c>
      <c r="V444" s="51">
        <v>30000</v>
      </c>
      <c r="W444" s="51">
        <v>24200</v>
      </c>
      <c r="X444" s="51">
        <v>120</v>
      </c>
      <c r="Y444" s="51">
        <v>100</v>
      </c>
      <c r="Z444" s="48">
        <v>0</v>
      </c>
      <c r="AA444" s="48">
        <v>0</v>
      </c>
      <c r="AB444" s="48">
        <v>0</v>
      </c>
      <c r="AC444" s="48">
        <v>0</v>
      </c>
      <c r="AD444" s="55">
        <v>0</v>
      </c>
      <c r="AE444" s="213">
        <v>0</v>
      </c>
      <c r="AF444" s="212">
        <v>0</v>
      </c>
      <c r="AG444" s="121">
        <v>0</v>
      </c>
      <c r="AH444" s="51">
        <v>0</v>
      </c>
      <c r="AI444" s="51">
        <v>0</v>
      </c>
      <c r="AJ444" s="51">
        <v>0</v>
      </c>
      <c r="AK444" s="51">
        <v>0</v>
      </c>
      <c r="AL444" s="14"/>
      <c r="AM444" s="122"/>
      <c r="AN444" s="51">
        <v>0</v>
      </c>
      <c r="AO444" s="51">
        <v>0</v>
      </c>
      <c r="AP444" s="51">
        <v>0</v>
      </c>
      <c r="AQ444" s="47"/>
      <c r="AR444" s="51">
        <v>0</v>
      </c>
      <c r="AS444" s="51">
        <v>0</v>
      </c>
    </row>
    <row r="445" ht="47.25" customHeight="1" hidden="1">
      <c r="A445" t="s" s="220">
        <v>1428</v>
      </c>
      <c r="B445" t="s" s="52">
        <v>459</v>
      </c>
      <c r="C445" t="s" s="130">
        <v>790</v>
      </c>
      <c r="D445" t="s" s="209">
        <v>1376</v>
      </c>
      <c r="E445" t="s" s="236">
        <v>1415</v>
      </c>
      <c r="F445" t="s" s="210">
        <v>720</v>
      </c>
      <c r="G445" s="211"/>
      <c r="H445" s="42">
        <f>SUM(J445,N445)</f>
        <v>159710</v>
      </c>
      <c r="I445" s="207">
        <f>SUM(Q445,S445,U445,W445,Y445,AA445,AC445,AE445,AG445,AI445,AK445,AM445,AO445,AQ445,AS445)</f>
        <v>104116</v>
      </c>
      <c r="J445" s="43">
        <f>SUM(P445,R445,T445,V445,X445,Z445,AB445,AD445,AF445,AH445,AJ445,AL445,AN445,AP445,AR445)</f>
        <v>157710</v>
      </c>
      <c r="K445" s="44"/>
      <c r="L445" s="6"/>
      <c r="M445" s="6"/>
      <c r="N445" s="212">
        <v>2000</v>
      </c>
      <c r="O445" s="122"/>
      <c r="P445" s="27">
        <v>50000</v>
      </c>
      <c r="Q445" s="27">
        <v>49775</v>
      </c>
      <c r="R445" s="51">
        <v>25000</v>
      </c>
      <c r="S445" s="51">
        <v>15425</v>
      </c>
      <c r="T445" s="51">
        <v>50000</v>
      </c>
      <c r="U445" s="51">
        <v>16500</v>
      </c>
      <c r="V445" s="51">
        <v>12000</v>
      </c>
      <c r="W445" s="51">
        <v>11150</v>
      </c>
      <c r="X445" s="51">
        <v>3000</v>
      </c>
      <c r="Y445" s="51">
        <v>2883</v>
      </c>
      <c r="Z445" s="48">
        <v>4000</v>
      </c>
      <c r="AA445" s="48">
        <v>2600</v>
      </c>
      <c r="AB445" s="48">
        <v>4725</v>
      </c>
      <c r="AC445" s="48">
        <v>1763</v>
      </c>
      <c r="AD445" s="55">
        <v>1850</v>
      </c>
      <c r="AE445" s="213">
        <v>1115</v>
      </c>
      <c r="AF445" s="212">
        <v>2000</v>
      </c>
      <c r="AG445" s="121">
        <v>1000</v>
      </c>
      <c r="AH445" s="51">
        <v>5110</v>
      </c>
      <c r="AI445" s="51">
        <v>1880</v>
      </c>
      <c r="AJ445" s="51">
        <v>0</v>
      </c>
      <c r="AK445" s="51">
        <v>0</v>
      </c>
      <c r="AL445" s="14"/>
      <c r="AM445" s="122"/>
      <c r="AN445" s="51">
        <v>25</v>
      </c>
      <c r="AO445" s="51">
        <v>25</v>
      </c>
      <c r="AP445" s="51">
        <v>0</v>
      </c>
      <c r="AQ445" s="47"/>
      <c r="AR445" s="51">
        <v>0</v>
      </c>
      <c r="AS445" s="51">
        <v>0</v>
      </c>
    </row>
    <row r="446" ht="136.5" customHeight="1" hidden="1">
      <c r="A446" t="s" s="220">
        <v>1429</v>
      </c>
      <c r="B446" t="s" s="52">
        <v>460</v>
      </c>
      <c r="C446" t="s" s="130">
        <v>790</v>
      </c>
      <c r="D446" t="s" s="209">
        <v>1376</v>
      </c>
      <c r="E446" t="s" s="217">
        <v>1430</v>
      </c>
      <c r="F446" t="s" s="210">
        <v>714</v>
      </c>
      <c r="G446" s="211"/>
      <c r="H446" s="42">
        <f>SUM(J446,N446)</f>
        <v>150</v>
      </c>
      <c r="I446" s="207">
        <f>SUM(Q446,S446,U446,W446,Y446,AA446,AC446,AE446,AG446,AI446,AK446,AM446,AO446,AQ446,AS446)</f>
        <v>0</v>
      </c>
      <c r="J446" s="43">
        <f>SUM(P446,R446,T446,V446,X446,Z446,AB446,AD446,AF446,AH446,AJ446,AL446,AN446,AP446,AR446)</f>
        <v>150</v>
      </c>
      <c r="K446" s="44"/>
      <c r="L446" s="6"/>
      <c r="M446" s="6"/>
      <c r="N446" s="14"/>
      <c r="O446" s="122"/>
      <c r="P446" s="27">
        <v>0</v>
      </c>
      <c r="Q446" s="27">
        <v>0</v>
      </c>
      <c r="R446" s="51">
        <v>50</v>
      </c>
      <c r="S446" s="51">
        <v>0</v>
      </c>
      <c r="T446" s="51">
        <v>100</v>
      </c>
      <c r="U446" s="51">
        <v>0</v>
      </c>
      <c r="V446" s="51">
        <v>0</v>
      </c>
      <c r="W446" s="51">
        <v>0</v>
      </c>
      <c r="X446" s="51">
        <v>0</v>
      </c>
      <c r="Y446" s="51">
        <v>0</v>
      </c>
      <c r="Z446" s="48">
        <v>0</v>
      </c>
      <c r="AA446" s="48">
        <v>0</v>
      </c>
      <c r="AB446" s="48">
        <v>0</v>
      </c>
      <c r="AC446" s="48">
        <v>0</v>
      </c>
      <c r="AD446" s="55">
        <v>0</v>
      </c>
      <c r="AE446" s="213">
        <v>0</v>
      </c>
      <c r="AF446" s="212">
        <v>0</v>
      </c>
      <c r="AG446" s="121">
        <v>0</v>
      </c>
      <c r="AH446" s="51">
        <v>0</v>
      </c>
      <c r="AI446" s="51">
        <v>0</v>
      </c>
      <c r="AJ446" s="51">
        <v>0</v>
      </c>
      <c r="AK446" s="51">
        <v>0</v>
      </c>
      <c r="AL446" s="14"/>
      <c r="AM446" s="122"/>
      <c r="AN446" s="51">
        <v>0</v>
      </c>
      <c r="AO446" s="51">
        <v>0</v>
      </c>
      <c r="AP446" s="51">
        <v>0</v>
      </c>
      <c r="AQ446" s="47"/>
      <c r="AR446" s="51">
        <v>0</v>
      </c>
      <c r="AS446" s="51">
        <v>0</v>
      </c>
    </row>
    <row r="447" ht="31.5" customHeight="1" hidden="1">
      <c r="A447" t="s" s="88">
        <v>1431</v>
      </c>
      <c r="B447" t="s" s="88">
        <v>461</v>
      </c>
      <c r="C447" s="228"/>
      <c r="D447" s="228"/>
      <c r="E447" s="189"/>
      <c r="F447" s="182">
        <v>0</v>
      </c>
      <c r="G447" s="183"/>
      <c r="H447" s="42">
        <f>SUM(J447,N447)</f>
        <v>0</v>
      </c>
      <c r="I447" s="207">
        <f>SUM(Q447,S447,U447,W447,Y447,AA447,AC447,AE447,AG447,AI447,AK447,AM447,AO447,AQ447,AS447)</f>
        <v>0</v>
      </c>
      <c r="J447" s="43">
        <f>SUM(P447,R447,T447,V447,X447,Z447,AB447,AD447,AF447,AH447,AJ447,AL447,AN447,AP447,AR447)</f>
        <v>0</v>
      </c>
      <c r="K447" s="44"/>
      <c r="L447" s="6"/>
      <c r="M447" s="6"/>
      <c r="N447" s="14"/>
      <c r="O447" s="122"/>
      <c r="P447" s="46"/>
      <c r="Q447" s="46"/>
      <c r="R447" s="47"/>
      <c r="S447" s="47"/>
      <c r="T447" s="47"/>
      <c r="U447" s="47"/>
      <c r="V447" s="47"/>
      <c r="W447" s="47"/>
      <c r="X447" s="47"/>
      <c r="Y447" s="47"/>
      <c r="Z447" s="48">
        <v>0</v>
      </c>
      <c r="AA447" s="48">
        <v>0</v>
      </c>
      <c r="AB447" s="49"/>
      <c r="AC447" s="49"/>
      <c r="AD447" s="50"/>
      <c r="AE447" s="50"/>
      <c r="AF447" s="14"/>
      <c r="AG447" s="122"/>
      <c r="AH447" s="51">
        <v>0</v>
      </c>
      <c r="AI447" s="51">
        <v>0</v>
      </c>
      <c r="AJ447" s="47"/>
      <c r="AK447" s="47"/>
      <c r="AL447" s="14"/>
      <c r="AM447" s="122"/>
      <c r="AN447" s="47"/>
      <c r="AO447" s="47"/>
      <c r="AP447" s="47"/>
      <c r="AQ447" s="47"/>
      <c r="AR447" s="51">
        <v>0</v>
      </c>
      <c r="AS447" s="51">
        <v>0</v>
      </c>
    </row>
    <row r="448" ht="47.25" customHeight="1" hidden="1">
      <c r="A448" t="s" s="116">
        <v>1432</v>
      </c>
      <c r="B448" t="s" s="52">
        <v>462</v>
      </c>
      <c r="C448" t="s" s="130">
        <v>1433</v>
      </c>
      <c r="D448" t="s" s="209">
        <v>791</v>
      </c>
      <c r="E448" t="s" s="217">
        <v>1434</v>
      </c>
      <c r="F448" s="247"/>
      <c r="G448" s="211"/>
      <c r="H448" s="42">
        <f>SUM(J448,N448)</f>
        <v>210</v>
      </c>
      <c r="I448" s="207">
        <f>SUM(Q448,S448,U448,W448,Y448,AA448,AC448,AE448,AG448,AI448,AK448,AM448,AO448,AQ448,AS448)</f>
        <v>48</v>
      </c>
      <c r="J448" s="43">
        <f>SUM(P448,R448,T448,V448,X448,Z448,AB448,AD448,AF448,AH448,AJ448,AL448,AN448,AP448,AR448)</f>
        <v>210</v>
      </c>
      <c r="K448" s="44"/>
      <c r="L448" s="6"/>
      <c r="M448" s="6"/>
      <c r="N448" s="14"/>
      <c r="O448" s="122"/>
      <c r="P448" s="27">
        <v>0</v>
      </c>
      <c r="Q448" s="27">
        <v>0</v>
      </c>
      <c r="R448" s="51">
        <v>120</v>
      </c>
      <c r="S448" s="51">
        <v>48</v>
      </c>
      <c r="T448" s="51">
        <v>90</v>
      </c>
      <c r="U448" s="51">
        <v>0</v>
      </c>
      <c r="V448" s="51">
        <v>0</v>
      </c>
      <c r="W448" s="51">
        <v>0</v>
      </c>
      <c r="X448" s="51">
        <v>0</v>
      </c>
      <c r="Y448" s="51">
        <v>0</v>
      </c>
      <c r="Z448" s="48">
        <v>0</v>
      </c>
      <c r="AA448" s="48">
        <v>0</v>
      </c>
      <c r="AB448" s="48">
        <v>0</v>
      </c>
      <c r="AC448" s="48">
        <v>0</v>
      </c>
      <c r="AD448" s="55">
        <v>0</v>
      </c>
      <c r="AE448" s="213">
        <v>0</v>
      </c>
      <c r="AF448" s="212">
        <v>0</v>
      </c>
      <c r="AG448" s="121">
        <v>0</v>
      </c>
      <c r="AH448" s="51">
        <v>0</v>
      </c>
      <c r="AI448" s="51">
        <v>0</v>
      </c>
      <c r="AJ448" s="51">
        <v>0</v>
      </c>
      <c r="AK448" s="51">
        <v>0</v>
      </c>
      <c r="AL448" s="14"/>
      <c r="AM448" s="122"/>
      <c r="AN448" s="51">
        <v>0</v>
      </c>
      <c r="AO448" s="51">
        <v>0</v>
      </c>
      <c r="AP448" s="51">
        <v>0</v>
      </c>
      <c r="AQ448" s="47"/>
      <c r="AR448" s="51">
        <v>0</v>
      </c>
      <c r="AS448" s="51">
        <v>0</v>
      </c>
    </row>
    <row r="449" ht="47.25" customHeight="1" hidden="1">
      <c r="A449" t="s" s="116">
        <v>1435</v>
      </c>
      <c r="B449" t="s" s="116">
        <v>463</v>
      </c>
      <c r="C449" t="s" s="130">
        <v>1433</v>
      </c>
      <c r="D449" t="s" s="209">
        <v>791</v>
      </c>
      <c r="E449" t="s" s="217">
        <v>1434</v>
      </c>
      <c r="F449" s="247"/>
      <c r="G449" s="211"/>
      <c r="H449" s="42">
        <f>SUM(J449,N449)</f>
        <v>330</v>
      </c>
      <c r="I449" s="207">
        <f>SUM(Q449,S449,U449,W449,Y449,AA449,AC449,AE449,AG449,AI449,AK449,AM449,AO449,AQ449,AS449)</f>
        <v>48</v>
      </c>
      <c r="J449" s="43">
        <f>SUM(P449,R449,T449,V449,X449,Z449,AB449,AD449,AF449,AH449,AJ449,AL449,AN449,AP449,AR449)</f>
        <v>330</v>
      </c>
      <c r="K449" s="44"/>
      <c r="L449" s="6"/>
      <c r="M449" s="6"/>
      <c r="N449" s="14"/>
      <c r="O449" s="122"/>
      <c r="P449" s="27">
        <v>0</v>
      </c>
      <c r="Q449" s="27">
        <v>0</v>
      </c>
      <c r="R449" s="51">
        <v>240</v>
      </c>
      <c r="S449" s="51">
        <v>48</v>
      </c>
      <c r="T449" s="51">
        <v>90</v>
      </c>
      <c r="U449" s="51">
        <v>0</v>
      </c>
      <c r="V449" s="51">
        <v>0</v>
      </c>
      <c r="W449" s="51">
        <v>0</v>
      </c>
      <c r="X449" s="51">
        <v>0</v>
      </c>
      <c r="Y449" s="51">
        <v>0</v>
      </c>
      <c r="Z449" s="48">
        <v>0</v>
      </c>
      <c r="AA449" s="48">
        <v>0</v>
      </c>
      <c r="AB449" s="48">
        <v>0</v>
      </c>
      <c r="AC449" s="48">
        <v>0</v>
      </c>
      <c r="AD449" s="55">
        <v>0</v>
      </c>
      <c r="AE449" s="213">
        <v>0</v>
      </c>
      <c r="AF449" s="212">
        <v>0</v>
      </c>
      <c r="AG449" s="121">
        <v>0</v>
      </c>
      <c r="AH449" s="51">
        <v>0</v>
      </c>
      <c r="AI449" s="51">
        <v>0</v>
      </c>
      <c r="AJ449" s="51">
        <v>0</v>
      </c>
      <c r="AK449" s="51">
        <v>0</v>
      </c>
      <c r="AL449" s="14"/>
      <c r="AM449" s="122"/>
      <c r="AN449" s="51">
        <v>0</v>
      </c>
      <c r="AO449" s="51">
        <v>0</v>
      </c>
      <c r="AP449" s="51">
        <v>0</v>
      </c>
      <c r="AQ449" s="47"/>
      <c r="AR449" s="51">
        <v>0</v>
      </c>
      <c r="AS449" s="51">
        <v>0</v>
      </c>
    </row>
    <row r="450" ht="409.5" customHeight="1" hidden="1">
      <c r="A450" t="s" s="116">
        <v>1436</v>
      </c>
      <c r="B450" t="s" s="116">
        <v>464</v>
      </c>
      <c r="C450" t="s" s="130">
        <v>1437</v>
      </c>
      <c r="D450" t="s" s="209">
        <v>791</v>
      </c>
      <c r="E450" t="s" s="217">
        <v>1438</v>
      </c>
      <c r="F450" s="247"/>
      <c r="G450" s="211"/>
      <c r="H450" s="42">
        <f>SUM(J450,N450)</f>
        <v>5</v>
      </c>
      <c r="I450" s="207">
        <f>SUM(Q450,S450,U450,W450,Y450,AA450,AC450,AE450,AG450,AI450,AK450,AM450,AO450,AQ450,AS450)</f>
        <v>3</v>
      </c>
      <c r="J450" s="43">
        <f>SUM(P450,R450,T450,V450,X450,Z450,AB450,AD450,AF450,AH450,AJ450,AL450,AN450,AP450,AR450)</f>
        <v>5</v>
      </c>
      <c r="K450" s="44"/>
      <c r="L450" s="6"/>
      <c r="M450" s="6"/>
      <c r="N450" s="14"/>
      <c r="O450" s="122"/>
      <c r="P450" s="27">
        <v>0</v>
      </c>
      <c r="Q450" s="27">
        <v>0</v>
      </c>
      <c r="R450" s="51">
        <v>5</v>
      </c>
      <c r="S450" s="51">
        <v>3</v>
      </c>
      <c r="T450" s="51">
        <v>0</v>
      </c>
      <c r="U450" s="51">
        <v>0</v>
      </c>
      <c r="V450" s="51">
        <v>0</v>
      </c>
      <c r="W450" s="51">
        <v>0</v>
      </c>
      <c r="X450" s="51">
        <v>0</v>
      </c>
      <c r="Y450" s="51">
        <v>0</v>
      </c>
      <c r="Z450" s="48">
        <v>0</v>
      </c>
      <c r="AA450" s="48">
        <v>0</v>
      </c>
      <c r="AB450" s="48">
        <v>0</v>
      </c>
      <c r="AC450" s="48">
        <v>0</v>
      </c>
      <c r="AD450" s="55">
        <v>0</v>
      </c>
      <c r="AE450" s="213">
        <v>0</v>
      </c>
      <c r="AF450" s="212">
        <v>0</v>
      </c>
      <c r="AG450" s="121">
        <v>0</v>
      </c>
      <c r="AH450" s="51">
        <v>0</v>
      </c>
      <c r="AI450" s="51">
        <v>0</v>
      </c>
      <c r="AJ450" s="51">
        <v>0</v>
      </c>
      <c r="AK450" s="51">
        <v>0</v>
      </c>
      <c r="AL450" s="14"/>
      <c r="AM450" s="122"/>
      <c r="AN450" s="51">
        <v>0</v>
      </c>
      <c r="AO450" s="51">
        <v>0</v>
      </c>
      <c r="AP450" s="51">
        <v>0</v>
      </c>
      <c r="AQ450" s="47"/>
      <c r="AR450" s="51">
        <v>0</v>
      </c>
      <c r="AS450" s="51">
        <v>0</v>
      </c>
    </row>
    <row r="451" ht="19.5" customHeight="1" hidden="1">
      <c r="A451" t="s" s="88">
        <v>1439</v>
      </c>
      <c r="B451" t="s" s="88">
        <v>465</v>
      </c>
      <c r="C451" s="228"/>
      <c r="D451" s="228"/>
      <c r="E451" s="189"/>
      <c r="F451" s="182">
        <v>0</v>
      </c>
      <c r="G451" s="183"/>
      <c r="H451" s="42">
        <f>SUM(J451,N451)</f>
        <v>0</v>
      </c>
      <c r="I451" s="207">
        <f>SUM(Q451,S451,U451,W451,Y451,AA451,AC451,AE451,AG451,AI451,AK451,AM451,AO451,AQ451,AS451)</f>
        <v>0</v>
      </c>
      <c r="J451" s="43">
        <f>SUM(P451,R451,T451,V451,X451,Z451,AB451,AD451,AF451,AH451,AJ451,AL451,AN451,AP451,AR451)</f>
        <v>0</v>
      </c>
      <c r="K451" s="44"/>
      <c r="L451" s="6"/>
      <c r="M451" s="6"/>
      <c r="N451" s="14"/>
      <c r="O451" s="122"/>
      <c r="P451" s="46"/>
      <c r="Q451" s="46"/>
      <c r="R451" s="47"/>
      <c r="S451" s="47"/>
      <c r="T451" s="51">
        <v>0</v>
      </c>
      <c r="U451" s="51">
        <v>0</v>
      </c>
      <c r="V451" s="47"/>
      <c r="W451" s="47"/>
      <c r="X451" s="47"/>
      <c r="Y451" s="47"/>
      <c r="Z451" s="48">
        <v>0</v>
      </c>
      <c r="AA451" s="48">
        <v>0</v>
      </c>
      <c r="AB451" s="49"/>
      <c r="AC451" s="49"/>
      <c r="AD451" s="55">
        <v>0</v>
      </c>
      <c r="AE451" s="213">
        <v>0</v>
      </c>
      <c r="AF451" s="14"/>
      <c r="AG451" s="122"/>
      <c r="AH451" s="51">
        <v>0</v>
      </c>
      <c r="AI451" s="51">
        <v>0</v>
      </c>
      <c r="AJ451" s="47"/>
      <c r="AK451" s="47"/>
      <c r="AL451" s="14"/>
      <c r="AM451" s="122"/>
      <c r="AN451" s="47"/>
      <c r="AO451" s="47"/>
      <c r="AP451" s="47"/>
      <c r="AQ451" s="47"/>
      <c r="AR451" s="51">
        <v>0</v>
      </c>
      <c r="AS451" s="51">
        <v>0</v>
      </c>
    </row>
    <row r="452" ht="39" customHeight="1" hidden="1">
      <c r="A452" t="s" s="130">
        <v>1440</v>
      </c>
      <c r="B452" t="s" s="52">
        <v>466</v>
      </c>
      <c r="C452" t="s" s="130">
        <v>765</v>
      </c>
      <c r="D452" t="s" s="209">
        <v>713</v>
      </c>
      <c r="E452" t="s" s="217">
        <v>1441</v>
      </c>
      <c r="F452" t="s" s="210">
        <v>720</v>
      </c>
      <c r="G452" s="211"/>
      <c r="H452" s="42">
        <f>SUM(J452,N452)</f>
        <v>0</v>
      </c>
      <c r="I452" s="207">
        <f>SUM(Q452,S452,U452,W452,Y452,AA452,AC452,AE452,AG452,AI452,AK452,AM452,AO452,AQ452,AS452)</f>
        <v>0</v>
      </c>
      <c r="J452" s="43">
        <f>SUM(P452,R452,T452,V452,X452,Z452,AB452,AD452,AF452,AH452,AJ452,AL452,AN452,AP452,AR452)</f>
        <v>0</v>
      </c>
      <c r="K452" s="44"/>
      <c r="L452" s="6"/>
      <c r="M452" s="6"/>
      <c r="N452" s="14"/>
      <c r="O452" s="122"/>
      <c r="P452" s="27">
        <v>0</v>
      </c>
      <c r="Q452" s="27">
        <v>0</v>
      </c>
      <c r="R452" s="51">
        <v>0</v>
      </c>
      <c r="S452" s="51">
        <v>0</v>
      </c>
      <c r="T452" s="51">
        <v>0</v>
      </c>
      <c r="U452" s="51">
        <v>0</v>
      </c>
      <c r="V452" s="51">
        <v>0</v>
      </c>
      <c r="W452" s="51">
        <v>0</v>
      </c>
      <c r="X452" s="51">
        <v>0</v>
      </c>
      <c r="Y452" s="51">
        <v>0</v>
      </c>
      <c r="Z452" s="48">
        <v>0</v>
      </c>
      <c r="AA452" s="48">
        <v>0</v>
      </c>
      <c r="AB452" s="48">
        <v>0</v>
      </c>
      <c r="AC452" s="48">
        <v>0</v>
      </c>
      <c r="AD452" s="55">
        <v>0</v>
      </c>
      <c r="AE452" s="213">
        <v>0</v>
      </c>
      <c r="AF452" s="212">
        <v>0</v>
      </c>
      <c r="AG452" s="121">
        <v>0</v>
      </c>
      <c r="AH452" s="51">
        <v>0</v>
      </c>
      <c r="AI452" s="51">
        <v>0</v>
      </c>
      <c r="AJ452" s="51">
        <v>0</v>
      </c>
      <c r="AK452" s="51">
        <v>0</v>
      </c>
      <c r="AL452" s="14"/>
      <c r="AM452" s="122"/>
      <c r="AN452" s="51">
        <v>0</v>
      </c>
      <c r="AO452" s="51">
        <v>0</v>
      </c>
      <c r="AP452" s="51">
        <v>0</v>
      </c>
      <c r="AQ452" s="47"/>
      <c r="AR452" s="51">
        <v>0</v>
      </c>
      <c r="AS452" s="51">
        <v>0</v>
      </c>
    </row>
    <row r="453" ht="19.5" customHeight="1" hidden="1">
      <c r="A453" t="s" s="88">
        <v>1442</v>
      </c>
      <c r="B453" t="s" s="88">
        <v>467</v>
      </c>
      <c r="C453" s="228"/>
      <c r="D453" s="228"/>
      <c r="E453" s="189"/>
      <c r="F453" s="182">
        <v>0</v>
      </c>
      <c r="G453" s="183"/>
      <c r="H453" s="42">
        <f>SUM(J453,N453)</f>
        <v>0</v>
      </c>
      <c r="I453" s="207">
        <f>SUM(Q453,S453,U453,W453,Y453,AA453,AC453,AE453,AG453,AI453,AK453,AM453,AO453,AQ453,AS453)</f>
        <v>0</v>
      </c>
      <c r="J453" s="43">
        <f>SUM(P453,R453,T453,V453,X453,Z453,AB453,AD453,AF453,AH453,AJ453,AL453,AN453,AP453,AR453)</f>
        <v>0</v>
      </c>
      <c r="K453" s="44"/>
      <c r="L453" s="6"/>
      <c r="M453" s="6"/>
      <c r="N453" s="14"/>
      <c r="O453" s="122"/>
      <c r="P453" s="46"/>
      <c r="Q453" s="46"/>
      <c r="R453" s="47"/>
      <c r="S453" s="47"/>
      <c r="T453" s="47"/>
      <c r="U453" s="47"/>
      <c r="V453" s="47"/>
      <c r="W453" s="47"/>
      <c r="X453" s="47"/>
      <c r="Y453" s="47"/>
      <c r="Z453" s="48">
        <v>0</v>
      </c>
      <c r="AA453" s="48">
        <v>0</v>
      </c>
      <c r="AB453" s="49"/>
      <c r="AC453" s="49"/>
      <c r="AD453" s="50"/>
      <c r="AE453" s="50"/>
      <c r="AF453" s="14"/>
      <c r="AG453" s="122"/>
      <c r="AH453" s="51">
        <v>0</v>
      </c>
      <c r="AI453" s="51">
        <v>0</v>
      </c>
      <c r="AJ453" s="47"/>
      <c r="AK453" s="47"/>
      <c r="AL453" s="14"/>
      <c r="AM453" s="122"/>
      <c r="AN453" s="47"/>
      <c r="AO453" s="47"/>
      <c r="AP453" s="47"/>
      <c r="AQ453" s="47"/>
      <c r="AR453" s="51">
        <v>0</v>
      </c>
      <c r="AS453" s="51">
        <v>0</v>
      </c>
    </row>
    <row r="454" ht="253.5" customHeight="1" hidden="1">
      <c r="A454" t="s" s="59">
        <v>1443</v>
      </c>
      <c r="B454" t="s" s="21">
        <v>468</v>
      </c>
      <c r="C454" t="s" s="59">
        <v>765</v>
      </c>
      <c r="D454" t="s" s="190">
        <v>713</v>
      </c>
      <c r="E454" t="s" s="216">
        <v>1444</v>
      </c>
      <c r="F454" t="s" s="192">
        <v>714</v>
      </c>
      <c r="G454" s="193"/>
      <c r="H454" s="194">
        <f>SUM(J454,N454)</f>
        <v>128350</v>
      </c>
      <c r="I454" s="195">
        <f>SUM(Q454,S454,U454,W454,Y454,AA454,AC454,AE454,AG454,AI454,AK454,AM454,AO454,AQ454,AS454)</f>
        <v>76762</v>
      </c>
      <c r="J454" s="23">
        <f>SUM(P454,R454,T454,V454,X454,Z454,AB454,AD454,AF454,AH454,AJ454,AL454,AN454,AP454,AR454)</f>
        <v>128350</v>
      </c>
      <c r="K454" s="36"/>
      <c r="L454" s="196"/>
      <c r="M454" s="196"/>
      <c r="N454" s="196"/>
      <c r="O454" s="197"/>
      <c r="P454" s="27">
        <v>1000</v>
      </c>
      <c r="Q454" s="27">
        <v>0</v>
      </c>
      <c r="R454" s="28">
        <v>100</v>
      </c>
      <c r="S454" s="28">
        <v>0</v>
      </c>
      <c r="T454" s="28">
        <v>800</v>
      </c>
      <c r="U454" s="28">
        <v>480</v>
      </c>
      <c r="V454" s="28">
        <v>6000</v>
      </c>
      <c r="W454" s="28">
        <v>4010</v>
      </c>
      <c r="X454" s="28">
        <v>12000</v>
      </c>
      <c r="Y454" s="28">
        <v>10400</v>
      </c>
      <c r="Z454" s="30">
        <v>20000</v>
      </c>
      <c r="AA454" s="30">
        <v>10200</v>
      </c>
      <c r="AB454" s="30">
        <v>35450</v>
      </c>
      <c r="AC454" s="30">
        <v>25219</v>
      </c>
      <c r="AD454" s="30">
        <v>28900</v>
      </c>
      <c r="AE454" s="30">
        <v>19390</v>
      </c>
      <c r="AF454" s="198">
        <v>17000</v>
      </c>
      <c r="AG454" s="206">
        <v>3300</v>
      </c>
      <c r="AH454" s="28">
        <v>7100</v>
      </c>
      <c r="AI454" s="28">
        <v>3763</v>
      </c>
      <c r="AJ454" s="28">
        <v>0</v>
      </c>
      <c r="AK454" s="28">
        <v>0</v>
      </c>
      <c r="AL454" s="202"/>
      <c r="AM454" s="197"/>
      <c r="AN454" s="28">
        <v>0</v>
      </c>
      <c r="AO454" s="28">
        <v>0</v>
      </c>
      <c r="AP454" s="28">
        <v>0</v>
      </c>
      <c r="AQ454" s="87"/>
      <c r="AR454" s="28">
        <v>0</v>
      </c>
      <c r="AS454" s="28">
        <v>0</v>
      </c>
    </row>
    <row r="455" ht="31.5" customHeight="1" hidden="1">
      <c r="A455" s="227">
        <v>10</v>
      </c>
      <c r="B455" t="s" s="10">
        <v>469</v>
      </c>
      <c r="C455" s="180"/>
      <c r="D455" s="180"/>
      <c r="E455" s="189"/>
      <c r="F455" s="182">
        <v>0</v>
      </c>
      <c r="G455" s="183"/>
      <c r="H455" s="42">
        <f>SUM(J455,N455)</f>
        <v>0</v>
      </c>
      <c r="I455" s="207">
        <f>SUM(Q455,S455,U455,W455,Y455,AA455,AC455,AE455,AG455,AI455,AK455,AM455,AO455,AQ455,AS455)</f>
        <v>0</v>
      </c>
      <c r="J455" s="43">
        <f>SUM(P455,R455,T455,V455,X455,Z455,AB455,AD455,AF455,AH455,AJ455,AL455,AN455,AP455,AR455)</f>
        <v>0</v>
      </c>
      <c r="K455" s="44"/>
      <c r="L455" s="6"/>
      <c r="M455" s="6"/>
      <c r="N455" s="14"/>
      <c r="O455" s="122"/>
      <c r="P455" s="46"/>
      <c r="Q455" s="46"/>
      <c r="R455" s="47"/>
      <c r="S455" s="47"/>
      <c r="T455" s="47"/>
      <c r="U455" s="47"/>
      <c r="V455" s="47"/>
      <c r="W455" s="47"/>
      <c r="X455" s="47"/>
      <c r="Y455" s="47"/>
      <c r="Z455" s="48">
        <v>0</v>
      </c>
      <c r="AA455" s="48">
        <v>0</v>
      </c>
      <c r="AB455" s="49"/>
      <c r="AC455" s="49"/>
      <c r="AD455" s="55">
        <v>0</v>
      </c>
      <c r="AE455" s="213">
        <v>0</v>
      </c>
      <c r="AF455" s="14"/>
      <c r="AG455" s="122"/>
      <c r="AH455" s="51">
        <v>0</v>
      </c>
      <c r="AI455" s="51">
        <v>0</v>
      </c>
      <c r="AJ455" s="47"/>
      <c r="AK455" s="47"/>
      <c r="AL455" s="14"/>
      <c r="AM455" s="122"/>
      <c r="AN455" s="47"/>
      <c r="AO455" s="47"/>
      <c r="AP455" s="47"/>
      <c r="AQ455" s="47"/>
      <c r="AR455" s="51">
        <v>0</v>
      </c>
      <c r="AS455" s="51">
        <v>0</v>
      </c>
    </row>
    <row r="456" ht="31.5" customHeight="1" hidden="1">
      <c r="A456" t="s" s="88">
        <v>1445</v>
      </c>
      <c r="B456" t="s" s="88">
        <v>470</v>
      </c>
      <c r="C456" s="228"/>
      <c r="D456" s="228"/>
      <c r="E456" s="189"/>
      <c r="F456" s="182">
        <v>0</v>
      </c>
      <c r="G456" s="183"/>
      <c r="H456" s="42">
        <f>SUM(J456,N456)</f>
        <v>0</v>
      </c>
      <c r="I456" s="207">
        <f>SUM(Q456,S456,U456,W456,Y456,AA456,AC456,AE456,AG456,AI456,AK456,AM456,AO456,AQ456,AS456)</f>
        <v>0</v>
      </c>
      <c r="J456" s="43">
        <f>SUM(P456,R456,T456,V456,X456,Z456,AB456,AD456,AF456,AH456,AJ456,AL456,AN456,AP456,AR456)</f>
        <v>0</v>
      </c>
      <c r="K456" s="44"/>
      <c r="L456" s="6"/>
      <c r="M456" s="6"/>
      <c r="N456" s="14"/>
      <c r="O456" s="122"/>
      <c r="P456" s="46"/>
      <c r="Q456" s="46"/>
      <c r="R456" s="47"/>
      <c r="S456" s="47"/>
      <c r="T456" s="47"/>
      <c r="U456" s="47"/>
      <c r="V456" s="47"/>
      <c r="W456" s="47"/>
      <c r="X456" s="47"/>
      <c r="Y456" s="47"/>
      <c r="Z456" s="48">
        <v>0</v>
      </c>
      <c r="AA456" s="48">
        <v>0</v>
      </c>
      <c r="AB456" s="49"/>
      <c r="AC456" s="49"/>
      <c r="AD456" s="50"/>
      <c r="AE456" s="50"/>
      <c r="AF456" s="14"/>
      <c r="AG456" s="122"/>
      <c r="AH456" s="51">
        <v>0</v>
      </c>
      <c r="AI456" s="51">
        <v>0</v>
      </c>
      <c r="AJ456" s="47"/>
      <c r="AK456" s="47"/>
      <c r="AL456" s="14"/>
      <c r="AM456" s="122"/>
      <c r="AN456" s="47"/>
      <c r="AO456" s="47"/>
      <c r="AP456" s="47"/>
      <c r="AQ456" s="47"/>
      <c r="AR456" s="51">
        <v>0</v>
      </c>
      <c r="AS456" s="51">
        <v>0</v>
      </c>
    </row>
    <row r="457" ht="346.5" customHeight="1" hidden="1">
      <c r="A457" t="s" s="88">
        <v>1446</v>
      </c>
      <c r="B457" t="s" s="88">
        <v>471</v>
      </c>
      <c r="C457" s="228"/>
      <c r="D457" s="228"/>
      <c r="E457" s="189"/>
      <c r="F457" s="182">
        <v>0</v>
      </c>
      <c r="G457" s="183"/>
      <c r="H457" s="42">
        <f>SUM(J457,N457)</f>
        <v>0</v>
      </c>
      <c r="I457" s="207">
        <f>SUM(Q457,S457,U457,W457,Y457,AA457,AC457,AE457,AG457,AI457,AK457,AM457,AO457,AQ457,AS457)</f>
        <v>0</v>
      </c>
      <c r="J457" s="43">
        <f>SUM(P457,R457,T457,V457,X457,Z457,AB457,AD457,AF457,AH457,AJ457,AL457,AN457,AP457,AR457)</f>
        <v>0</v>
      </c>
      <c r="K457" s="44"/>
      <c r="L457" s="6"/>
      <c r="M457" s="6"/>
      <c r="N457" s="14"/>
      <c r="O457" s="122"/>
      <c r="P457" s="46"/>
      <c r="Q457" s="46"/>
      <c r="R457" s="47"/>
      <c r="S457" s="47"/>
      <c r="T457" s="47"/>
      <c r="U457" s="47"/>
      <c r="V457" s="47"/>
      <c r="W457" s="47"/>
      <c r="X457" s="47"/>
      <c r="Y457" s="47"/>
      <c r="Z457" s="48">
        <v>0</v>
      </c>
      <c r="AA457" s="48">
        <v>0</v>
      </c>
      <c r="AB457" s="49"/>
      <c r="AC457" s="49"/>
      <c r="AD457" s="50"/>
      <c r="AE457" s="50"/>
      <c r="AF457" s="14"/>
      <c r="AG457" s="122"/>
      <c r="AH457" s="51">
        <v>0</v>
      </c>
      <c r="AI457" s="51">
        <v>0</v>
      </c>
      <c r="AJ457" s="47"/>
      <c r="AK457" s="47"/>
      <c r="AL457" s="14"/>
      <c r="AM457" s="122"/>
      <c r="AN457" s="47"/>
      <c r="AO457" s="47"/>
      <c r="AP457" s="51">
        <v>0</v>
      </c>
      <c r="AQ457" s="47"/>
      <c r="AR457" s="51">
        <v>0</v>
      </c>
      <c r="AS457" s="51">
        <v>0</v>
      </c>
    </row>
    <row r="458" ht="31.5" customHeight="1" hidden="1">
      <c r="A458" t="s" s="130">
        <v>1447</v>
      </c>
      <c r="B458" t="s" s="52">
        <v>472</v>
      </c>
      <c r="C458" t="s" s="130">
        <v>765</v>
      </c>
      <c r="D458" t="s" s="209">
        <v>713</v>
      </c>
      <c r="E458" s="189"/>
      <c r="F458" t="s" s="210">
        <v>720</v>
      </c>
      <c r="G458" s="211"/>
      <c r="H458" s="42">
        <f>SUM(J458,N458)</f>
        <v>88200</v>
      </c>
      <c r="I458" s="207">
        <f>SUM(Q458,S458,U458,W458,Y458,AA458,AC458,AE458,AG458,AI458,AK458,AM458,AO458,AQ458,AS458)</f>
        <v>43550</v>
      </c>
      <c r="J458" s="43">
        <f>SUM(P458,R458,T458,V458,X458,Z458,AB458,AD458,AF458,AH458,AJ458,AL458,AN458,AP458,AR458)</f>
        <v>88200</v>
      </c>
      <c r="K458" s="44"/>
      <c r="L458" s="6"/>
      <c r="M458" s="6"/>
      <c r="N458" s="14"/>
      <c r="O458" s="122"/>
      <c r="P458" s="27">
        <v>50000</v>
      </c>
      <c r="Q458" s="27">
        <v>27680</v>
      </c>
      <c r="R458" s="51">
        <v>200</v>
      </c>
      <c r="S458" s="51">
        <v>0</v>
      </c>
      <c r="T458" s="51">
        <v>7000</v>
      </c>
      <c r="U458" s="51">
        <v>6180</v>
      </c>
      <c r="V458" s="51">
        <v>16000</v>
      </c>
      <c r="W458" s="51">
        <v>6500</v>
      </c>
      <c r="X458" s="51">
        <v>4000</v>
      </c>
      <c r="Y458" s="51">
        <v>0</v>
      </c>
      <c r="Z458" s="48">
        <v>0</v>
      </c>
      <c r="AA458" s="48">
        <v>0</v>
      </c>
      <c r="AB458" s="48">
        <v>0</v>
      </c>
      <c r="AC458" s="48">
        <v>0</v>
      </c>
      <c r="AD458" s="55">
        <v>0</v>
      </c>
      <c r="AE458" s="213">
        <v>0</v>
      </c>
      <c r="AF458" s="212">
        <v>0</v>
      </c>
      <c r="AG458" s="121">
        <v>0</v>
      </c>
      <c r="AH458" s="51">
        <v>0</v>
      </c>
      <c r="AI458" s="51">
        <v>0</v>
      </c>
      <c r="AJ458" s="51">
        <v>0</v>
      </c>
      <c r="AK458" s="51">
        <v>0</v>
      </c>
      <c r="AL458" s="53">
        <v>10000</v>
      </c>
      <c r="AM458" s="53">
        <v>3190</v>
      </c>
      <c r="AN458" s="51">
        <v>0</v>
      </c>
      <c r="AO458" s="51">
        <v>0</v>
      </c>
      <c r="AP458" s="51">
        <v>0</v>
      </c>
      <c r="AQ458" s="47"/>
      <c r="AR458" s="51">
        <v>1000</v>
      </c>
      <c r="AS458" s="51">
        <v>0</v>
      </c>
    </row>
    <row r="459" ht="78" customHeight="1" hidden="1">
      <c r="A459" t="s" s="130">
        <v>1448</v>
      </c>
      <c r="B459" t="s" s="52">
        <v>473</v>
      </c>
      <c r="C459" t="s" s="130">
        <v>716</v>
      </c>
      <c r="D459" t="s" s="209">
        <v>717</v>
      </c>
      <c r="E459" t="s" s="217">
        <v>1449</v>
      </c>
      <c r="F459" t="s" s="210">
        <v>714</v>
      </c>
      <c r="G459" s="211"/>
      <c r="H459" s="42">
        <f>SUM(J459,N459)</f>
        <v>197174</v>
      </c>
      <c r="I459" s="207">
        <f>SUM(Q459,S459,U459,W459,Y459,AA459,AC459,AE459,AG459,AI459,AK459,AM459,AO459,AQ459,AS459)</f>
        <v>151804</v>
      </c>
      <c r="J459" s="43">
        <f>SUM(P459,R459,T459,V459,X459,Z459,AB459,AD459,AF459,AH459,AJ459,AL459,AN459,AP459,AR459)</f>
        <v>192174</v>
      </c>
      <c r="K459" s="44"/>
      <c r="L459" s="6"/>
      <c r="M459" s="6"/>
      <c r="N459" s="212">
        <v>5000</v>
      </c>
      <c r="O459" s="122"/>
      <c r="P459" s="27">
        <v>25000</v>
      </c>
      <c r="Q459" s="27">
        <v>27990</v>
      </c>
      <c r="R459" s="51">
        <v>12000</v>
      </c>
      <c r="S459" s="51">
        <v>10900</v>
      </c>
      <c r="T459" s="51">
        <v>37000</v>
      </c>
      <c r="U459" s="51">
        <v>31000</v>
      </c>
      <c r="V459" s="51">
        <v>55000</v>
      </c>
      <c r="W459" s="51">
        <v>48650</v>
      </c>
      <c r="X459" s="51">
        <v>2600</v>
      </c>
      <c r="Y459" s="51">
        <v>2450</v>
      </c>
      <c r="Z459" s="48">
        <v>10500</v>
      </c>
      <c r="AA459" s="48">
        <v>6500</v>
      </c>
      <c r="AB459" s="48">
        <v>9092</v>
      </c>
      <c r="AC459" s="48">
        <v>5760</v>
      </c>
      <c r="AD459" s="55">
        <v>11800</v>
      </c>
      <c r="AE459" s="213">
        <v>7251</v>
      </c>
      <c r="AF459" s="212">
        <v>9100</v>
      </c>
      <c r="AG459" s="121">
        <v>1700</v>
      </c>
      <c r="AH459" s="51">
        <v>19322</v>
      </c>
      <c r="AI459" s="51">
        <v>8903</v>
      </c>
      <c r="AJ459" s="51">
        <v>0</v>
      </c>
      <c r="AK459" s="51">
        <v>0</v>
      </c>
      <c r="AL459" s="53">
        <v>500</v>
      </c>
      <c r="AM459" s="53">
        <v>450</v>
      </c>
      <c r="AN459" s="51">
        <v>10</v>
      </c>
      <c r="AO459" s="51">
        <v>0</v>
      </c>
      <c r="AP459" s="51">
        <v>150</v>
      </c>
      <c r="AQ459" s="51">
        <v>250</v>
      </c>
      <c r="AR459" s="51">
        <v>100</v>
      </c>
      <c r="AS459" s="51">
        <v>0</v>
      </c>
    </row>
    <row r="460" ht="19.5" customHeight="1" hidden="1">
      <c r="A460" t="s" s="130">
        <v>1450</v>
      </c>
      <c r="B460" t="s" s="52">
        <v>474</v>
      </c>
      <c r="C460" t="s" s="130">
        <v>765</v>
      </c>
      <c r="D460" t="s" s="209">
        <v>713</v>
      </c>
      <c r="E460" s="189"/>
      <c r="F460" t="s" s="210">
        <v>720</v>
      </c>
      <c r="G460" s="211"/>
      <c r="H460" s="42">
        <f>SUM(J460,N460)</f>
        <v>1412460</v>
      </c>
      <c r="I460" s="207">
        <f>SUM(Q460,S460,U460,W460,Y460,AA460,AC460,AE460,AG460,AI460,AK460,AM460,AO460,AQ460,AS460)</f>
        <v>846497</v>
      </c>
      <c r="J460" s="43">
        <f>SUM(P460,R460,T460,V460,X460,Z460,AB460,AD460,AF460,AH460,AJ460,AL460,AN460,AP460,AR460)</f>
        <v>1412460</v>
      </c>
      <c r="K460" s="44"/>
      <c r="L460" s="6"/>
      <c r="M460" s="6"/>
      <c r="N460" s="14"/>
      <c r="O460" s="122"/>
      <c r="P460" s="27">
        <v>100000</v>
      </c>
      <c r="Q460" s="27">
        <v>80000</v>
      </c>
      <c r="R460" s="51">
        <v>24200</v>
      </c>
      <c r="S460" s="51">
        <v>22000</v>
      </c>
      <c r="T460" s="51">
        <v>100000</v>
      </c>
      <c r="U460" s="51">
        <v>81960</v>
      </c>
      <c r="V460" s="51">
        <v>200000</v>
      </c>
      <c r="W460" s="51">
        <v>134320</v>
      </c>
      <c r="X460" s="51">
        <v>120000</v>
      </c>
      <c r="Y460" s="51">
        <v>113960</v>
      </c>
      <c r="Z460" s="48">
        <v>420000</v>
      </c>
      <c r="AA460" s="48">
        <v>209000</v>
      </c>
      <c r="AB460" s="48">
        <v>130400</v>
      </c>
      <c r="AC460" s="48">
        <v>62070</v>
      </c>
      <c r="AD460" s="55">
        <v>125000</v>
      </c>
      <c r="AE460" s="213">
        <v>68210</v>
      </c>
      <c r="AF460" s="212">
        <v>74000</v>
      </c>
      <c r="AG460" s="121">
        <v>18500</v>
      </c>
      <c r="AH460" s="51">
        <v>95500</v>
      </c>
      <c r="AI460" s="51">
        <v>37597</v>
      </c>
      <c r="AJ460" s="51">
        <v>360</v>
      </c>
      <c r="AK460" s="51">
        <v>0</v>
      </c>
      <c r="AL460" s="53">
        <v>5000</v>
      </c>
      <c r="AM460" s="53">
        <v>4570</v>
      </c>
      <c r="AN460" s="51">
        <v>0</v>
      </c>
      <c r="AO460" s="51">
        <v>0</v>
      </c>
      <c r="AP460" s="51">
        <v>0</v>
      </c>
      <c r="AQ460" s="47"/>
      <c r="AR460" s="51">
        <v>18000</v>
      </c>
      <c r="AS460" s="51">
        <v>14310</v>
      </c>
    </row>
    <row r="461" ht="31.5" customHeight="1" hidden="1">
      <c r="A461" t="s" s="103">
        <v>1451</v>
      </c>
      <c r="B461" t="s" s="10">
        <v>475</v>
      </c>
      <c r="C461" t="s" s="103">
        <v>790</v>
      </c>
      <c r="D461" t="s" s="66">
        <v>791</v>
      </c>
      <c r="E461" s="181"/>
      <c r="F461" t="s" s="101">
        <v>720</v>
      </c>
      <c r="G461" s="203"/>
      <c r="H461" s="204">
        <f>SUM(J461,N461)</f>
        <v>130270</v>
      </c>
      <c r="I461" s="205">
        <f>SUM(Q461,S461,U461,W461,Y461,AA461,AC461,AE461,AG461,AI461,AK461,AM461,AO461,AQ461,AS461)</f>
        <v>37665</v>
      </c>
      <c r="J461" s="35">
        <f>SUM(P461,R461,T461,V461,X461,Z461,AB461,AD461,AF461,AH461,AJ461,AL461,AN461,AP461,AR461)</f>
        <v>130270</v>
      </c>
      <c r="K461" s="36"/>
      <c r="L461" s="196"/>
      <c r="M461" s="196"/>
      <c r="N461" s="196"/>
      <c r="O461" s="197"/>
      <c r="P461" s="27">
        <v>8000</v>
      </c>
      <c r="Q461" s="27">
        <v>972</v>
      </c>
      <c r="R461" s="38">
        <v>4000</v>
      </c>
      <c r="S461" s="38">
        <v>708</v>
      </c>
      <c r="T461" s="38">
        <v>4000</v>
      </c>
      <c r="U461" s="38">
        <v>1811</v>
      </c>
      <c r="V461" s="38">
        <v>8000</v>
      </c>
      <c r="W461" s="38">
        <v>2576</v>
      </c>
      <c r="X461" s="38">
        <v>2500</v>
      </c>
      <c r="Y461" s="38">
        <v>2318</v>
      </c>
      <c r="Z461" s="40">
        <v>32970</v>
      </c>
      <c r="AA461" s="40">
        <v>9500</v>
      </c>
      <c r="AB461" s="40">
        <v>15000</v>
      </c>
      <c r="AC461" s="40">
        <v>4219</v>
      </c>
      <c r="AD461" s="40">
        <v>18700</v>
      </c>
      <c r="AE461" s="40">
        <v>4935</v>
      </c>
      <c r="AF461" s="198">
        <v>17500</v>
      </c>
      <c r="AG461" s="206">
        <v>4400</v>
      </c>
      <c r="AH461" s="38">
        <v>18800</v>
      </c>
      <c r="AI461" s="38">
        <v>5621</v>
      </c>
      <c r="AJ461" s="38">
        <v>0</v>
      </c>
      <c r="AK461" s="38">
        <v>0</v>
      </c>
      <c r="AL461" s="53">
        <v>0</v>
      </c>
      <c r="AM461" s="53">
        <v>0</v>
      </c>
      <c r="AN461" s="38">
        <v>0</v>
      </c>
      <c r="AO461" s="38">
        <v>0</v>
      </c>
      <c r="AP461" s="38">
        <v>0</v>
      </c>
      <c r="AQ461" s="80"/>
      <c r="AR461" s="38">
        <v>800</v>
      </c>
      <c r="AS461" s="38">
        <v>605</v>
      </c>
    </row>
    <row r="462" ht="19.5" customHeight="1" hidden="1">
      <c r="A462" t="s" s="130">
        <v>1452</v>
      </c>
      <c r="B462" t="s" s="52">
        <v>476</v>
      </c>
      <c r="C462" t="s" s="130">
        <v>820</v>
      </c>
      <c r="D462" t="s" s="209">
        <v>791</v>
      </c>
      <c r="E462" s="189"/>
      <c r="F462" t="s" s="210">
        <v>720</v>
      </c>
      <c r="G462" s="211"/>
      <c r="H462" s="42">
        <f>SUM(J462,N462)</f>
        <v>13460</v>
      </c>
      <c r="I462" s="207">
        <f>SUM(Q462,S462,U462,W462,Y462,AA462,AC462,AE462,AG462,AI462,AK462,AM462,AO462,AQ462,AS462)</f>
        <v>5170</v>
      </c>
      <c r="J462" s="43">
        <f>SUM(P462,R462,T462,V462,X462,Z462,AB462,AD462,AF462,AH462,AJ462,AL462,AN462,AP462,AR462)</f>
        <v>13460</v>
      </c>
      <c r="K462" s="44"/>
      <c r="L462" s="6"/>
      <c r="M462" s="6"/>
      <c r="N462" s="14"/>
      <c r="O462" s="122"/>
      <c r="P462" s="27">
        <v>0</v>
      </c>
      <c r="Q462" s="27">
        <v>0</v>
      </c>
      <c r="R462" s="51">
        <v>0</v>
      </c>
      <c r="S462" s="51">
        <v>0</v>
      </c>
      <c r="T462" s="51">
        <v>300</v>
      </c>
      <c r="U462" s="51">
        <v>200</v>
      </c>
      <c r="V462" s="51">
        <v>100</v>
      </c>
      <c r="W462" s="51">
        <v>100</v>
      </c>
      <c r="X462" s="51">
        <v>150</v>
      </c>
      <c r="Y462" s="51">
        <v>150</v>
      </c>
      <c r="Z462" s="48">
        <v>5100</v>
      </c>
      <c r="AA462" s="48">
        <v>2060</v>
      </c>
      <c r="AB462" s="48">
        <v>3755</v>
      </c>
      <c r="AC462" s="48">
        <v>930</v>
      </c>
      <c r="AD462" s="55">
        <v>2445</v>
      </c>
      <c r="AE462" s="213">
        <v>1070</v>
      </c>
      <c r="AF462" s="212">
        <v>500</v>
      </c>
      <c r="AG462" s="121">
        <v>400</v>
      </c>
      <c r="AH462" s="51">
        <v>810</v>
      </c>
      <c r="AI462" s="51">
        <v>260</v>
      </c>
      <c r="AJ462" s="51">
        <v>0</v>
      </c>
      <c r="AK462" s="51">
        <v>0</v>
      </c>
      <c r="AL462" s="53">
        <v>300</v>
      </c>
      <c r="AM462" s="53">
        <v>0</v>
      </c>
      <c r="AN462" s="51">
        <v>0</v>
      </c>
      <c r="AO462" s="51">
        <v>0</v>
      </c>
      <c r="AP462" s="51">
        <v>0</v>
      </c>
      <c r="AQ462" s="47"/>
      <c r="AR462" s="51">
        <v>0</v>
      </c>
      <c r="AS462" s="51">
        <v>0</v>
      </c>
    </row>
    <row r="463" ht="19.5" customHeight="1" hidden="1">
      <c r="A463" t="s" s="130">
        <v>1453</v>
      </c>
      <c r="B463" t="s" s="52">
        <v>477</v>
      </c>
      <c r="C463" t="s" s="130">
        <v>765</v>
      </c>
      <c r="D463" t="s" s="209">
        <v>713</v>
      </c>
      <c r="E463" s="189"/>
      <c r="F463" t="s" s="210">
        <v>720</v>
      </c>
      <c r="G463" s="211"/>
      <c r="H463" s="42">
        <f>SUM(J463,N463)</f>
        <v>837700</v>
      </c>
      <c r="I463" s="207">
        <f>SUM(Q463,S463,U463,W463,Y463,AA463,AC463,AE463,AG463,AI463,AK463,AM463,AO463,AQ463,AS463)</f>
        <v>439372</v>
      </c>
      <c r="J463" s="43">
        <f>SUM(P463,R463,T463,V463,X463,Z463,AB463,AD463,AF463,AH463,AJ463,AL463,AN463,AP463,AR463)</f>
        <v>837700</v>
      </c>
      <c r="K463" s="44"/>
      <c r="L463" s="6"/>
      <c r="M463" s="6"/>
      <c r="N463" s="14"/>
      <c r="O463" s="122"/>
      <c r="P463" s="27">
        <v>100000</v>
      </c>
      <c r="Q463" s="27">
        <v>77960</v>
      </c>
      <c r="R463" s="51">
        <v>0</v>
      </c>
      <c r="S463" s="51">
        <v>0</v>
      </c>
      <c r="T463" s="51">
        <v>7000</v>
      </c>
      <c r="U463" s="51">
        <v>5072</v>
      </c>
      <c r="V463" s="51">
        <v>80000</v>
      </c>
      <c r="W463" s="51">
        <v>62160</v>
      </c>
      <c r="X463" s="51">
        <v>4900</v>
      </c>
      <c r="Y463" s="51">
        <v>4760</v>
      </c>
      <c r="Z463" s="48">
        <v>145000</v>
      </c>
      <c r="AA463" s="48">
        <v>67800</v>
      </c>
      <c r="AB463" s="48">
        <v>127200</v>
      </c>
      <c r="AC463" s="48">
        <v>60830</v>
      </c>
      <c r="AD463" s="55">
        <v>175000</v>
      </c>
      <c r="AE463" s="213">
        <v>85850</v>
      </c>
      <c r="AF463" s="212">
        <v>66000</v>
      </c>
      <c r="AG463" s="121">
        <v>5000</v>
      </c>
      <c r="AH463" s="51">
        <v>94600</v>
      </c>
      <c r="AI463" s="51">
        <v>36940</v>
      </c>
      <c r="AJ463" s="51">
        <v>0</v>
      </c>
      <c r="AK463" s="51">
        <v>0</v>
      </c>
      <c r="AL463" s="53">
        <v>35000</v>
      </c>
      <c r="AM463" s="53">
        <v>33000</v>
      </c>
      <c r="AN463" s="51">
        <v>0</v>
      </c>
      <c r="AO463" s="51">
        <v>0</v>
      </c>
      <c r="AP463" s="51">
        <v>0</v>
      </c>
      <c r="AQ463" s="47"/>
      <c r="AR463" s="51">
        <v>3000</v>
      </c>
      <c r="AS463" s="51">
        <v>0</v>
      </c>
    </row>
    <row r="464" ht="19.5" customHeight="1" hidden="1">
      <c r="A464" t="s" s="88">
        <v>1454</v>
      </c>
      <c r="B464" t="s" s="88">
        <v>478</v>
      </c>
      <c r="C464" s="228"/>
      <c r="D464" s="228"/>
      <c r="E464" s="189"/>
      <c r="F464" s="182">
        <v>0</v>
      </c>
      <c r="G464" s="183"/>
      <c r="H464" s="42">
        <f>SUM(J464,N464)</f>
        <v>0</v>
      </c>
      <c r="I464" s="207">
        <f>SUM(Q464,S464,U464,W464,Y464,AA464,AC464,AE464,AG464,AI464,AK464,AM464,AO464,AQ464,AS464)</f>
        <v>0</v>
      </c>
      <c r="J464" s="43">
        <f>SUM(P464,R464,T464,V464,X464,Z464,AB464,AD464,AF464,AH464,AJ464,AL464,AN464,AP464,AR464)</f>
        <v>0</v>
      </c>
      <c r="K464" s="44"/>
      <c r="L464" s="6"/>
      <c r="M464" s="6"/>
      <c r="N464" s="14"/>
      <c r="O464" s="15"/>
      <c r="P464" s="186"/>
      <c r="Q464" s="76"/>
      <c r="R464" s="47"/>
      <c r="S464" s="47"/>
      <c r="T464" s="47"/>
      <c r="U464" s="47"/>
      <c r="V464" s="47"/>
      <c r="W464" s="47"/>
      <c r="X464" s="47"/>
      <c r="Y464" s="47"/>
      <c r="Z464" s="48">
        <v>0</v>
      </c>
      <c r="AA464" s="48">
        <v>0</v>
      </c>
      <c r="AB464" s="49"/>
      <c r="AC464" s="49"/>
      <c r="AD464" s="50"/>
      <c r="AE464" s="50"/>
      <c r="AF464" s="14"/>
      <c r="AG464" s="122"/>
      <c r="AH464" s="51">
        <v>0</v>
      </c>
      <c r="AI464" s="51">
        <v>0</v>
      </c>
      <c r="AJ464" s="47"/>
      <c r="AK464" s="47"/>
      <c r="AL464" s="14"/>
      <c r="AM464" s="122"/>
      <c r="AN464" s="47"/>
      <c r="AO464" s="47"/>
      <c r="AP464" s="47"/>
      <c r="AQ464" s="47"/>
      <c r="AR464" s="51">
        <v>0</v>
      </c>
      <c r="AS464" s="51">
        <v>0</v>
      </c>
    </row>
    <row r="465" ht="409.5" customHeight="1" hidden="1">
      <c r="A465" t="s" s="272">
        <v>1455</v>
      </c>
      <c r="B465" t="s" s="114">
        <v>479</v>
      </c>
      <c r="C465" t="s" s="59">
        <v>800</v>
      </c>
      <c r="D465" t="s" s="190">
        <v>717</v>
      </c>
      <c r="E465" t="s" s="216">
        <v>1456</v>
      </c>
      <c r="F465" t="s" s="192">
        <v>714</v>
      </c>
      <c r="G465" s="193"/>
      <c r="H465" s="194">
        <f>SUM(J465,N465)</f>
        <v>50</v>
      </c>
      <c r="I465" s="195">
        <f>SUM(Q465,S465,U465,W465,Y465,AA465,AC465,AE465,AG465,AI465,AK465,AM465,AO465,AQ465,AS465)</f>
        <v>0</v>
      </c>
      <c r="J465" s="23">
        <f>SUM(P465,R465,T465,V465,X465,Z465,AB465,AD465,AF465,AH465,AJ465,AL465,AN465,AP465,AR465)</f>
        <v>50</v>
      </c>
      <c r="K465" s="36"/>
      <c r="L465" s="196"/>
      <c r="M465" s="196"/>
      <c r="N465" s="196"/>
      <c r="O465" s="196"/>
      <c r="P465" s="200">
        <v>50</v>
      </c>
      <c r="Q465" s="201">
        <v>0</v>
      </c>
      <c r="R465" s="28">
        <v>0</v>
      </c>
      <c r="S465" s="28">
        <v>0</v>
      </c>
      <c r="T465" s="28">
        <v>0</v>
      </c>
      <c r="U465" s="28">
        <v>0</v>
      </c>
      <c r="V465" s="28">
        <v>0</v>
      </c>
      <c r="W465" s="28">
        <v>0</v>
      </c>
      <c r="X465" s="28">
        <v>0</v>
      </c>
      <c r="Y465" s="28">
        <v>0</v>
      </c>
      <c r="Z465" s="30">
        <v>0</v>
      </c>
      <c r="AA465" s="140"/>
      <c r="AB465" s="30">
        <v>0</v>
      </c>
      <c r="AC465" s="30">
        <v>0</v>
      </c>
      <c r="AD465" s="30">
        <v>0</v>
      </c>
      <c r="AE465" s="30">
        <v>0</v>
      </c>
      <c r="AF465" s="198">
        <v>0</v>
      </c>
      <c r="AG465" s="206">
        <v>0</v>
      </c>
      <c r="AH465" s="28">
        <v>0</v>
      </c>
      <c r="AI465" s="28">
        <v>0</v>
      </c>
      <c r="AJ465" s="28">
        <v>0</v>
      </c>
      <c r="AK465" s="28">
        <v>0</v>
      </c>
      <c r="AL465" s="202"/>
      <c r="AM465" s="197"/>
      <c r="AN465" s="28">
        <v>0</v>
      </c>
      <c r="AO465" s="28">
        <v>0</v>
      </c>
      <c r="AP465" s="28">
        <v>0</v>
      </c>
      <c r="AQ465" s="87"/>
      <c r="AR465" s="28">
        <v>0</v>
      </c>
      <c r="AS465" s="28">
        <v>0</v>
      </c>
    </row>
    <row r="466" ht="409.5" customHeight="1" hidden="1">
      <c r="A466" t="s" s="272">
        <v>1457</v>
      </c>
      <c r="B466" t="s" s="114">
        <v>480</v>
      </c>
      <c r="C466" t="s" s="59">
        <v>1240</v>
      </c>
      <c r="D466" t="s" s="190">
        <v>717</v>
      </c>
      <c r="E466" t="s" s="216">
        <v>1458</v>
      </c>
      <c r="F466" t="s" s="192">
        <v>714</v>
      </c>
      <c r="G466" s="193"/>
      <c r="H466" s="194">
        <f>SUM(J466,N466)</f>
        <v>250</v>
      </c>
      <c r="I466" s="195">
        <f>SUM(Q466,S466,U466,W466,Y466,AA466,AC466,AE466,AG466,AI466,AK466,AM466,AO466,AQ466,AS466)</f>
        <v>0</v>
      </c>
      <c r="J466" s="23">
        <f>SUM(P466,R466,T466,V466,X466,Z466,AB466,AD466,AF466,AH466,AJ466,AL466,AN466,AP466,AR466)</f>
        <v>250</v>
      </c>
      <c r="K466" s="36"/>
      <c r="L466" s="196"/>
      <c r="M466" s="196"/>
      <c r="N466" s="196"/>
      <c r="O466" s="196"/>
      <c r="P466" s="200">
        <v>250</v>
      </c>
      <c r="Q466" s="279"/>
      <c r="R466" s="28">
        <v>0</v>
      </c>
      <c r="S466" s="28">
        <v>0</v>
      </c>
      <c r="T466" s="28">
        <v>0</v>
      </c>
      <c r="U466" s="28">
        <v>0</v>
      </c>
      <c r="V466" s="28">
        <v>0</v>
      </c>
      <c r="W466" s="28">
        <v>0</v>
      </c>
      <c r="X466" s="28">
        <v>0</v>
      </c>
      <c r="Y466" s="28">
        <v>0</v>
      </c>
      <c r="Z466" s="30">
        <v>0</v>
      </c>
      <c r="AA466" s="30">
        <v>0</v>
      </c>
      <c r="AB466" s="30">
        <v>0</v>
      </c>
      <c r="AC466" s="30">
        <v>0</v>
      </c>
      <c r="AD466" s="30">
        <v>0</v>
      </c>
      <c r="AE466" s="30">
        <v>0</v>
      </c>
      <c r="AF466" s="198">
        <v>0</v>
      </c>
      <c r="AG466" s="206">
        <v>0</v>
      </c>
      <c r="AH466" s="28">
        <v>0</v>
      </c>
      <c r="AI466" s="28">
        <v>0</v>
      </c>
      <c r="AJ466" s="28">
        <v>0</v>
      </c>
      <c r="AK466" s="28">
        <v>0</v>
      </c>
      <c r="AL466" s="202"/>
      <c r="AM466" s="197"/>
      <c r="AN466" s="28">
        <v>0</v>
      </c>
      <c r="AO466" s="28">
        <v>0</v>
      </c>
      <c r="AP466" s="28">
        <v>0</v>
      </c>
      <c r="AQ466" s="87"/>
      <c r="AR466" s="28">
        <v>0</v>
      </c>
      <c r="AS466" s="28">
        <v>0</v>
      </c>
    </row>
    <row r="467" ht="63" customHeight="1">
      <c r="A467" t="s" s="288">
        <v>1459</v>
      </c>
      <c r="B467" t="s" s="118">
        <v>481</v>
      </c>
      <c r="C467" t="s" s="288">
        <v>1460</v>
      </c>
      <c r="D467" t="s" s="289">
        <v>717</v>
      </c>
      <c r="E467" t="s" s="290">
        <v>1461</v>
      </c>
      <c r="F467" t="s" s="210">
        <v>853</v>
      </c>
      <c r="G467" s="211"/>
      <c r="H467" s="42">
        <f>SUM(J467,N467)</f>
        <v>0</v>
      </c>
      <c r="I467" s="207">
        <f>SUM(Q467,S467,U467,W467,Y467,AA467,AC467,AE467,AG467,AI467,AK467,AM467,AO467,AQ467,AS467)</f>
        <v>0</v>
      </c>
      <c r="J467" s="43">
        <f>SUM(P467,R467,T467,V467,X467,Z467,AB467,AD467,AF467,AH467,AJ467,AL467,AN467,AP467,AR467)</f>
        <v>0</v>
      </c>
      <c r="K467" s="44"/>
      <c r="L467" s="6"/>
      <c r="M467" s="6"/>
      <c r="N467" s="14"/>
      <c r="O467" s="15"/>
      <c r="P467" s="291"/>
      <c r="Q467" s="131"/>
      <c r="R467" s="51">
        <v>0</v>
      </c>
      <c r="S467" s="51">
        <v>0</v>
      </c>
      <c r="T467" s="51">
        <v>0</v>
      </c>
      <c r="U467" s="51">
        <v>0</v>
      </c>
      <c r="V467" s="51">
        <v>0</v>
      </c>
      <c r="W467" s="51">
        <v>0</v>
      </c>
      <c r="X467" s="51">
        <v>0</v>
      </c>
      <c r="Y467" s="51">
        <v>0</v>
      </c>
      <c r="Z467" s="48">
        <v>0</v>
      </c>
      <c r="AA467" s="48">
        <v>0</v>
      </c>
      <c r="AB467" s="48">
        <v>0</v>
      </c>
      <c r="AC467" s="48">
        <v>0</v>
      </c>
      <c r="AD467" s="55">
        <v>0</v>
      </c>
      <c r="AE467" s="213">
        <v>0</v>
      </c>
      <c r="AF467" s="212">
        <v>0</v>
      </c>
      <c r="AG467" s="121">
        <v>0</v>
      </c>
      <c r="AH467" s="51">
        <v>0</v>
      </c>
      <c r="AI467" s="51">
        <v>0</v>
      </c>
      <c r="AJ467" s="51">
        <v>0</v>
      </c>
      <c r="AK467" s="51">
        <v>0</v>
      </c>
      <c r="AL467" s="14"/>
      <c r="AM467" s="122"/>
      <c r="AN467" s="51">
        <v>0</v>
      </c>
      <c r="AO467" s="51">
        <v>0</v>
      </c>
      <c r="AP467" s="51">
        <v>0</v>
      </c>
      <c r="AQ467" s="47"/>
      <c r="AR467" s="47"/>
      <c r="AS467" s="47"/>
    </row>
    <row r="468" ht="63" customHeight="1">
      <c r="A468" t="s" s="288">
        <v>1459</v>
      </c>
      <c r="B468" t="s" s="118">
        <v>482</v>
      </c>
      <c r="C468" t="s" s="288">
        <v>1460</v>
      </c>
      <c r="D468" t="s" s="292">
        <v>717</v>
      </c>
      <c r="E468" s="293"/>
      <c r="F468" t="s" s="210">
        <v>853</v>
      </c>
      <c r="G468" s="211"/>
      <c r="H468" s="42">
        <f>SUM(J468,N468)</f>
        <v>0</v>
      </c>
      <c r="I468" s="207">
        <f>SUM(Q468,S468,U468,W468,Y468,AA468,AC468,AE468,AG468,AI468,AK468,AM468,AO468,AQ468,AS468)</f>
        <v>0</v>
      </c>
      <c r="J468" s="43">
        <f>SUM(P468,R468,T468,V468,X468,Z468,AB468,AD468,AF468,AH468,AJ468,AL468,AN468,AP468,AR468)</f>
        <v>0</v>
      </c>
      <c r="K468" s="44"/>
      <c r="L468" s="6"/>
      <c r="M468" s="6"/>
      <c r="N468" s="14"/>
      <c r="O468" s="15"/>
      <c r="P468" s="294">
        <v>0</v>
      </c>
      <c r="Q468" s="295">
        <v>0</v>
      </c>
      <c r="R468" s="51">
        <v>0</v>
      </c>
      <c r="S468" s="51">
        <v>0</v>
      </c>
      <c r="T468" s="51">
        <v>0</v>
      </c>
      <c r="U468" s="51">
        <v>0</v>
      </c>
      <c r="V468" s="51">
        <v>0</v>
      </c>
      <c r="W468" s="51">
        <v>0</v>
      </c>
      <c r="X468" s="51">
        <v>0</v>
      </c>
      <c r="Y468" s="51">
        <v>0</v>
      </c>
      <c r="Z468" s="48">
        <v>0</v>
      </c>
      <c r="AA468" s="48">
        <v>0</v>
      </c>
      <c r="AB468" s="48">
        <v>0</v>
      </c>
      <c r="AC468" s="48">
        <v>0</v>
      </c>
      <c r="AD468" s="55">
        <v>0</v>
      </c>
      <c r="AE468" s="213">
        <v>0</v>
      </c>
      <c r="AF468" s="212">
        <v>0</v>
      </c>
      <c r="AG468" s="121">
        <v>0</v>
      </c>
      <c r="AH468" s="51">
        <v>0</v>
      </c>
      <c r="AI468" s="51">
        <v>0</v>
      </c>
      <c r="AJ468" s="51">
        <v>0</v>
      </c>
      <c r="AK468" s="51">
        <v>0</v>
      </c>
      <c r="AL468" s="14"/>
      <c r="AM468" s="122"/>
      <c r="AN468" s="51">
        <v>0</v>
      </c>
      <c r="AO468" s="51">
        <v>0</v>
      </c>
      <c r="AP468" s="51">
        <v>0</v>
      </c>
      <c r="AQ468" s="47"/>
      <c r="AR468" s="51">
        <v>0</v>
      </c>
      <c r="AS468" s="51">
        <v>0</v>
      </c>
    </row>
    <row r="469" ht="409.5" customHeight="1" hidden="1">
      <c r="A469" t="s" s="70">
        <v>1462</v>
      </c>
      <c r="B469" t="s" s="69">
        <v>483</v>
      </c>
      <c r="C469" t="s" s="130">
        <v>1463</v>
      </c>
      <c r="D469" t="s" s="209">
        <v>717</v>
      </c>
      <c r="E469" t="s" s="217">
        <v>1464</v>
      </c>
      <c r="F469" t="s" s="210">
        <v>714</v>
      </c>
      <c r="G469" s="211"/>
      <c r="H469" s="42">
        <f>SUM(J469,N469)</f>
        <v>0</v>
      </c>
      <c r="I469" s="207">
        <f>SUM(Q469,S469,U469,W469,Y469,AA469,AC469,AE469,AG469,AI469,AK469,AM469,AO469,AQ469,AS469)</f>
        <v>0</v>
      </c>
      <c r="J469" s="43">
        <f>SUM(P469,R469,T469,V469,X469,Z469,AB469,AD469,AF469,AH469,AJ469,AL469,AN469,AP469,AR469)</f>
        <v>0</v>
      </c>
      <c r="K469" s="44"/>
      <c r="L469" s="6"/>
      <c r="M469" s="6"/>
      <c r="N469" s="14"/>
      <c r="O469" s="15"/>
      <c r="P469" s="296">
        <v>0</v>
      </c>
      <c r="Q469" s="297">
        <v>0</v>
      </c>
      <c r="R469" s="51">
        <v>0</v>
      </c>
      <c r="S469" s="51">
        <v>0</v>
      </c>
      <c r="T469" s="51">
        <v>0</v>
      </c>
      <c r="U469" s="51">
        <v>0</v>
      </c>
      <c r="V469" s="51">
        <v>0</v>
      </c>
      <c r="W469" s="51">
        <v>0</v>
      </c>
      <c r="X469" s="51">
        <v>0</v>
      </c>
      <c r="Y469" s="51">
        <v>0</v>
      </c>
      <c r="Z469" s="48">
        <v>0</v>
      </c>
      <c r="AA469" s="48">
        <v>0</v>
      </c>
      <c r="AB469" s="48">
        <v>0</v>
      </c>
      <c r="AC469" s="48">
        <v>0</v>
      </c>
      <c r="AD469" s="55">
        <v>0</v>
      </c>
      <c r="AE469" s="213">
        <v>0</v>
      </c>
      <c r="AF469" s="212">
        <v>0</v>
      </c>
      <c r="AG469" s="121">
        <v>0</v>
      </c>
      <c r="AH469" s="51">
        <v>0</v>
      </c>
      <c r="AI469" s="51">
        <v>0</v>
      </c>
      <c r="AJ469" s="51">
        <v>0</v>
      </c>
      <c r="AK469" s="51">
        <v>0</v>
      </c>
      <c r="AL469" s="14"/>
      <c r="AM469" s="122"/>
      <c r="AN469" s="51">
        <v>0</v>
      </c>
      <c r="AO469" s="51">
        <v>0</v>
      </c>
      <c r="AP469" s="51">
        <v>0</v>
      </c>
      <c r="AQ469" s="47"/>
      <c r="AR469" s="51">
        <v>0</v>
      </c>
      <c r="AS469" s="51">
        <v>0</v>
      </c>
    </row>
    <row r="470" ht="409.5" customHeight="1" hidden="1">
      <c r="A470" t="s" s="70">
        <v>1465</v>
      </c>
      <c r="B470" t="s" s="69">
        <v>484</v>
      </c>
      <c r="C470" t="s" s="130">
        <v>1466</v>
      </c>
      <c r="D470" t="s" s="209">
        <v>717</v>
      </c>
      <c r="E470" t="s" s="217">
        <v>1467</v>
      </c>
      <c r="F470" t="s" s="210">
        <v>714</v>
      </c>
      <c r="G470" s="211"/>
      <c r="H470" s="42">
        <f>SUM(J470,N470)</f>
        <v>0</v>
      </c>
      <c r="I470" s="207">
        <f>SUM(Q470,S470,U470,W470,Y470,AA470,AC470,AE470,AG470,AI470,AK470,AM470,AO470,AQ470,AS470)</f>
        <v>0</v>
      </c>
      <c r="J470" s="43">
        <f>SUM(P470,R470,T470,V470,X470,Z470,AB470,AD470,AF470,AH470,AJ470,AL470,AN470,AP470,AR470)</f>
        <v>0</v>
      </c>
      <c r="K470" s="44"/>
      <c r="L470" s="6"/>
      <c r="M470" s="6"/>
      <c r="N470" s="14"/>
      <c r="O470" s="15"/>
      <c r="P470" s="186"/>
      <c r="Q470" s="76"/>
      <c r="R470" s="51">
        <v>0</v>
      </c>
      <c r="S470" s="51">
        <v>0</v>
      </c>
      <c r="T470" s="51">
        <v>0</v>
      </c>
      <c r="U470" s="51">
        <v>0</v>
      </c>
      <c r="V470" s="51">
        <v>0</v>
      </c>
      <c r="W470" s="51">
        <v>0</v>
      </c>
      <c r="X470" s="51">
        <v>0</v>
      </c>
      <c r="Y470" s="51">
        <v>0</v>
      </c>
      <c r="Z470" s="48">
        <v>0</v>
      </c>
      <c r="AA470" s="48">
        <v>0</v>
      </c>
      <c r="AB470" s="48">
        <v>0</v>
      </c>
      <c r="AC470" s="48">
        <v>0</v>
      </c>
      <c r="AD470" s="55">
        <v>0</v>
      </c>
      <c r="AE470" s="213">
        <v>0</v>
      </c>
      <c r="AF470" s="212">
        <v>0</v>
      </c>
      <c r="AG470" s="121">
        <v>0</v>
      </c>
      <c r="AH470" s="51">
        <v>0</v>
      </c>
      <c r="AI470" s="51">
        <v>0</v>
      </c>
      <c r="AJ470" s="51">
        <v>0</v>
      </c>
      <c r="AK470" s="51">
        <v>0</v>
      </c>
      <c r="AL470" s="14"/>
      <c r="AM470" s="122"/>
      <c r="AN470" s="51">
        <v>0</v>
      </c>
      <c r="AO470" s="51">
        <v>0</v>
      </c>
      <c r="AP470" s="51">
        <v>0</v>
      </c>
      <c r="AQ470" s="47"/>
      <c r="AR470" s="51">
        <v>0</v>
      </c>
      <c r="AS470" s="51">
        <v>0</v>
      </c>
    </row>
    <row r="471" ht="214.5" customHeight="1" hidden="1">
      <c r="A471" t="s" s="70">
        <v>1468</v>
      </c>
      <c r="B471" t="s" s="52">
        <v>485</v>
      </c>
      <c r="C471" t="s" s="130">
        <v>1469</v>
      </c>
      <c r="D471" t="s" s="209">
        <v>717</v>
      </c>
      <c r="E471" t="s" s="217">
        <v>1470</v>
      </c>
      <c r="F471" t="s" s="210">
        <v>714</v>
      </c>
      <c r="G471" s="211"/>
      <c r="H471" s="42">
        <f>SUM(J471,N471)</f>
        <v>0</v>
      </c>
      <c r="I471" s="207">
        <f>SUM(Q471,S471,U471,W471,Y471,AA471,AC471,AE471,AG471,AI471,AK471,AM471,AO471,AQ471,AS471)</f>
        <v>0</v>
      </c>
      <c r="J471" s="43">
        <f>SUM(P471,R471,T471,V471,X471,Z471,AB471,AD471,AF471,AH471,AJ471,AL471,AN471,AP471,AR471)</f>
        <v>0</v>
      </c>
      <c r="K471" s="44"/>
      <c r="L471" s="6"/>
      <c r="M471" s="6"/>
      <c r="N471" s="14"/>
      <c r="O471" s="15"/>
      <c r="P471" s="186"/>
      <c r="Q471" s="76"/>
      <c r="R471" s="51">
        <v>0</v>
      </c>
      <c r="S471" s="51">
        <v>0</v>
      </c>
      <c r="T471" s="51">
        <v>0</v>
      </c>
      <c r="U471" s="51">
        <v>0</v>
      </c>
      <c r="V471" s="51">
        <v>0</v>
      </c>
      <c r="W471" s="51">
        <v>0</v>
      </c>
      <c r="X471" s="51">
        <v>0</v>
      </c>
      <c r="Y471" s="51">
        <v>0</v>
      </c>
      <c r="Z471" s="48">
        <v>0</v>
      </c>
      <c r="AA471" s="48">
        <v>0</v>
      </c>
      <c r="AB471" s="48">
        <v>0</v>
      </c>
      <c r="AC471" s="48">
        <v>0</v>
      </c>
      <c r="AD471" s="55">
        <v>0</v>
      </c>
      <c r="AE471" s="213">
        <v>0</v>
      </c>
      <c r="AF471" s="212">
        <v>0</v>
      </c>
      <c r="AG471" s="121">
        <v>0</v>
      </c>
      <c r="AH471" s="51">
        <v>0</v>
      </c>
      <c r="AI471" s="51">
        <v>0</v>
      </c>
      <c r="AJ471" s="51">
        <v>0</v>
      </c>
      <c r="AK471" s="51">
        <v>0</v>
      </c>
      <c r="AL471" s="14"/>
      <c r="AM471" s="122"/>
      <c r="AN471" s="51">
        <v>0</v>
      </c>
      <c r="AO471" s="51">
        <v>0</v>
      </c>
      <c r="AP471" s="51">
        <v>0</v>
      </c>
      <c r="AQ471" s="47"/>
      <c r="AR471" s="51">
        <v>0</v>
      </c>
      <c r="AS471" s="51">
        <v>0</v>
      </c>
    </row>
    <row r="472" ht="409.5" customHeight="1" hidden="1">
      <c r="A472" t="s" s="70">
        <v>1471</v>
      </c>
      <c r="B472" t="s" s="52">
        <v>486</v>
      </c>
      <c r="C472" t="s" s="130">
        <v>1472</v>
      </c>
      <c r="D472" t="s" s="209">
        <v>717</v>
      </c>
      <c r="E472" t="s" s="217">
        <v>1473</v>
      </c>
      <c r="F472" t="s" s="210">
        <v>714</v>
      </c>
      <c r="G472" s="211"/>
      <c r="H472" s="42">
        <f>SUM(J472,N472)</f>
        <v>0</v>
      </c>
      <c r="I472" s="207">
        <f>SUM(Q472,S472,U472,W472,Y472,AA472,AC472,AE472,AG472,AI472,AK472,AM472,AO472,AQ472,AS472)</f>
        <v>0</v>
      </c>
      <c r="J472" s="43">
        <f>SUM(P472,R472,T472,V472,X472,Z472,AB472,AD472,AF472,AH472,AJ472,AL472,AN472,AP472,AR472)</f>
        <v>0</v>
      </c>
      <c r="K472" s="44"/>
      <c r="L472" s="6"/>
      <c r="M472" s="6"/>
      <c r="N472" s="14"/>
      <c r="O472" s="15"/>
      <c r="P472" s="296">
        <v>0</v>
      </c>
      <c r="Q472" s="297">
        <v>0</v>
      </c>
      <c r="R472" s="51">
        <v>0</v>
      </c>
      <c r="S472" s="51">
        <v>0</v>
      </c>
      <c r="T472" s="51">
        <v>0</v>
      </c>
      <c r="U472" s="51">
        <v>0</v>
      </c>
      <c r="V472" s="51">
        <v>0</v>
      </c>
      <c r="W472" s="51">
        <v>0</v>
      </c>
      <c r="X472" s="51">
        <v>0</v>
      </c>
      <c r="Y472" s="51">
        <v>0</v>
      </c>
      <c r="Z472" s="48">
        <v>0</v>
      </c>
      <c r="AA472" s="48">
        <v>0</v>
      </c>
      <c r="AB472" s="48">
        <v>0</v>
      </c>
      <c r="AC472" s="48">
        <v>0</v>
      </c>
      <c r="AD472" s="55">
        <v>0</v>
      </c>
      <c r="AE472" s="213">
        <v>0</v>
      </c>
      <c r="AF472" s="212">
        <v>0</v>
      </c>
      <c r="AG472" s="121">
        <v>0</v>
      </c>
      <c r="AH472" s="51">
        <v>0</v>
      </c>
      <c r="AI472" s="51">
        <v>0</v>
      </c>
      <c r="AJ472" s="51">
        <v>0</v>
      </c>
      <c r="AK472" s="51">
        <v>0</v>
      </c>
      <c r="AL472" s="14"/>
      <c r="AM472" s="122"/>
      <c r="AN472" s="51">
        <v>0</v>
      </c>
      <c r="AO472" s="51">
        <v>0</v>
      </c>
      <c r="AP472" s="51">
        <v>0</v>
      </c>
      <c r="AQ472" s="47"/>
      <c r="AR472" s="51">
        <v>0</v>
      </c>
      <c r="AS472" s="51">
        <v>0</v>
      </c>
    </row>
    <row r="473" ht="331.5" customHeight="1" hidden="1">
      <c r="A473" t="s" s="70">
        <v>1474</v>
      </c>
      <c r="B473" t="s" s="69">
        <v>487</v>
      </c>
      <c r="C473" t="s" s="130">
        <v>800</v>
      </c>
      <c r="D473" t="s" s="209">
        <v>717</v>
      </c>
      <c r="E473" t="s" s="217">
        <v>1475</v>
      </c>
      <c r="F473" t="s" s="210">
        <v>714</v>
      </c>
      <c r="G473" s="211"/>
      <c r="H473" s="42">
        <f>SUM(J473,N473)</f>
        <v>0</v>
      </c>
      <c r="I473" s="207">
        <f>SUM(Q473,S473,U473,W473,Y473,AA473,AC473,AE473,AG473,AI473,AK473,AM473,AO473,AQ473,AS473)</f>
        <v>0</v>
      </c>
      <c r="J473" s="43">
        <f>SUM(P473,R473,T473,V473,X473,Z473,AB473,AD473,AF473,AH473,AJ473,AL473,AN473,AP473,AR473)</f>
        <v>0</v>
      </c>
      <c r="K473" s="44"/>
      <c r="L473" s="6"/>
      <c r="M473" s="6"/>
      <c r="N473" s="14"/>
      <c r="O473" s="15"/>
      <c r="P473" s="186"/>
      <c r="Q473" s="76"/>
      <c r="R473" s="51">
        <v>0</v>
      </c>
      <c r="S473" s="51">
        <v>0</v>
      </c>
      <c r="T473" s="51">
        <v>0</v>
      </c>
      <c r="U473" s="51">
        <v>0</v>
      </c>
      <c r="V473" s="51">
        <v>0</v>
      </c>
      <c r="W473" s="51">
        <v>0</v>
      </c>
      <c r="X473" s="51">
        <v>0</v>
      </c>
      <c r="Y473" s="51">
        <v>0</v>
      </c>
      <c r="Z473" s="48">
        <v>0</v>
      </c>
      <c r="AA473" s="48">
        <v>0</v>
      </c>
      <c r="AB473" s="48">
        <v>0</v>
      </c>
      <c r="AC473" s="48">
        <v>0</v>
      </c>
      <c r="AD473" s="55">
        <v>0</v>
      </c>
      <c r="AE473" s="213">
        <v>0</v>
      </c>
      <c r="AF473" s="212">
        <v>0</v>
      </c>
      <c r="AG473" s="121">
        <v>0</v>
      </c>
      <c r="AH473" s="51">
        <v>0</v>
      </c>
      <c r="AI473" s="51">
        <v>0</v>
      </c>
      <c r="AJ473" s="51">
        <v>0</v>
      </c>
      <c r="AK473" s="51">
        <v>0</v>
      </c>
      <c r="AL473" s="14"/>
      <c r="AM473" s="122"/>
      <c r="AN473" s="51">
        <v>0</v>
      </c>
      <c r="AO473" s="51">
        <v>0</v>
      </c>
      <c r="AP473" s="51">
        <v>0</v>
      </c>
      <c r="AQ473" s="47"/>
      <c r="AR473" s="51">
        <v>0</v>
      </c>
      <c r="AS473" s="51">
        <v>0</v>
      </c>
    </row>
    <row r="474" ht="409.5" customHeight="1" hidden="1">
      <c r="A474" t="s" s="70">
        <v>1476</v>
      </c>
      <c r="B474" t="s" s="52">
        <v>488</v>
      </c>
      <c r="C474" t="s" s="130">
        <v>1472</v>
      </c>
      <c r="D474" t="s" s="209">
        <v>717</v>
      </c>
      <c r="E474" t="s" s="217">
        <v>1477</v>
      </c>
      <c r="F474" t="s" s="210">
        <v>714</v>
      </c>
      <c r="G474" s="211"/>
      <c r="H474" s="42">
        <f>SUM(J474,N474)</f>
        <v>0</v>
      </c>
      <c r="I474" s="207">
        <f>SUM(Q474,S474,U474,W474,Y474,AA474,AC474,AE474,AG474,AI474,AK474,AM474,AO474,AQ474,AS474)</f>
        <v>0</v>
      </c>
      <c r="J474" s="43">
        <f>SUM(P474,R474,T474,V474,X474,Z474,AB474,AD474,AF474,AH474,AJ474,AL474,AN474,AP474,AR474)</f>
        <v>0</v>
      </c>
      <c r="K474" s="44"/>
      <c r="L474" s="6"/>
      <c r="M474" s="6"/>
      <c r="N474" s="14"/>
      <c r="O474" s="15"/>
      <c r="P474" s="186"/>
      <c r="Q474" s="76"/>
      <c r="R474" s="51">
        <v>0</v>
      </c>
      <c r="S474" s="51">
        <v>0</v>
      </c>
      <c r="T474" s="51">
        <v>0</v>
      </c>
      <c r="U474" s="51">
        <v>0</v>
      </c>
      <c r="V474" s="51">
        <v>0</v>
      </c>
      <c r="W474" s="51">
        <v>0</v>
      </c>
      <c r="X474" s="51">
        <v>0</v>
      </c>
      <c r="Y474" s="51">
        <v>0</v>
      </c>
      <c r="Z474" s="48">
        <v>0</v>
      </c>
      <c r="AA474" s="48">
        <v>0</v>
      </c>
      <c r="AB474" s="48">
        <v>0</v>
      </c>
      <c r="AC474" s="48">
        <v>0</v>
      </c>
      <c r="AD474" s="55">
        <v>0</v>
      </c>
      <c r="AE474" s="213">
        <v>0</v>
      </c>
      <c r="AF474" s="212">
        <v>0</v>
      </c>
      <c r="AG474" s="121">
        <v>0</v>
      </c>
      <c r="AH474" s="51">
        <v>0</v>
      </c>
      <c r="AI474" s="51">
        <v>0</v>
      </c>
      <c r="AJ474" s="51">
        <v>0</v>
      </c>
      <c r="AK474" s="51">
        <v>0</v>
      </c>
      <c r="AL474" s="14"/>
      <c r="AM474" s="122"/>
      <c r="AN474" s="51">
        <v>0</v>
      </c>
      <c r="AO474" s="51">
        <v>0</v>
      </c>
      <c r="AP474" s="51">
        <v>0</v>
      </c>
      <c r="AQ474" s="47"/>
      <c r="AR474" s="51">
        <v>0</v>
      </c>
      <c r="AS474" s="51">
        <v>0</v>
      </c>
    </row>
    <row r="475" ht="47.25" customHeight="1" hidden="1">
      <c r="A475" t="s" s="88">
        <v>1478</v>
      </c>
      <c r="B475" t="s" s="88">
        <v>489</v>
      </c>
      <c r="C475" s="228"/>
      <c r="D475" s="228"/>
      <c r="E475" s="189"/>
      <c r="F475" s="182">
        <v>0</v>
      </c>
      <c r="G475" s="183"/>
      <c r="H475" s="42">
        <f>SUM(J475,N475)</f>
        <v>0</v>
      </c>
      <c r="I475" s="207">
        <f>SUM(Q475,S475,U475,W475,Y475,AA475,AC475,AE475,AG475,AI475,AK475,AM475,AO475,AQ475,AS475)</f>
        <v>0</v>
      </c>
      <c r="J475" s="43">
        <f>SUM(P475,R475,T475,V475,X475,Z475,AB475,AD475,AF475,AH475,AJ475,AL475,AN475,AP475,AR475)</f>
        <v>0</v>
      </c>
      <c r="K475" s="44"/>
      <c r="L475" s="6"/>
      <c r="M475" s="6"/>
      <c r="N475" s="14"/>
      <c r="O475" s="15"/>
      <c r="P475" s="186"/>
      <c r="Q475" s="76"/>
      <c r="R475" s="47"/>
      <c r="S475" s="47"/>
      <c r="T475" s="47"/>
      <c r="U475" s="47"/>
      <c r="V475" s="47"/>
      <c r="W475" s="47"/>
      <c r="X475" s="47"/>
      <c r="Y475" s="47"/>
      <c r="Z475" s="48">
        <v>0</v>
      </c>
      <c r="AA475" s="48">
        <v>0</v>
      </c>
      <c r="AB475" s="49"/>
      <c r="AC475" s="49"/>
      <c r="AD475" s="50"/>
      <c r="AE475" s="50"/>
      <c r="AF475" s="14"/>
      <c r="AG475" s="122"/>
      <c r="AH475" s="51">
        <v>0</v>
      </c>
      <c r="AI475" s="51">
        <v>0</v>
      </c>
      <c r="AJ475" s="47"/>
      <c r="AK475" s="47"/>
      <c r="AL475" s="14"/>
      <c r="AM475" s="122"/>
      <c r="AN475" s="47"/>
      <c r="AO475" s="47"/>
      <c r="AP475" s="47"/>
      <c r="AQ475" s="47"/>
      <c r="AR475" s="51">
        <v>0</v>
      </c>
      <c r="AS475" s="51">
        <v>0</v>
      </c>
    </row>
    <row r="476" ht="19.5" customHeight="1" hidden="1">
      <c r="A476" t="s" s="103">
        <v>1479</v>
      </c>
      <c r="B476" t="s" s="10">
        <v>490</v>
      </c>
      <c r="C476" t="s" s="103">
        <v>765</v>
      </c>
      <c r="D476" t="s" s="66">
        <v>713</v>
      </c>
      <c r="E476" s="181"/>
      <c r="F476" t="s" s="101">
        <v>720</v>
      </c>
      <c r="G476" s="203"/>
      <c r="H476" s="204">
        <f>SUM(J476,N476)</f>
        <v>8200</v>
      </c>
      <c r="I476" s="205">
        <f>SUM(Q476,S476,U476,W476,Y476,AA476,AC476,AE476,AG476,AI476,AK476,AM476,AO476,AQ476,AS476)</f>
        <v>4910</v>
      </c>
      <c r="J476" s="35">
        <f>SUM(P476,R476,T476,V476,X476,Z476,AB476,AD476,AF476,AH476,AJ476,AL476,AN476,AP476,AR476)</f>
        <v>8200</v>
      </c>
      <c r="K476" s="36"/>
      <c r="L476" s="196"/>
      <c r="M476" s="196"/>
      <c r="N476" s="196"/>
      <c r="O476" s="197"/>
      <c r="P476" s="27">
        <v>2000</v>
      </c>
      <c r="Q476" s="27">
        <v>1910</v>
      </c>
      <c r="R476" s="38">
        <v>0</v>
      </c>
      <c r="S476" s="38">
        <v>0</v>
      </c>
      <c r="T476" s="38">
        <v>5000</v>
      </c>
      <c r="U476" s="38">
        <v>3000</v>
      </c>
      <c r="V476" s="38">
        <v>1200</v>
      </c>
      <c r="W476" s="38">
        <v>0</v>
      </c>
      <c r="X476" s="38">
        <v>0</v>
      </c>
      <c r="Y476" s="38">
        <v>0</v>
      </c>
      <c r="Z476" s="40">
        <v>0</v>
      </c>
      <c r="AA476" s="40">
        <v>0</v>
      </c>
      <c r="AB476" s="40">
        <v>0</v>
      </c>
      <c r="AC476" s="40">
        <v>0</v>
      </c>
      <c r="AD476" s="40">
        <v>0</v>
      </c>
      <c r="AE476" s="40">
        <v>0</v>
      </c>
      <c r="AF476" s="198">
        <v>0</v>
      </c>
      <c r="AG476" s="206">
        <v>0</v>
      </c>
      <c r="AH476" s="38">
        <v>0</v>
      </c>
      <c r="AI476" s="38">
        <v>0</v>
      </c>
      <c r="AJ476" s="38">
        <v>0</v>
      </c>
      <c r="AK476" s="38">
        <v>0</v>
      </c>
      <c r="AL476" s="202"/>
      <c r="AM476" s="197"/>
      <c r="AN476" s="38">
        <v>0</v>
      </c>
      <c r="AO476" s="38">
        <v>0</v>
      </c>
      <c r="AP476" s="38">
        <v>0</v>
      </c>
      <c r="AQ476" s="80"/>
      <c r="AR476" s="38">
        <v>0</v>
      </c>
      <c r="AS476" s="38">
        <v>0</v>
      </c>
    </row>
    <row r="477" ht="19.5" customHeight="1" hidden="1">
      <c r="A477" t="s" s="59">
        <v>1480</v>
      </c>
      <c r="B477" t="s" s="21">
        <v>491</v>
      </c>
      <c r="C477" t="s" s="59">
        <v>765</v>
      </c>
      <c r="D477" t="s" s="190">
        <v>713</v>
      </c>
      <c r="E477" s="191"/>
      <c r="F477" t="s" s="192">
        <v>714</v>
      </c>
      <c r="G477" s="193"/>
      <c r="H477" s="194">
        <f>SUM(J477,N477)</f>
        <v>10800</v>
      </c>
      <c r="I477" s="195">
        <f>SUM(Q477,S477,U477,W477,Y477,AA477,AC477,AE477,AG477,AI477,AK477,AM477,AO477,AQ477,AS477)</f>
        <v>0</v>
      </c>
      <c r="J477" s="23">
        <f>SUM(P477,R477,T477,V477,X477,Z477,AB477,AD477,AF477,AH477,AJ477,AL477,AN477,AP477,AR477)</f>
        <v>10800</v>
      </c>
      <c r="K477" s="36"/>
      <c r="L477" s="196"/>
      <c r="M477" s="196"/>
      <c r="N477" s="196"/>
      <c r="O477" s="197"/>
      <c r="P477" s="27">
        <v>200</v>
      </c>
      <c r="Q477" s="46"/>
      <c r="R477" s="28">
        <v>0</v>
      </c>
      <c r="S477" s="28">
        <v>0</v>
      </c>
      <c r="T477" s="28">
        <v>8000</v>
      </c>
      <c r="U477" s="28">
        <v>0</v>
      </c>
      <c r="V477" s="28">
        <v>100</v>
      </c>
      <c r="W477" s="28">
        <v>0</v>
      </c>
      <c r="X477" s="28">
        <v>0</v>
      </c>
      <c r="Y477" s="28">
        <v>0</v>
      </c>
      <c r="Z477" s="30">
        <v>0</v>
      </c>
      <c r="AA477" s="30">
        <v>0</v>
      </c>
      <c r="AB477" s="30">
        <v>0</v>
      </c>
      <c r="AC477" s="30">
        <v>0</v>
      </c>
      <c r="AD477" s="30">
        <v>0</v>
      </c>
      <c r="AE477" s="30">
        <v>0</v>
      </c>
      <c r="AF477" s="198">
        <v>0</v>
      </c>
      <c r="AG477" s="206">
        <v>0</v>
      </c>
      <c r="AH477" s="28">
        <v>0</v>
      </c>
      <c r="AI477" s="28">
        <v>0</v>
      </c>
      <c r="AJ477" s="28">
        <v>0</v>
      </c>
      <c r="AK477" s="28">
        <v>0</v>
      </c>
      <c r="AL477" s="234">
        <v>2500</v>
      </c>
      <c r="AM477" s="234">
        <v>0</v>
      </c>
      <c r="AN477" s="28">
        <v>0</v>
      </c>
      <c r="AO477" s="28">
        <v>0</v>
      </c>
      <c r="AP477" s="28">
        <v>0</v>
      </c>
      <c r="AQ477" s="87"/>
      <c r="AR477" s="28">
        <v>0</v>
      </c>
      <c r="AS477" s="28">
        <v>0</v>
      </c>
    </row>
    <row r="478" ht="31.5" customHeight="1" hidden="1">
      <c r="A478" t="s" s="103">
        <v>1481</v>
      </c>
      <c r="B478" t="s" s="124">
        <v>492</v>
      </c>
      <c r="C478" s="180"/>
      <c r="D478" s="180"/>
      <c r="E478" s="189"/>
      <c r="F478" s="182">
        <v>0</v>
      </c>
      <c r="G478" s="183"/>
      <c r="H478" s="42">
        <f>SUM(J478,N478)</f>
        <v>0</v>
      </c>
      <c r="I478" s="207">
        <f>SUM(Q478,S478,U478,W478,Y478,AA478,AC478,AE478,AG478,AI478,AK478,AM478,AO478,AQ478,AS478)</f>
        <v>0</v>
      </c>
      <c r="J478" s="43">
        <f>SUM(P478,R478,T478,V478,X478,Z478,AB478,AD478,AF478,AH478,AJ478,AL478,AN478,AP478,AR478)</f>
        <v>0</v>
      </c>
      <c r="K478" s="44"/>
      <c r="L478" s="6"/>
      <c r="M478" s="6"/>
      <c r="N478" s="14"/>
      <c r="O478" s="122"/>
      <c r="P478" s="46"/>
      <c r="Q478" s="46"/>
      <c r="R478" s="47"/>
      <c r="S478" s="47"/>
      <c r="T478" s="47"/>
      <c r="U478" s="47"/>
      <c r="V478" s="47"/>
      <c r="W478" s="47"/>
      <c r="X478" s="47"/>
      <c r="Y478" s="47"/>
      <c r="Z478" s="48">
        <v>0</v>
      </c>
      <c r="AA478" s="48">
        <v>0</v>
      </c>
      <c r="AB478" s="49"/>
      <c r="AC478" s="49"/>
      <c r="AD478" s="50"/>
      <c r="AE478" s="50"/>
      <c r="AF478" s="14"/>
      <c r="AG478" s="122"/>
      <c r="AH478" s="51">
        <v>0</v>
      </c>
      <c r="AI478" s="51">
        <v>0</v>
      </c>
      <c r="AJ478" s="47"/>
      <c r="AK478" s="47"/>
      <c r="AL478" s="14"/>
      <c r="AM478" s="122"/>
      <c r="AN478" s="47"/>
      <c r="AO478" s="47"/>
      <c r="AP478" s="47"/>
      <c r="AQ478" s="47"/>
      <c r="AR478" s="51">
        <v>0</v>
      </c>
      <c r="AS478" s="51">
        <v>0</v>
      </c>
    </row>
    <row r="479" ht="31.5" customHeight="1" hidden="1">
      <c r="A479" t="s" s="88">
        <v>1482</v>
      </c>
      <c r="B479" t="s" s="88">
        <v>493</v>
      </c>
      <c r="C479" s="228"/>
      <c r="D479" s="228"/>
      <c r="E479" s="189"/>
      <c r="F479" s="182">
        <v>0</v>
      </c>
      <c r="G479" s="183"/>
      <c r="H479" s="42">
        <f>SUM(J479,N479)</f>
        <v>0</v>
      </c>
      <c r="I479" s="207">
        <f>SUM(Q479,S479,U479,W479,Y479,AA479,AC479,AE479,AG479,AI479,AK479,AM479,AO479,AQ479,AS479)</f>
        <v>0</v>
      </c>
      <c r="J479" s="43">
        <f>SUM(P479,R479,T479,V479,X479,Z479,AB479,AD479,AF479,AH479,AJ479,AL479,AN479,AP479,AR479)</f>
        <v>0</v>
      </c>
      <c r="K479" s="44"/>
      <c r="L479" s="6"/>
      <c r="M479" s="6"/>
      <c r="N479" s="14"/>
      <c r="O479" s="122"/>
      <c r="P479" s="46"/>
      <c r="Q479" s="46"/>
      <c r="R479" s="47"/>
      <c r="S479" s="47"/>
      <c r="T479" s="47"/>
      <c r="U479" s="47"/>
      <c r="V479" s="47"/>
      <c r="W479" s="47"/>
      <c r="X479" s="47"/>
      <c r="Y479" s="47"/>
      <c r="Z479" s="48">
        <v>0</v>
      </c>
      <c r="AA479" s="48">
        <v>0</v>
      </c>
      <c r="AB479" s="49"/>
      <c r="AC479" s="49"/>
      <c r="AD479" s="50"/>
      <c r="AE479" s="50"/>
      <c r="AF479" s="14"/>
      <c r="AG479" s="122"/>
      <c r="AH479" s="51">
        <v>0</v>
      </c>
      <c r="AI479" s="51">
        <v>0</v>
      </c>
      <c r="AJ479" s="47"/>
      <c r="AK479" s="47"/>
      <c r="AL479" s="14"/>
      <c r="AM479" s="122"/>
      <c r="AN479" s="47"/>
      <c r="AO479" s="47"/>
      <c r="AP479" s="47"/>
      <c r="AQ479" s="47"/>
      <c r="AR479" s="51">
        <v>0</v>
      </c>
      <c r="AS479" s="51">
        <v>0</v>
      </c>
    </row>
    <row r="480" ht="19.5" customHeight="1" hidden="1">
      <c r="A480" t="s" s="88">
        <v>1483</v>
      </c>
      <c r="B480" t="s" s="88">
        <v>494</v>
      </c>
      <c r="C480" s="228"/>
      <c r="D480" s="228"/>
      <c r="E480" s="189"/>
      <c r="F480" s="182">
        <v>0</v>
      </c>
      <c r="G480" s="183"/>
      <c r="H480" s="42">
        <f>SUM(J480,N480)</f>
        <v>0</v>
      </c>
      <c r="I480" s="207">
        <f>SUM(Q480,S480,U480,W480,Y480,AA480,AC480,AE480,AG480,AI480,AK480,AM480,AO480,AQ480,AS480)</f>
        <v>0</v>
      </c>
      <c r="J480" s="43">
        <f>SUM(P480,R480,T480,V480,X480,Z480,AB480,AD480,AF480,AH480,AJ480,AL480,AN480,AP480,AR480)</f>
        <v>0</v>
      </c>
      <c r="K480" s="44"/>
      <c r="L480" s="6"/>
      <c r="M480" s="6"/>
      <c r="N480" s="14"/>
      <c r="O480" s="122"/>
      <c r="P480" s="46"/>
      <c r="Q480" s="46"/>
      <c r="R480" s="47"/>
      <c r="S480" s="47"/>
      <c r="T480" s="47"/>
      <c r="U480" s="47"/>
      <c r="V480" s="47"/>
      <c r="W480" s="47"/>
      <c r="X480" s="47"/>
      <c r="Y480" s="47"/>
      <c r="Z480" s="48">
        <v>0</v>
      </c>
      <c r="AA480" s="48">
        <v>0</v>
      </c>
      <c r="AB480" s="49"/>
      <c r="AC480" s="49"/>
      <c r="AD480" s="50"/>
      <c r="AE480" s="50"/>
      <c r="AF480" s="14"/>
      <c r="AG480" s="122"/>
      <c r="AH480" s="47"/>
      <c r="AI480" s="51">
        <v>0</v>
      </c>
      <c r="AJ480" s="47"/>
      <c r="AK480" s="47"/>
      <c r="AL480" s="14"/>
      <c r="AM480" s="122"/>
      <c r="AN480" s="47"/>
      <c r="AO480" s="47"/>
      <c r="AP480" s="47"/>
      <c r="AQ480" s="47"/>
      <c r="AR480" s="51">
        <v>0</v>
      </c>
      <c r="AS480" s="51">
        <v>0</v>
      </c>
    </row>
    <row r="481" ht="409.5" customHeight="1" hidden="1">
      <c r="A481" t="s" s="130">
        <v>1484</v>
      </c>
      <c r="B481" t="s" s="52">
        <v>495</v>
      </c>
      <c r="C481" t="s" s="130">
        <v>1485</v>
      </c>
      <c r="D481" t="s" s="209">
        <v>717</v>
      </c>
      <c r="E481" t="s" s="217">
        <v>1486</v>
      </c>
      <c r="F481" t="s" s="210">
        <v>714</v>
      </c>
      <c r="G481" s="211"/>
      <c r="H481" s="42">
        <f>SUM(J481,N481)</f>
        <v>8300</v>
      </c>
      <c r="I481" s="207">
        <f>SUM(Q481,S481,U481,W481,Y481,AA481,AC481,AE481,AG481,AI481,AK481,AM481,AO481,AQ481,AS481)</f>
        <v>7110</v>
      </c>
      <c r="J481" s="43">
        <f>SUM(P481,R481,T481,V481,X481,Z481,AB481,AD481,AF481,AH481,AJ481,AL481,AN481,AP481,AR481)</f>
        <v>8300</v>
      </c>
      <c r="K481" s="44"/>
      <c r="L481" s="6"/>
      <c r="M481" s="6"/>
      <c r="N481" s="14"/>
      <c r="O481" s="122"/>
      <c r="P481" s="27">
        <v>3000</v>
      </c>
      <c r="Q481" s="27">
        <v>2610</v>
      </c>
      <c r="R481" s="51">
        <v>1000</v>
      </c>
      <c r="S481" s="51">
        <v>750</v>
      </c>
      <c r="T481" s="51">
        <v>2300</v>
      </c>
      <c r="U481" s="51">
        <v>1700</v>
      </c>
      <c r="V481" s="51">
        <v>2000</v>
      </c>
      <c r="W481" s="51">
        <v>2050</v>
      </c>
      <c r="X481" s="51">
        <v>0</v>
      </c>
      <c r="Y481" s="51">
        <v>0</v>
      </c>
      <c r="Z481" s="48">
        <v>0</v>
      </c>
      <c r="AA481" s="48">
        <v>0</v>
      </c>
      <c r="AB481" s="48">
        <v>0</v>
      </c>
      <c r="AC481" s="48">
        <v>0</v>
      </c>
      <c r="AD481" s="55">
        <v>0</v>
      </c>
      <c r="AE481" s="213">
        <v>0</v>
      </c>
      <c r="AF481" s="212">
        <v>0</v>
      </c>
      <c r="AG481" s="121">
        <v>0</v>
      </c>
      <c r="AH481" s="51">
        <v>0</v>
      </c>
      <c r="AI481" s="51">
        <v>0</v>
      </c>
      <c r="AJ481" s="51">
        <v>0</v>
      </c>
      <c r="AK481" s="51">
        <v>0</v>
      </c>
      <c r="AL481" s="14"/>
      <c r="AM481" s="122"/>
      <c r="AN481" s="51">
        <v>0</v>
      </c>
      <c r="AO481" s="51">
        <v>0</v>
      </c>
      <c r="AP481" s="51">
        <v>0</v>
      </c>
      <c r="AQ481" s="47"/>
      <c r="AR481" s="51">
        <v>0</v>
      </c>
      <c r="AS481" s="51">
        <v>0</v>
      </c>
    </row>
    <row r="482" ht="409.5" customHeight="1" hidden="1">
      <c r="A482" t="s" s="130">
        <v>1487</v>
      </c>
      <c r="B482" t="s" s="52">
        <v>496</v>
      </c>
      <c r="C482" t="s" s="130">
        <v>800</v>
      </c>
      <c r="D482" t="s" s="209">
        <v>717</v>
      </c>
      <c r="E482" t="s" s="217">
        <v>1488</v>
      </c>
      <c r="F482" t="s" s="210">
        <v>714</v>
      </c>
      <c r="G482" s="211"/>
      <c r="H482" s="42">
        <f>SUM(J482,N482)</f>
        <v>500</v>
      </c>
      <c r="I482" s="207">
        <f>SUM(Q482,S482,U482,W482,Y482,AA482,AC482,AE482,AG482,AI482,AK482,AM482,AO482,AQ482,AS482)</f>
        <v>0</v>
      </c>
      <c r="J482" s="43">
        <f>SUM(P482,R482,T482,V482,X482,Z482,AB482,AD482,AF482,AH482,AJ482,AL482,AN482,AP482,AR482)</f>
        <v>500</v>
      </c>
      <c r="K482" s="44"/>
      <c r="L482" s="6"/>
      <c r="M482" s="6"/>
      <c r="N482" s="14"/>
      <c r="O482" s="122"/>
      <c r="P482" s="27">
        <v>500</v>
      </c>
      <c r="Q482" s="27">
        <v>0</v>
      </c>
      <c r="R482" s="51">
        <v>0</v>
      </c>
      <c r="S482" s="51">
        <v>0</v>
      </c>
      <c r="T482" s="51">
        <v>0</v>
      </c>
      <c r="U482" s="51">
        <v>0</v>
      </c>
      <c r="V482" s="47"/>
      <c r="W482" s="47"/>
      <c r="X482" s="51">
        <v>0</v>
      </c>
      <c r="Y482" s="51">
        <v>0</v>
      </c>
      <c r="Z482" s="48">
        <v>0</v>
      </c>
      <c r="AA482" s="48">
        <v>0</v>
      </c>
      <c r="AB482" s="48">
        <v>0</v>
      </c>
      <c r="AC482" s="48">
        <v>0</v>
      </c>
      <c r="AD482" s="55">
        <v>0</v>
      </c>
      <c r="AE482" s="213">
        <v>0</v>
      </c>
      <c r="AF482" s="212">
        <v>0</v>
      </c>
      <c r="AG482" s="121">
        <v>0</v>
      </c>
      <c r="AH482" s="51">
        <v>0</v>
      </c>
      <c r="AI482" s="51">
        <v>0</v>
      </c>
      <c r="AJ482" s="51">
        <v>0</v>
      </c>
      <c r="AK482" s="51">
        <v>0</v>
      </c>
      <c r="AL482" s="14"/>
      <c r="AM482" s="122"/>
      <c r="AN482" s="51">
        <v>0</v>
      </c>
      <c r="AO482" s="51">
        <v>0</v>
      </c>
      <c r="AP482" s="51">
        <v>0</v>
      </c>
      <c r="AQ482" s="47"/>
      <c r="AR482" s="51">
        <v>0</v>
      </c>
      <c r="AS482" s="51">
        <v>0</v>
      </c>
    </row>
    <row r="483" ht="31.5" customHeight="1" hidden="1">
      <c r="A483" t="s" s="130">
        <v>1489</v>
      </c>
      <c r="B483" t="s" s="52">
        <v>497</v>
      </c>
      <c r="C483" t="s" s="130">
        <v>765</v>
      </c>
      <c r="D483" s="208"/>
      <c r="E483" s="189"/>
      <c r="F483" t="s" s="210">
        <v>714</v>
      </c>
      <c r="G483" s="211"/>
      <c r="H483" s="42">
        <f>SUM(J483,N483)</f>
        <v>0</v>
      </c>
      <c r="I483" s="207">
        <f>SUM(Q483,S483,U483,W483,Y483,AA483,AC483,AE483,AG483,AI483,AK483,AM483,AO483,AQ483,AS483)</f>
        <v>0</v>
      </c>
      <c r="J483" s="43">
        <f>SUM(P483,R483,T483,V483,X483,Z483,AB483,AD483,AF483,AH483,AJ483,AL483,AN483,AP483,AR483)</f>
        <v>0</v>
      </c>
      <c r="K483" s="44"/>
      <c r="L483" s="6"/>
      <c r="M483" s="6"/>
      <c r="N483" s="14"/>
      <c r="O483" s="122"/>
      <c r="P483" s="27">
        <v>0</v>
      </c>
      <c r="Q483" s="27">
        <v>0</v>
      </c>
      <c r="R483" s="51">
        <v>0</v>
      </c>
      <c r="S483" s="51">
        <v>0</v>
      </c>
      <c r="T483" s="51">
        <v>0</v>
      </c>
      <c r="U483" s="51">
        <v>0</v>
      </c>
      <c r="V483" s="51">
        <v>0</v>
      </c>
      <c r="W483" s="51">
        <v>0</v>
      </c>
      <c r="X483" s="51">
        <v>0</v>
      </c>
      <c r="Y483" s="51">
        <v>0</v>
      </c>
      <c r="Z483" s="48">
        <v>0</v>
      </c>
      <c r="AA483" s="48">
        <v>0</v>
      </c>
      <c r="AB483" s="48">
        <v>0</v>
      </c>
      <c r="AC483" s="48">
        <v>0</v>
      </c>
      <c r="AD483" s="55">
        <v>0</v>
      </c>
      <c r="AE483" s="213">
        <v>0</v>
      </c>
      <c r="AF483" s="212">
        <v>0</v>
      </c>
      <c r="AG483" s="121">
        <v>0</v>
      </c>
      <c r="AH483" s="51">
        <v>0</v>
      </c>
      <c r="AI483" s="51">
        <v>0</v>
      </c>
      <c r="AJ483" s="51">
        <v>0</v>
      </c>
      <c r="AK483" s="51">
        <v>0</v>
      </c>
      <c r="AL483" s="14"/>
      <c r="AM483" s="122"/>
      <c r="AN483" s="51">
        <v>0</v>
      </c>
      <c r="AO483" s="51">
        <v>0</v>
      </c>
      <c r="AP483" s="51">
        <v>0</v>
      </c>
      <c r="AQ483" s="47"/>
      <c r="AR483" s="51">
        <v>0</v>
      </c>
      <c r="AS483" s="51">
        <v>0</v>
      </c>
    </row>
    <row r="484" ht="19.5" customHeight="1" hidden="1">
      <c r="A484" s="227">
        <v>11</v>
      </c>
      <c r="B484" t="s" s="103">
        <v>498</v>
      </c>
      <c r="C484" s="180"/>
      <c r="D484" s="180"/>
      <c r="E484" s="189"/>
      <c r="F484" s="182">
        <v>0</v>
      </c>
      <c r="G484" s="183"/>
      <c r="H484" s="42">
        <f>SUM(J484,N484)</f>
        <v>0</v>
      </c>
      <c r="I484" s="207">
        <f>SUM(Q484,S484,U484,W484,Y484,AA484,AC484,AE484,AG484,AI484,AK484,AM484,AO484,AQ484,AS484)</f>
        <v>0</v>
      </c>
      <c r="J484" s="43">
        <f>SUM(P484,R484,T484,V484,X484,Z484,AB484,AD484,AF484,AH484,AJ484,AL484,AN484,AP484,AR484)</f>
        <v>0</v>
      </c>
      <c r="K484" s="44"/>
      <c r="L484" s="6"/>
      <c r="M484" s="6"/>
      <c r="N484" s="14"/>
      <c r="O484" s="122"/>
      <c r="P484" s="46"/>
      <c r="Q484" s="46"/>
      <c r="R484" s="125"/>
      <c r="S484" s="125"/>
      <c r="T484" s="47"/>
      <c r="U484" s="47"/>
      <c r="V484" s="125"/>
      <c r="W484" s="125"/>
      <c r="X484" s="125"/>
      <c r="Y484" s="125"/>
      <c r="Z484" s="48">
        <v>0</v>
      </c>
      <c r="AA484" s="48">
        <v>0</v>
      </c>
      <c r="AB484" s="49"/>
      <c r="AC484" s="49"/>
      <c r="AD484" s="50"/>
      <c r="AE484" s="50"/>
      <c r="AF484" s="14"/>
      <c r="AG484" s="122"/>
      <c r="AH484" s="126">
        <v>0</v>
      </c>
      <c r="AI484" s="126">
        <v>0</v>
      </c>
      <c r="AJ484" s="125"/>
      <c r="AK484" s="125"/>
      <c r="AL484" s="14"/>
      <c r="AM484" s="122"/>
      <c r="AN484" s="47"/>
      <c r="AO484" s="47"/>
      <c r="AP484" s="125"/>
      <c r="AQ484" s="125"/>
      <c r="AR484" s="127">
        <v>0</v>
      </c>
      <c r="AS484" s="126">
        <v>0</v>
      </c>
    </row>
    <row r="485" ht="31.5" customHeight="1" hidden="1">
      <c r="A485" t="s" s="88">
        <v>1490</v>
      </c>
      <c r="B485" t="s" s="88">
        <v>499</v>
      </c>
      <c r="C485" s="228"/>
      <c r="D485" s="228"/>
      <c r="E485" s="189"/>
      <c r="F485" s="182">
        <v>0</v>
      </c>
      <c r="G485" s="183"/>
      <c r="H485" s="42">
        <f>SUM(J485,N485)</f>
        <v>0</v>
      </c>
      <c r="I485" s="207">
        <f>SUM(Q485,S485,U485,W485,Y485,AA485,AC485,AE485,AG485,AI485,AK485,AM485,AO485,AQ485,AS485)</f>
        <v>0</v>
      </c>
      <c r="J485" s="43">
        <f>SUM(P485,R485,T485,V485,X485,Z485,AB485,AD485,AF485,AH485,AJ485,AL485,AN485,AP485,AR485)</f>
        <v>0</v>
      </c>
      <c r="K485" s="44"/>
      <c r="L485" s="6"/>
      <c r="M485" s="6"/>
      <c r="N485" s="14"/>
      <c r="O485" s="122"/>
      <c r="P485" s="46"/>
      <c r="Q485" s="46"/>
      <c r="R485" s="125"/>
      <c r="S485" s="125"/>
      <c r="T485" s="125"/>
      <c r="U485" s="125"/>
      <c r="V485" s="125"/>
      <c r="W485" s="125"/>
      <c r="X485" s="125"/>
      <c r="Y485" s="125"/>
      <c r="Z485" s="48">
        <v>0</v>
      </c>
      <c r="AA485" s="48">
        <v>0</v>
      </c>
      <c r="AB485" s="49"/>
      <c r="AC485" s="49"/>
      <c r="AD485" s="50"/>
      <c r="AE485" s="50"/>
      <c r="AF485" s="14"/>
      <c r="AG485" s="122"/>
      <c r="AH485" s="126">
        <v>0</v>
      </c>
      <c r="AI485" s="126">
        <v>0</v>
      </c>
      <c r="AJ485" s="125"/>
      <c r="AK485" s="125"/>
      <c r="AL485" s="14"/>
      <c r="AM485" s="122"/>
      <c r="AN485" s="47"/>
      <c r="AO485" s="47"/>
      <c r="AP485" s="125"/>
      <c r="AQ485" s="125"/>
      <c r="AR485" s="126">
        <v>0</v>
      </c>
      <c r="AS485" s="126">
        <v>0</v>
      </c>
    </row>
    <row r="486" ht="19.5" customHeight="1" hidden="1">
      <c r="A486" t="s" s="59">
        <v>1491</v>
      </c>
      <c r="B486" t="s" s="21">
        <v>500</v>
      </c>
      <c r="C486" t="s" s="59">
        <v>1149</v>
      </c>
      <c r="D486" t="s" s="190">
        <v>801</v>
      </c>
      <c r="E486" s="191"/>
      <c r="F486" t="s" s="192">
        <v>714</v>
      </c>
      <c r="G486" s="193"/>
      <c r="H486" s="194">
        <f>SUM(J486,N486)</f>
        <v>580</v>
      </c>
      <c r="I486" s="195">
        <f>SUM(Q486,S486,U486,W486,Y486,AA486,AC486,AE486,AG486,AI486,AK486,AM486,AO486,AQ486,AS486)</f>
        <v>0</v>
      </c>
      <c r="J486" s="23">
        <f>SUM(P486,R486,T486,V486,X486,Z486,AB486,AD486,AF486,AH486,AJ486,AL486,AN486,AP486,AR486)</f>
        <v>580</v>
      </c>
      <c r="K486" s="36"/>
      <c r="L486" s="196"/>
      <c r="M486" s="196"/>
      <c r="N486" s="196"/>
      <c r="O486" s="197"/>
      <c r="P486" s="27">
        <v>500</v>
      </c>
      <c r="Q486" s="27">
        <v>0</v>
      </c>
      <c r="R486" s="28">
        <v>30</v>
      </c>
      <c r="S486" s="28">
        <v>0</v>
      </c>
      <c r="T486" s="128">
        <v>50</v>
      </c>
      <c r="U486" s="128">
        <v>0</v>
      </c>
      <c r="V486" s="28">
        <v>0</v>
      </c>
      <c r="W486" s="28">
        <v>0</v>
      </c>
      <c r="X486" s="28">
        <v>0</v>
      </c>
      <c r="Y486" s="28">
        <v>0</v>
      </c>
      <c r="Z486" s="30">
        <v>0</v>
      </c>
      <c r="AA486" s="140"/>
      <c r="AB486" s="30">
        <v>0</v>
      </c>
      <c r="AC486" s="30">
        <v>0</v>
      </c>
      <c r="AD486" s="30">
        <v>0</v>
      </c>
      <c r="AE486" s="30">
        <v>0</v>
      </c>
      <c r="AF486" s="198">
        <v>0</v>
      </c>
      <c r="AG486" s="206">
        <v>0</v>
      </c>
      <c r="AH486" s="28">
        <v>0</v>
      </c>
      <c r="AI486" s="28">
        <v>0</v>
      </c>
      <c r="AJ486" s="28">
        <v>0</v>
      </c>
      <c r="AK486" s="28">
        <v>0</v>
      </c>
      <c r="AL486" s="202"/>
      <c r="AM486" s="197"/>
      <c r="AN486" s="28">
        <v>0</v>
      </c>
      <c r="AO486" s="28">
        <v>0</v>
      </c>
      <c r="AP486" s="28">
        <v>0</v>
      </c>
      <c r="AQ486" s="87"/>
      <c r="AR486" s="28">
        <v>0</v>
      </c>
      <c r="AS486" s="28">
        <v>0</v>
      </c>
    </row>
    <row r="487" ht="31.5" customHeight="1" hidden="1">
      <c r="A487" t="s" s="59">
        <v>1492</v>
      </c>
      <c r="B487" t="s" s="21">
        <v>501</v>
      </c>
      <c r="C487" t="s" s="59">
        <v>1149</v>
      </c>
      <c r="D487" t="s" s="190">
        <v>801</v>
      </c>
      <c r="E487" s="191"/>
      <c r="F487" t="s" s="192">
        <v>720</v>
      </c>
      <c r="G487" s="193"/>
      <c r="H487" s="194">
        <f>SUM(J487,N487)</f>
        <v>10260</v>
      </c>
      <c r="I487" s="195">
        <f>SUM(Q487,S487,U487,W487,Y487,AA487,AC487,AE487,AG487,AI487,AK487,AM487,AO487,AQ487,AS487)</f>
        <v>2572</v>
      </c>
      <c r="J487" s="23">
        <f>SUM(P487,R487,T487,V487,X487,Z487,AB487,AD487,AF487,AH487,AJ487,AL487,AN487,AP487,AR487)</f>
        <v>10260</v>
      </c>
      <c r="K487" s="36"/>
      <c r="L487" s="196"/>
      <c r="M487" s="196"/>
      <c r="N487" s="196"/>
      <c r="O487" s="197"/>
      <c r="P487" s="27">
        <v>10000</v>
      </c>
      <c r="Q487" s="27">
        <v>2342</v>
      </c>
      <c r="R487" s="28">
        <v>50</v>
      </c>
      <c r="S487" s="28">
        <v>0</v>
      </c>
      <c r="T487" s="28">
        <v>100</v>
      </c>
      <c r="U487" s="28">
        <v>0</v>
      </c>
      <c r="V487" s="28">
        <v>50</v>
      </c>
      <c r="W487" s="28">
        <v>130</v>
      </c>
      <c r="X487" s="28">
        <v>60</v>
      </c>
      <c r="Y487" s="28">
        <v>100</v>
      </c>
      <c r="Z487" s="30">
        <v>0</v>
      </c>
      <c r="AA487" s="30">
        <v>0</v>
      </c>
      <c r="AB487" s="30">
        <v>0</v>
      </c>
      <c r="AC487" s="30">
        <v>0</v>
      </c>
      <c r="AD487" s="30">
        <v>0</v>
      </c>
      <c r="AE487" s="30">
        <v>0</v>
      </c>
      <c r="AF487" s="198">
        <v>0</v>
      </c>
      <c r="AG487" s="206">
        <v>0</v>
      </c>
      <c r="AH487" s="28">
        <v>0</v>
      </c>
      <c r="AI487" s="28">
        <v>0</v>
      </c>
      <c r="AJ487" s="28">
        <v>0</v>
      </c>
      <c r="AK487" s="28">
        <v>0</v>
      </c>
      <c r="AL487" s="202"/>
      <c r="AM487" s="197"/>
      <c r="AN487" s="28">
        <v>0</v>
      </c>
      <c r="AO487" s="28">
        <v>0</v>
      </c>
      <c r="AP487" s="28">
        <v>0</v>
      </c>
      <c r="AQ487" s="87"/>
      <c r="AR487" s="28">
        <v>0</v>
      </c>
      <c r="AS487" s="28">
        <v>0</v>
      </c>
    </row>
    <row r="488" ht="253.5" customHeight="1" hidden="1">
      <c r="A488" t="s" s="59">
        <v>1493</v>
      </c>
      <c r="B488" t="s" s="21">
        <v>502</v>
      </c>
      <c r="C488" t="s" s="59">
        <v>971</v>
      </c>
      <c r="D488" t="s" s="190">
        <v>801</v>
      </c>
      <c r="E488" t="s" s="216">
        <v>1494</v>
      </c>
      <c r="F488" t="s" s="192">
        <v>720</v>
      </c>
      <c r="G488" s="193"/>
      <c r="H488" s="194">
        <f>SUM(J488,N488)</f>
        <v>14600</v>
      </c>
      <c r="I488" s="195">
        <f>SUM(Q488,S488,U488,W488,Y488,AA488,AC488,AE488,AG488,AI488,AK488,AM488,AO488,AQ488,AS488)</f>
        <v>5238</v>
      </c>
      <c r="J488" s="23">
        <f>SUM(P488,R488,T488,V488,X488,Z488,AB488,AD488,AF488,AH488,AJ488,AL488,AN488,AP488,AR488)</f>
        <v>14600</v>
      </c>
      <c r="K488" s="36"/>
      <c r="L488" s="196"/>
      <c r="M488" s="196"/>
      <c r="N488" s="196"/>
      <c r="O488" s="197"/>
      <c r="P488" s="27">
        <v>7000</v>
      </c>
      <c r="Q488" s="27">
        <v>2342</v>
      </c>
      <c r="R488" s="28">
        <v>0</v>
      </c>
      <c r="S488" s="28">
        <v>0</v>
      </c>
      <c r="T488" s="28">
        <v>600</v>
      </c>
      <c r="U488" s="28">
        <v>470</v>
      </c>
      <c r="V488" s="28">
        <v>100</v>
      </c>
      <c r="W488" s="28">
        <v>80</v>
      </c>
      <c r="X488" s="28">
        <v>150</v>
      </c>
      <c r="Y488" s="28">
        <v>100</v>
      </c>
      <c r="Z488" s="30">
        <v>1500</v>
      </c>
      <c r="AA488" s="30">
        <v>0</v>
      </c>
      <c r="AB488" s="30">
        <v>1815</v>
      </c>
      <c r="AC488" s="30">
        <v>574</v>
      </c>
      <c r="AD488" s="30">
        <v>705</v>
      </c>
      <c r="AE488" s="30">
        <v>358</v>
      </c>
      <c r="AF488" s="198">
        <v>1150</v>
      </c>
      <c r="AG488" s="206">
        <v>290</v>
      </c>
      <c r="AH488" s="28">
        <v>1480</v>
      </c>
      <c r="AI488" s="28">
        <v>1024</v>
      </c>
      <c r="AJ488" s="28">
        <v>100</v>
      </c>
      <c r="AK488" s="28">
        <v>0</v>
      </c>
      <c r="AL488" s="202"/>
      <c r="AM488" s="197"/>
      <c r="AN488" s="28">
        <v>0</v>
      </c>
      <c r="AO488" s="28">
        <v>0</v>
      </c>
      <c r="AP488" s="28">
        <v>0</v>
      </c>
      <c r="AQ488" s="87"/>
      <c r="AR488" s="28">
        <v>0</v>
      </c>
      <c r="AS488" s="28">
        <v>0</v>
      </c>
    </row>
    <row r="489" ht="195" customHeight="1" hidden="1">
      <c r="A489" t="s" s="59">
        <v>1495</v>
      </c>
      <c r="B489" t="s" s="21">
        <v>503</v>
      </c>
      <c r="C489" t="s" s="59">
        <v>971</v>
      </c>
      <c r="D489" t="s" s="190">
        <v>801</v>
      </c>
      <c r="E489" t="s" s="216">
        <v>1496</v>
      </c>
      <c r="F489" t="s" s="192">
        <v>714</v>
      </c>
      <c r="G489" s="193"/>
      <c r="H489" s="194">
        <f>SUM(J489,N489)</f>
        <v>10210</v>
      </c>
      <c r="I489" s="195">
        <f>SUM(Q489,S489,U489,W489,Y489,AA489,AC489,AE489,AG489,AI489,AK489,AM489,AO489,AQ489,AS489)</f>
        <v>1695</v>
      </c>
      <c r="J489" s="23">
        <f>SUM(P489,R489,T489,V489,X489,Z489,AB489,AD489,AF489,AH489,AJ489,AL489,AN489,AP489,AR489)</f>
        <v>10210</v>
      </c>
      <c r="K489" s="36"/>
      <c r="L489" s="196"/>
      <c r="M489" s="196"/>
      <c r="N489" s="196"/>
      <c r="O489" s="197"/>
      <c r="P489" s="27">
        <v>5000</v>
      </c>
      <c r="Q489" s="27">
        <v>500</v>
      </c>
      <c r="R489" s="28">
        <v>0</v>
      </c>
      <c r="S489" s="28">
        <v>0</v>
      </c>
      <c r="T489" s="28">
        <v>100</v>
      </c>
      <c r="U489" s="28">
        <v>0</v>
      </c>
      <c r="V489" s="28">
        <v>20</v>
      </c>
      <c r="W489" s="28">
        <v>0</v>
      </c>
      <c r="X489" s="28">
        <v>0</v>
      </c>
      <c r="Y489" s="28">
        <v>0</v>
      </c>
      <c r="Z489" s="30">
        <v>1500</v>
      </c>
      <c r="AA489" s="30">
        <v>0</v>
      </c>
      <c r="AB489" s="30">
        <v>1255</v>
      </c>
      <c r="AC489" s="30">
        <v>458</v>
      </c>
      <c r="AD489" s="30">
        <v>575</v>
      </c>
      <c r="AE489" s="30">
        <v>341</v>
      </c>
      <c r="AF489" s="198">
        <v>1100</v>
      </c>
      <c r="AG489" s="206">
        <v>290</v>
      </c>
      <c r="AH489" s="28">
        <v>660</v>
      </c>
      <c r="AI489" s="28">
        <v>106</v>
      </c>
      <c r="AJ489" s="28">
        <v>0</v>
      </c>
      <c r="AK489" s="28">
        <v>0</v>
      </c>
      <c r="AL489" s="202"/>
      <c r="AM489" s="197"/>
      <c r="AN489" s="28">
        <v>0</v>
      </c>
      <c r="AO489" s="28">
        <v>0</v>
      </c>
      <c r="AP489" s="28">
        <v>0</v>
      </c>
      <c r="AQ489" s="87"/>
      <c r="AR489" s="28">
        <v>0</v>
      </c>
      <c r="AS489" s="28">
        <v>0</v>
      </c>
    </row>
    <row r="490" ht="31.5" customHeight="1" hidden="1">
      <c r="A490" t="s" s="59">
        <v>1497</v>
      </c>
      <c r="B490" t="s" s="21">
        <v>504</v>
      </c>
      <c r="C490" t="s" s="59">
        <v>971</v>
      </c>
      <c r="D490" t="s" s="190">
        <v>801</v>
      </c>
      <c r="E490" s="191"/>
      <c r="F490" t="s" s="192">
        <v>720</v>
      </c>
      <c r="G490" s="193"/>
      <c r="H490" s="194">
        <f>SUM(J490,N490)</f>
        <v>13530</v>
      </c>
      <c r="I490" s="195">
        <f>SUM(Q490,S490,U490,W490,Y490,AA490,AC490,AE490,AG490,AI490,AK490,AM490,AO490,AQ490,AS490)</f>
        <v>4594</v>
      </c>
      <c r="J490" s="23">
        <f>SUM(P490,R490,T490,V490,X490,Z490,AB490,AD490,AF490,AH490,AJ490,AL490,AN490,AP490,AR490)</f>
        <v>13530</v>
      </c>
      <c r="K490" s="36"/>
      <c r="L490" s="196"/>
      <c r="M490" s="196"/>
      <c r="N490" s="196"/>
      <c r="O490" s="197"/>
      <c r="P490" s="27">
        <v>1000</v>
      </c>
      <c r="Q490" s="27">
        <v>100</v>
      </c>
      <c r="R490" s="28">
        <v>50</v>
      </c>
      <c r="S490" s="28">
        <v>0</v>
      </c>
      <c r="T490" s="28">
        <v>200</v>
      </c>
      <c r="U490" s="28">
        <v>0</v>
      </c>
      <c r="V490" s="28">
        <v>200</v>
      </c>
      <c r="W490" s="28">
        <v>170</v>
      </c>
      <c r="X490" s="28">
        <v>100</v>
      </c>
      <c r="Y490" s="28">
        <v>100</v>
      </c>
      <c r="Z490" s="30">
        <v>2800</v>
      </c>
      <c r="AA490" s="30">
        <v>1500</v>
      </c>
      <c r="AB490" s="30">
        <v>2465</v>
      </c>
      <c r="AC490" s="30">
        <v>583</v>
      </c>
      <c r="AD490" s="30">
        <v>2465</v>
      </c>
      <c r="AE490" s="30">
        <v>810</v>
      </c>
      <c r="AF490" s="198">
        <v>2300</v>
      </c>
      <c r="AG490" s="206">
        <v>593</v>
      </c>
      <c r="AH490" s="28">
        <v>1950</v>
      </c>
      <c r="AI490" s="28">
        <v>738</v>
      </c>
      <c r="AJ490" s="28">
        <v>0</v>
      </c>
      <c r="AK490" s="28">
        <v>0</v>
      </c>
      <c r="AL490" s="202"/>
      <c r="AM490" s="197"/>
      <c r="AN490" s="28">
        <v>0</v>
      </c>
      <c r="AO490" s="28">
        <v>0</v>
      </c>
      <c r="AP490" s="28">
        <v>0</v>
      </c>
      <c r="AQ490" s="87"/>
      <c r="AR490" s="28">
        <v>0</v>
      </c>
      <c r="AS490" s="28">
        <v>0</v>
      </c>
    </row>
    <row r="491" ht="156" customHeight="1" hidden="1">
      <c r="A491" t="s" s="59">
        <v>1498</v>
      </c>
      <c r="B491" t="s" s="21">
        <v>505</v>
      </c>
      <c r="C491" t="s" s="59">
        <v>1149</v>
      </c>
      <c r="D491" t="s" s="190">
        <v>801</v>
      </c>
      <c r="E491" t="s" s="216">
        <v>1499</v>
      </c>
      <c r="F491" t="s" s="192">
        <v>714</v>
      </c>
      <c r="G491" s="193"/>
      <c r="H491" s="194">
        <f>SUM(J491,N491)</f>
        <v>20730</v>
      </c>
      <c r="I491" s="195">
        <f>SUM(Q491,S491,U491,W491,Y491,AA491,AC491,AE491,AG491,AI491,AK491,AM491,AO491,AQ491,AS491)</f>
        <v>4391</v>
      </c>
      <c r="J491" s="23">
        <f>SUM(P491,R491,T491,V491,X491,Z491,AB491,AD491,AF491,AH491,AJ491,AL491,AN491,AP491,AR491)</f>
        <v>20730</v>
      </c>
      <c r="K491" s="36"/>
      <c r="L491" s="196"/>
      <c r="M491" s="196"/>
      <c r="N491" s="196"/>
      <c r="O491" s="197"/>
      <c r="P491" s="27">
        <v>10000</v>
      </c>
      <c r="Q491" s="27">
        <v>1440</v>
      </c>
      <c r="R491" s="28">
        <v>100</v>
      </c>
      <c r="S491" s="28">
        <v>0</v>
      </c>
      <c r="T491" s="28">
        <v>300</v>
      </c>
      <c r="U491" s="28">
        <v>0</v>
      </c>
      <c r="V491" s="28">
        <v>100</v>
      </c>
      <c r="W491" s="28">
        <v>20</v>
      </c>
      <c r="X491" s="28">
        <v>150</v>
      </c>
      <c r="Y491" s="28">
        <v>0</v>
      </c>
      <c r="Z491" s="30">
        <v>1100</v>
      </c>
      <c r="AA491" s="30">
        <v>0</v>
      </c>
      <c r="AB491" s="30">
        <v>3040</v>
      </c>
      <c r="AC491" s="30">
        <v>1014</v>
      </c>
      <c r="AD491" s="30">
        <v>2360</v>
      </c>
      <c r="AE491" s="30">
        <v>760</v>
      </c>
      <c r="AF491" s="198">
        <v>1800</v>
      </c>
      <c r="AG491" s="206">
        <v>465</v>
      </c>
      <c r="AH491" s="28">
        <v>1780</v>
      </c>
      <c r="AI491" s="28">
        <v>692</v>
      </c>
      <c r="AJ491" s="28">
        <v>0</v>
      </c>
      <c r="AK491" s="28">
        <v>0</v>
      </c>
      <c r="AL491" s="202"/>
      <c r="AM491" s="197"/>
      <c r="AN491" s="28">
        <v>0</v>
      </c>
      <c r="AO491" s="28">
        <v>0</v>
      </c>
      <c r="AP491" s="28">
        <v>0</v>
      </c>
      <c r="AQ491" s="87"/>
      <c r="AR491" s="28">
        <v>0</v>
      </c>
      <c r="AS491" s="28">
        <v>0</v>
      </c>
    </row>
    <row r="492" ht="47.25" customHeight="1" hidden="1">
      <c r="A492" t="s" s="88">
        <v>1500</v>
      </c>
      <c r="B492" t="s" s="88">
        <v>506</v>
      </c>
      <c r="C492" s="228"/>
      <c r="D492" s="228"/>
      <c r="E492" s="189"/>
      <c r="F492" s="182">
        <v>0</v>
      </c>
      <c r="G492" s="183"/>
      <c r="H492" s="42">
        <f>SUM(J492,N492)</f>
        <v>0</v>
      </c>
      <c r="I492" s="207">
        <f>SUM(Q492,S492,U492,W492,Y492,AA492,AC492,AE492,AG492,AI492,AK492,AM492,AO492,AQ492,AS492)</f>
        <v>0</v>
      </c>
      <c r="J492" s="43">
        <f>SUM(P492,R492,T492,V492,X492,Z492,AB492,AD492,AF492,AH492,AJ492,AL492,AN492,AP492,AR492)</f>
        <v>0</v>
      </c>
      <c r="K492" s="44"/>
      <c r="L492" s="6"/>
      <c r="M492" s="6"/>
      <c r="N492" s="14"/>
      <c r="O492" s="122"/>
      <c r="P492" s="46"/>
      <c r="Q492" s="46"/>
      <c r="R492" s="47"/>
      <c r="S492" s="47"/>
      <c r="T492" s="47"/>
      <c r="U492" s="47"/>
      <c r="V492" s="47"/>
      <c r="W492" s="47"/>
      <c r="X492" s="47"/>
      <c r="Y492" s="47"/>
      <c r="Z492" s="48">
        <v>0</v>
      </c>
      <c r="AA492" s="48">
        <v>0</v>
      </c>
      <c r="AB492" s="49"/>
      <c r="AC492" s="49"/>
      <c r="AD492" s="50"/>
      <c r="AE492" s="50"/>
      <c r="AF492" s="14"/>
      <c r="AG492" s="122"/>
      <c r="AH492" s="51">
        <v>0</v>
      </c>
      <c r="AI492" s="51">
        <v>0</v>
      </c>
      <c r="AJ492" s="47"/>
      <c r="AK492" s="47"/>
      <c r="AL492" s="14"/>
      <c r="AM492" s="122"/>
      <c r="AN492" s="47"/>
      <c r="AO492" s="47"/>
      <c r="AP492" s="47"/>
      <c r="AQ492" s="47"/>
      <c r="AR492" s="51">
        <v>0</v>
      </c>
      <c r="AS492" s="51">
        <v>0</v>
      </c>
    </row>
    <row r="493" ht="19.5" customHeight="1" hidden="1">
      <c r="A493" t="s" s="88">
        <v>1501</v>
      </c>
      <c r="B493" t="s" s="88">
        <v>507</v>
      </c>
      <c r="C493" s="228"/>
      <c r="D493" s="228"/>
      <c r="E493" s="189"/>
      <c r="F493" s="182">
        <v>0</v>
      </c>
      <c r="G493" s="183"/>
      <c r="H493" s="42">
        <f>SUM(J493,N493)</f>
        <v>0</v>
      </c>
      <c r="I493" s="207">
        <f>SUM(Q493,S493,U493,W493,Y493,AA493,AC493,AE493,AG493,AI493,AK493,AM493,AO493,AQ493,AS493)</f>
        <v>0</v>
      </c>
      <c r="J493" s="43">
        <f>SUM(P493,R493,T493,V493,X493,Z493,AB493,AD493,AF493,AH493,AJ493,AL493,AN493,AP493,AR493)</f>
        <v>0</v>
      </c>
      <c r="K493" s="44"/>
      <c r="L493" s="6"/>
      <c r="M493" s="6"/>
      <c r="N493" s="14"/>
      <c r="O493" s="122"/>
      <c r="P493" s="46"/>
      <c r="Q493" s="46"/>
      <c r="R493" s="47"/>
      <c r="S493" s="47"/>
      <c r="T493" s="47"/>
      <c r="U493" s="47"/>
      <c r="V493" s="47"/>
      <c r="W493" s="47"/>
      <c r="X493" s="47"/>
      <c r="Y493" s="47"/>
      <c r="Z493" s="48">
        <v>0</v>
      </c>
      <c r="AA493" s="48">
        <v>0</v>
      </c>
      <c r="AB493" s="49"/>
      <c r="AC493" s="49"/>
      <c r="AD493" s="50"/>
      <c r="AE493" s="50"/>
      <c r="AF493" s="14"/>
      <c r="AG493" s="122"/>
      <c r="AH493" s="51">
        <v>0</v>
      </c>
      <c r="AI493" s="51">
        <v>0</v>
      </c>
      <c r="AJ493" s="47"/>
      <c r="AK493" s="47"/>
      <c r="AL493" s="14"/>
      <c r="AM493" s="122"/>
      <c r="AN493" s="47"/>
      <c r="AO493" s="47"/>
      <c r="AP493" s="47"/>
      <c r="AQ493" s="47"/>
      <c r="AR493" s="51">
        <v>0</v>
      </c>
      <c r="AS493" s="51">
        <v>0</v>
      </c>
    </row>
    <row r="494" ht="157.5" customHeight="1" hidden="1">
      <c r="A494" t="s" s="59">
        <v>1502</v>
      </c>
      <c r="B494" t="s" s="21">
        <v>508</v>
      </c>
      <c r="C494" t="s" s="59">
        <v>971</v>
      </c>
      <c r="D494" t="s" s="190">
        <v>791</v>
      </c>
      <c r="E494" t="s" s="216">
        <v>1503</v>
      </c>
      <c r="F494" t="s" s="192">
        <v>714</v>
      </c>
      <c r="G494" s="193"/>
      <c r="H494" s="194">
        <f>SUM(J494,N494)</f>
        <v>11520</v>
      </c>
      <c r="I494" s="195">
        <f>SUM(Q494,S494,U494,W494,Y494,AA494,AC494,AE494,AG494,AI494,AK494,AM494,AO494,AQ494,AS494)</f>
        <v>1144</v>
      </c>
      <c r="J494" s="23">
        <f>SUM(P494,R494,T494,V494,X494,Z494,AB494,AD494,AF494,AH494,AJ494,AL494,AN494,AP494,AR494)</f>
        <v>11520</v>
      </c>
      <c r="K494" s="36"/>
      <c r="L494" s="196"/>
      <c r="M494" s="196"/>
      <c r="N494" s="196"/>
      <c r="O494" s="197"/>
      <c r="P494" s="27">
        <v>10000</v>
      </c>
      <c r="Q494" s="27">
        <v>1000</v>
      </c>
      <c r="R494" s="28">
        <v>0</v>
      </c>
      <c r="S494" s="28">
        <v>0</v>
      </c>
      <c r="T494" s="28">
        <v>1000</v>
      </c>
      <c r="U494" s="87"/>
      <c r="V494" s="28">
        <v>120</v>
      </c>
      <c r="W494" s="28">
        <v>144</v>
      </c>
      <c r="X494" s="28">
        <v>100</v>
      </c>
      <c r="Y494" s="28">
        <v>0</v>
      </c>
      <c r="Z494" s="30">
        <v>0</v>
      </c>
      <c r="AA494" s="30">
        <v>0</v>
      </c>
      <c r="AB494" s="30">
        <v>0</v>
      </c>
      <c r="AC494" s="30">
        <v>0</v>
      </c>
      <c r="AD494" s="30">
        <v>0</v>
      </c>
      <c r="AE494" s="30">
        <v>0</v>
      </c>
      <c r="AF494" s="198">
        <v>0</v>
      </c>
      <c r="AG494" s="206">
        <v>0</v>
      </c>
      <c r="AH494" s="28">
        <v>0</v>
      </c>
      <c r="AI494" s="28">
        <v>0</v>
      </c>
      <c r="AJ494" s="28">
        <v>300</v>
      </c>
      <c r="AK494" s="28">
        <v>0</v>
      </c>
      <c r="AL494" s="202"/>
      <c r="AM494" s="197"/>
      <c r="AN494" s="28">
        <v>0</v>
      </c>
      <c r="AO494" s="28">
        <v>0</v>
      </c>
      <c r="AP494" s="28">
        <v>0</v>
      </c>
      <c r="AQ494" s="87"/>
      <c r="AR494" s="28">
        <v>0</v>
      </c>
      <c r="AS494" s="28">
        <v>0</v>
      </c>
    </row>
    <row r="495" ht="31.5" customHeight="1" hidden="1">
      <c r="A495" t="s" s="88">
        <v>1504</v>
      </c>
      <c r="B495" t="s" s="88">
        <v>509</v>
      </c>
      <c r="C495" s="228"/>
      <c r="D495" s="228"/>
      <c r="E495" s="189"/>
      <c r="F495" s="182">
        <v>0</v>
      </c>
      <c r="G495" s="183"/>
      <c r="H495" s="42">
        <f>SUM(J495,N495)</f>
        <v>0</v>
      </c>
      <c r="I495" s="207">
        <f>SUM(Q495,S495,U495,W495,Y495,AA495,AC495,AE495,AG495,AI495,AK495,AM495,AO495,AQ495,AS495)</f>
        <v>0</v>
      </c>
      <c r="J495" s="43">
        <f>SUM(P495,R495,T495,V495,X495,Z495,AB495,AD495,AF495,AH495,AJ495,AL495,AN495,AP495,AR495)</f>
        <v>0</v>
      </c>
      <c r="K495" s="44"/>
      <c r="L495" s="6"/>
      <c r="M495" s="6"/>
      <c r="N495" s="14"/>
      <c r="O495" s="122"/>
      <c r="P495" s="46"/>
      <c r="Q495" s="46"/>
      <c r="R495" s="47"/>
      <c r="S495" s="47"/>
      <c r="T495" s="47"/>
      <c r="U495" s="47"/>
      <c r="V495" s="47"/>
      <c r="W495" s="47"/>
      <c r="X495" s="47"/>
      <c r="Y495" s="47"/>
      <c r="Z495" s="48">
        <v>0</v>
      </c>
      <c r="AA495" s="48">
        <v>0</v>
      </c>
      <c r="AB495" s="49"/>
      <c r="AC495" s="49"/>
      <c r="AD495" s="50"/>
      <c r="AE495" s="50"/>
      <c r="AF495" s="14"/>
      <c r="AG495" s="122"/>
      <c r="AH495" s="51">
        <v>0</v>
      </c>
      <c r="AI495" s="51">
        <v>0</v>
      </c>
      <c r="AJ495" s="47"/>
      <c r="AK495" s="47"/>
      <c r="AL495" s="14"/>
      <c r="AM495" s="122"/>
      <c r="AN495" s="47"/>
      <c r="AO495" s="47"/>
      <c r="AP495" s="47"/>
      <c r="AQ495" s="47"/>
      <c r="AR495" s="51">
        <v>0</v>
      </c>
      <c r="AS495" s="51">
        <v>0</v>
      </c>
    </row>
    <row r="496" ht="31.5" customHeight="1" hidden="1">
      <c r="A496" t="s" s="298">
        <v>1505</v>
      </c>
      <c r="B496" t="s" s="21">
        <v>510</v>
      </c>
      <c r="C496" t="s" s="59">
        <v>971</v>
      </c>
      <c r="D496" t="s" s="190">
        <v>791</v>
      </c>
      <c r="E496" s="191"/>
      <c r="F496" t="s" s="192">
        <v>714</v>
      </c>
      <c r="G496" s="193"/>
      <c r="H496" s="194">
        <f>SUM(J496,N496)</f>
        <v>1170</v>
      </c>
      <c r="I496" s="195">
        <f>SUM(Q496,S496,U496,W496,Y496,AA496,AC496,AE496,AG496,AI496,AK496,AM496,AO496,AQ496,AS496)</f>
        <v>0</v>
      </c>
      <c r="J496" s="23">
        <f>SUM(P496,R496,T496,V496,X496,Z496,AB496,AD496,AF496,AH496,AJ496,AL496,AN496,AP496,AR496)</f>
        <v>1170</v>
      </c>
      <c r="K496" s="36"/>
      <c r="L496" s="196"/>
      <c r="M496" s="196"/>
      <c r="N496" s="196"/>
      <c r="O496" s="197"/>
      <c r="P496" s="27">
        <v>1000</v>
      </c>
      <c r="Q496" s="27">
        <v>0</v>
      </c>
      <c r="R496" s="28">
        <v>0</v>
      </c>
      <c r="S496" s="28">
        <v>0</v>
      </c>
      <c r="T496" s="28">
        <v>50</v>
      </c>
      <c r="U496" s="28">
        <v>0</v>
      </c>
      <c r="V496" s="28">
        <v>20</v>
      </c>
      <c r="W496" s="28">
        <v>0</v>
      </c>
      <c r="X496" s="28">
        <v>0</v>
      </c>
      <c r="Y496" s="28">
        <v>0</v>
      </c>
      <c r="Z496" s="30">
        <v>0</v>
      </c>
      <c r="AA496" s="30">
        <v>0</v>
      </c>
      <c r="AB496" s="30">
        <v>0</v>
      </c>
      <c r="AC496" s="30">
        <v>0</v>
      </c>
      <c r="AD496" s="30">
        <v>0</v>
      </c>
      <c r="AE496" s="30">
        <v>0</v>
      </c>
      <c r="AF496" s="198">
        <v>0</v>
      </c>
      <c r="AG496" s="206">
        <v>0</v>
      </c>
      <c r="AH496" s="28">
        <v>0</v>
      </c>
      <c r="AI496" s="28">
        <v>0</v>
      </c>
      <c r="AJ496" s="28">
        <v>100</v>
      </c>
      <c r="AK496" s="28">
        <v>0</v>
      </c>
      <c r="AL496" s="202"/>
      <c r="AM496" s="197"/>
      <c r="AN496" s="28">
        <v>0</v>
      </c>
      <c r="AO496" s="28">
        <v>0</v>
      </c>
      <c r="AP496" s="28">
        <v>0</v>
      </c>
      <c r="AQ496" s="87"/>
      <c r="AR496" s="28">
        <v>0</v>
      </c>
      <c r="AS496" s="28">
        <v>0</v>
      </c>
    </row>
    <row r="497" ht="31.5" customHeight="1" hidden="1">
      <c r="A497" t="s" s="59">
        <v>1506</v>
      </c>
      <c r="B497" t="s" s="21">
        <v>511</v>
      </c>
      <c r="C497" t="s" s="59">
        <v>971</v>
      </c>
      <c r="D497" t="s" s="190">
        <v>791</v>
      </c>
      <c r="E497" s="191"/>
      <c r="F497" t="s" s="192">
        <v>714</v>
      </c>
      <c r="G497" s="193"/>
      <c r="H497" s="194">
        <f>SUM(J497,N497)</f>
        <v>5050</v>
      </c>
      <c r="I497" s="195">
        <f>SUM(Q497,S497,U497,W497,Y497,AA497,AC497,AE497,AG497,AI497,AK497,AM497,AO497,AQ497,AS497)</f>
        <v>0</v>
      </c>
      <c r="J497" s="23">
        <f>SUM(P497,R497,T497,V497,X497,Z497,AB497,AD497,AF497,AH497,AJ497,AL497,AN497,AP497,AR497)</f>
        <v>5050</v>
      </c>
      <c r="K497" s="36"/>
      <c r="L497" s="196"/>
      <c r="M497" s="196"/>
      <c r="N497" s="196"/>
      <c r="O497" s="197"/>
      <c r="P497" s="27">
        <v>5000</v>
      </c>
      <c r="Q497" s="27">
        <v>0</v>
      </c>
      <c r="R497" s="28">
        <v>0</v>
      </c>
      <c r="S497" s="28">
        <v>0</v>
      </c>
      <c r="T497" s="28">
        <v>50</v>
      </c>
      <c r="U497" s="28">
        <v>0</v>
      </c>
      <c r="V497" s="28">
        <v>0</v>
      </c>
      <c r="W497" s="28">
        <v>0</v>
      </c>
      <c r="X497" s="28">
        <v>0</v>
      </c>
      <c r="Y497" s="28">
        <v>0</v>
      </c>
      <c r="Z497" s="30">
        <v>0</v>
      </c>
      <c r="AA497" s="30">
        <v>0</v>
      </c>
      <c r="AB497" s="30">
        <v>0</v>
      </c>
      <c r="AC497" s="30">
        <v>0</v>
      </c>
      <c r="AD497" s="30">
        <v>0</v>
      </c>
      <c r="AE497" s="30">
        <v>0</v>
      </c>
      <c r="AF497" s="198">
        <v>0</v>
      </c>
      <c r="AG497" s="206">
        <v>0</v>
      </c>
      <c r="AH497" s="28">
        <v>0</v>
      </c>
      <c r="AI497" s="28">
        <v>0</v>
      </c>
      <c r="AJ497" s="28">
        <v>0</v>
      </c>
      <c r="AK497" s="28">
        <v>0</v>
      </c>
      <c r="AL497" s="202"/>
      <c r="AM497" s="197"/>
      <c r="AN497" s="28">
        <v>0</v>
      </c>
      <c r="AO497" s="28">
        <v>0</v>
      </c>
      <c r="AP497" s="28">
        <v>0</v>
      </c>
      <c r="AQ497" s="87"/>
      <c r="AR497" s="28">
        <v>0</v>
      </c>
      <c r="AS497" s="28">
        <v>0</v>
      </c>
    </row>
    <row r="498" ht="31.5" customHeight="1" hidden="1">
      <c r="A498" t="s" s="88">
        <v>1507</v>
      </c>
      <c r="B498" t="s" s="88">
        <v>512</v>
      </c>
      <c r="C498" s="228"/>
      <c r="D498" s="228"/>
      <c r="E498" s="189"/>
      <c r="F498" s="182">
        <v>0</v>
      </c>
      <c r="G498" s="183"/>
      <c r="H498" s="42">
        <f>SUM(J498,N498)</f>
        <v>0</v>
      </c>
      <c r="I498" s="207">
        <f>SUM(Q498,S498,U498,W498,Y498,AA498,AC498,AE498,AG498,AI498,AK498,AM498,AO498,AQ498,AS498)</f>
        <v>0</v>
      </c>
      <c r="J498" s="43">
        <f>SUM(P498,R498,T498,V498,X498,Z498,AB498,AD498,AF498,AH498,AJ498,AL498,AN498,AP498,AR498)</f>
        <v>0</v>
      </c>
      <c r="K498" s="44"/>
      <c r="L498" s="6"/>
      <c r="M498" s="6"/>
      <c r="N498" s="14"/>
      <c r="O498" s="122"/>
      <c r="P498" s="46"/>
      <c r="Q498" s="46"/>
      <c r="R498" s="47"/>
      <c r="S498" s="47"/>
      <c r="T498" s="47"/>
      <c r="U498" s="47"/>
      <c r="V498" s="47"/>
      <c r="W498" s="47"/>
      <c r="X498" s="47"/>
      <c r="Y498" s="47"/>
      <c r="Z498" s="48">
        <v>0</v>
      </c>
      <c r="AA498" s="48">
        <v>0</v>
      </c>
      <c r="AB498" s="49"/>
      <c r="AC498" s="49"/>
      <c r="AD498" s="50"/>
      <c r="AE498" s="50"/>
      <c r="AF498" s="14"/>
      <c r="AG498" s="122"/>
      <c r="AH498" s="51">
        <v>0</v>
      </c>
      <c r="AI498" s="51">
        <v>0</v>
      </c>
      <c r="AJ498" s="47"/>
      <c r="AK498" s="47"/>
      <c r="AL498" s="14"/>
      <c r="AM498" s="122"/>
      <c r="AN498" s="47"/>
      <c r="AO498" s="47"/>
      <c r="AP498" s="47"/>
      <c r="AQ498" s="47"/>
      <c r="AR498" s="51">
        <v>0</v>
      </c>
      <c r="AS498" s="51">
        <v>0</v>
      </c>
    </row>
    <row r="499" ht="195" customHeight="1" hidden="1">
      <c r="A499" t="s" s="59">
        <v>1508</v>
      </c>
      <c r="B499" t="s" s="21">
        <v>513</v>
      </c>
      <c r="C499" t="s" s="59">
        <v>971</v>
      </c>
      <c r="D499" t="s" s="190">
        <v>791</v>
      </c>
      <c r="E499" t="s" s="216">
        <v>1496</v>
      </c>
      <c r="F499" t="s" s="192">
        <v>714</v>
      </c>
      <c r="G499" s="193"/>
      <c r="H499" s="194">
        <f>SUM(J499,N499)</f>
        <v>169</v>
      </c>
      <c r="I499" s="195">
        <f>SUM(Q499,S499,U499,W499,Y499,AA499,AC499,AE499,AG499,AI499,AK499,AM499,AO499,AQ499,AS499)</f>
        <v>0</v>
      </c>
      <c r="J499" s="23">
        <f>SUM(P499,R499,T499,V499,X499,Z499,AB499,AD499,AF499,AH499,AJ499,AL499,AN499,AP499,AR499)</f>
        <v>169</v>
      </c>
      <c r="K499" s="36"/>
      <c r="L499" s="196"/>
      <c r="M499" s="196"/>
      <c r="N499" s="196"/>
      <c r="O499" s="197"/>
      <c r="P499" s="27">
        <v>20</v>
      </c>
      <c r="Q499" s="27">
        <v>0</v>
      </c>
      <c r="R499" s="28">
        <v>0</v>
      </c>
      <c r="S499" s="28">
        <v>0</v>
      </c>
      <c r="T499" s="28">
        <v>24</v>
      </c>
      <c r="U499" s="28">
        <v>0</v>
      </c>
      <c r="V499" s="28">
        <v>0</v>
      </c>
      <c r="W499" s="28">
        <v>0</v>
      </c>
      <c r="X499" s="28">
        <v>0</v>
      </c>
      <c r="Y499" s="28">
        <v>0</v>
      </c>
      <c r="Z499" s="30">
        <v>50</v>
      </c>
      <c r="AA499" s="30">
        <v>0</v>
      </c>
      <c r="AB499" s="30">
        <v>50</v>
      </c>
      <c r="AC499" s="30">
        <v>0</v>
      </c>
      <c r="AD499" s="30">
        <v>0</v>
      </c>
      <c r="AE499" s="30">
        <v>0</v>
      </c>
      <c r="AF499" s="198">
        <v>0</v>
      </c>
      <c r="AG499" s="206">
        <v>0</v>
      </c>
      <c r="AH499" s="28">
        <v>0</v>
      </c>
      <c r="AI499" s="28">
        <v>0</v>
      </c>
      <c r="AJ499" s="28">
        <v>25</v>
      </c>
      <c r="AK499" s="28">
        <v>0</v>
      </c>
      <c r="AL499" s="202"/>
      <c r="AM499" s="197"/>
      <c r="AN499" s="28">
        <v>0</v>
      </c>
      <c r="AO499" s="28">
        <v>0</v>
      </c>
      <c r="AP499" s="28">
        <v>0</v>
      </c>
      <c r="AQ499" s="87"/>
      <c r="AR499" s="28">
        <v>0</v>
      </c>
      <c r="AS499" s="28">
        <v>0</v>
      </c>
    </row>
    <row r="500" ht="19.5" customHeight="1" hidden="1">
      <c r="A500" t="s" s="59">
        <v>1509</v>
      </c>
      <c r="B500" t="s" s="21">
        <v>514</v>
      </c>
      <c r="C500" t="s" s="59">
        <v>971</v>
      </c>
      <c r="D500" t="s" s="190">
        <v>791</v>
      </c>
      <c r="E500" s="191"/>
      <c r="F500" t="s" s="192">
        <v>714</v>
      </c>
      <c r="G500" s="193"/>
      <c r="H500" s="194">
        <f>SUM(J500,N500)</f>
        <v>310</v>
      </c>
      <c r="I500" s="195">
        <f>SUM(Q500,S500,U500,W500,Y500,AA500,AC500,AE500,AG500,AI500,AK500,AM500,AO500,AQ500,AS500)</f>
        <v>0</v>
      </c>
      <c r="J500" s="23">
        <f>SUM(P500,R500,T500,V500,X500,Z500,AB500,AD500,AF500,AH500,AJ500,AL500,AN500,AP500,AR500)</f>
        <v>310</v>
      </c>
      <c r="K500" s="36"/>
      <c r="L500" s="196"/>
      <c r="M500" s="196"/>
      <c r="N500" s="196"/>
      <c r="O500" s="197"/>
      <c r="P500" s="27">
        <v>200</v>
      </c>
      <c r="Q500" s="46"/>
      <c r="R500" s="28">
        <v>0</v>
      </c>
      <c r="S500" s="28">
        <v>0</v>
      </c>
      <c r="T500" s="28">
        <v>10</v>
      </c>
      <c r="U500" s="28">
        <v>0</v>
      </c>
      <c r="V500" s="28">
        <v>0</v>
      </c>
      <c r="W500" s="28">
        <v>0</v>
      </c>
      <c r="X500" s="28">
        <v>0</v>
      </c>
      <c r="Y500" s="28">
        <v>0</v>
      </c>
      <c r="Z500" s="30">
        <v>0</v>
      </c>
      <c r="AA500" s="30">
        <v>0</v>
      </c>
      <c r="AB500" s="30">
        <v>0</v>
      </c>
      <c r="AC500" s="30">
        <v>0</v>
      </c>
      <c r="AD500" s="30">
        <v>0</v>
      </c>
      <c r="AE500" s="30">
        <v>0</v>
      </c>
      <c r="AF500" s="198">
        <v>0</v>
      </c>
      <c r="AG500" s="206">
        <v>0</v>
      </c>
      <c r="AH500" s="28">
        <v>0</v>
      </c>
      <c r="AI500" s="28">
        <v>0</v>
      </c>
      <c r="AJ500" s="28">
        <v>100</v>
      </c>
      <c r="AK500" s="28">
        <v>0</v>
      </c>
      <c r="AL500" s="202"/>
      <c r="AM500" s="197"/>
      <c r="AN500" s="28">
        <v>0</v>
      </c>
      <c r="AO500" s="28">
        <v>0</v>
      </c>
      <c r="AP500" s="28">
        <v>0</v>
      </c>
      <c r="AQ500" s="87"/>
      <c r="AR500" s="28">
        <v>0</v>
      </c>
      <c r="AS500" s="28">
        <v>0</v>
      </c>
    </row>
    <row r="501" ht="19.5" customHeight="1" hidden="1">
      <c r="A501" t="s" s="88">
        <v>1510</v>
      </c>
      <c r="B501" t="s" s="88">
        <v>515</v>
      </c>
      <c r="C501" s="228"/>
      <c r="D501" s="228"/>
      <c r="E501" s="189"/>
      <c r="F501" s="182">
        <v>0</v>
      </c>
      <c r="G501" s="183"/>
      <c r="H501" s="42">
        <f>SUM(J501,N501)</f>
        <v>0</v>
      </c>
      <c r="I501" s="207">
        <f>SUM(Q501,S501,U501,W501,Y501,AA501,AC501,AE501,AG501,AI501,AK501,AM501,AO501,AQ501,AS501)</f>
        <v>0</v>
      </c>
      <c r="J501" s="43">
        <f>SUM(P501,R501,T501,V501,X501,Z501,AB501,AD501,AF501,AH501,AJ501,AL501,AN501,AP501,AR501)</f>
        <v>0</v>
      </c>
      <c r="K501" s="44"/>
      <c r="L501" s="6"/>
      <c r="M501" s="6"/>
      <c r="N501" s="14"/>
      <c r="O501" s="122"/>
      <c r="P501" s="46"/>
      <c r="Q501" s="46"/>
      <c r="R501" s="47"/>
      <c r="S501" s="47"/>
      <c r="T501" s="47"/>
      <c r="U501" s="47"/>
      <c r="V501" s="47"/>
      <c r="W501" s="47"/>
      <c r="X501" s="47"/>
      <c r="Y501" s="47"/>
      <c r="Z501" s="48">
        <v>0</v>
      </c>
      <c r="AA501" s="48">
        <v>0</v>
      </c>
      <c r="AB501" s="49"/>
      <c r="AC501" s="49"/>
      <c r="AD501" s="50"/>
      <c r="AE501" s="50"/>
      <c r="AF501" s="14"/>
      <c r="AG501" s="122"/>
      <c r="AH501" s="51">
        <v>0</v>
      </c>
      <c r="AI501" s="51">
        <v>0</v>
      </c>
      <c r="AJ501" s="47"/>
      <c r="AK501" s="47"/>
      <c r="AL501" s="14"/>
      <c r="AM501" s="122"/>
      <c r="AN501" s="47"/>
      <c r="AO501" s="47"/>
      <c r="AP501" s="47"/>
      <c r="AQ501" s="47"/>
      <c r="AR501" s="51">
        <v>0</v>
      </c>
      <c r="AS501" s="51">
        <v>0</v>
      </c>
    </row>
    <row r="502" ht="47.25" customHeight="1" hidden="1">
      <c r="A502" t="s" s="103">
        <v>1511</v>
      </c>
      <c r="B502" t="s" s="10">
        <v>516</v>
      </c>
      <c r="C502" t="s" s="103">
        <v>800</v>
      </c>
      <c r="D502" t="s" s="66">
        <v>717</v>
      </c>
      <c r="E502" t="s" s="129">
        <v>1512</v>
      </c>
      <c r="F502" t="s" s="101">
        <v>714</v>
      </c>
      <c r="G502" s="203"/>
      <c r="H502" s="204">
        <f>SUM(J502,N502)</f>
        <v>12</v>
      </c>
      <c r="I502" s="205">
        <f>SUM(Q502,S502,U502,W502,Y502,AA502,AC502,AE502,AG502,AI502,AK502,AM502,AO502,AQ502,AS502)</f>
        <v>0</v>
      </c>
      <c r="J502" s="35">
        <f>SUM(P502,R502,T502,V502,X502,Z502,AB502,AD502,AF502,AH502,AJ502,AL502,AN502,AP502,AR502)</f>
        <v>12</v>
      </c>
      <c r="K502" s="36"/>
      <c r="L502" s="196"/>
      <c r="M502" s="196"/>
      <c r="N502" s="196"/>
      <c r="O502" s="197"/>
      <c r="P502" s="27">
        <v>0</v>
      </c>
      <c r="Q502" s="27">
        <v>0</v>
      </c>
      <c r="R502" s="38">
        <v>0</v>
      </c>
      <c r="S502" s="38">
        <v>0</v>
      </c>
      <c r="T502" s="38">
        <v>12</v>
      </c>
      <c r="U502" s="38">
        <v>0</v>
      </c>
      <c r="V502" s="38">
        <v>0</v>
      </c>
      <c r="W502" s="38">
        <v>0</v>
      </c>
      <c r="X502" s="38">
        <v>0</v>
      </c>
      <c r="Y502" s="38">
        <v>0</v>
      </c>
      <c r="Z502" s="40">
        <v>0</v>
      </c>
      <c r="AA502" s="40">
        <v>0</v>
      </c>
      <c r="AB502" s="40">
        <v>0</v>
      </c>
      <c r="AC502" s="40">
        <v>0</v>
      </c>
      <c r="AD502" s="40">
        <v>0</v>
      </c>
      <c r="AE502" s="40">
        <v>0</v>
      </c>
      <c r="AF502" s="198">
        <v>0</v>
      </c>
      <c r="AG502" s="206">
        <v>0</v>
      </c>
      <c r="AH502" s="38">
        <v>0</v>
      </c>
      <c r="AI502" s="38">
        <v>0</v>
      </c>
      <c r="AJ502" s="80"/>
      <c r="AK502" s="38">
        <v>0</v>
      </c>
      <c r="AL502" s="202"/>
      <c r="AM502" s="197"/>
      <c r="AN502" s="38">
        <v>0</v>
      </c>
      <c r="AO502" s="38">
        <v>0</v>
      </c>
      <c r="AP502" s="38">
        <v>0</v>
      </c>
      <c r="AQ502" s="80"/>
      <c r="AR502" s="38">
        <v>0</v>
      </c>
      <c r="AS502" s="38">
        <v>0</v>
      </c>
    </row>
    <row r="503" ht="31.5" customHeight="1" hidden="1">
      <c r="A503" t="s" s="59">
        <v>1513</v>
      </c>
      <c r="B503" t="s" s="21">
        <v>517</v>
      </c>
      <c r="C503" t="s" s="59">
        <v>971</v>
      </c>
      <c r="D503" t="s" s="190">
        <v>791</v>
      </c>
      <c r="E503" s="215">
        <v>1043</v>
      </c>
      <c r="F503" t="s" s="192">
        <v>720</v>
      </c>
      <c r="G503" s="193"/>
      <c r="H503" s="194">
        <f>SUM(J503,N503)</f>
        <v>700</v>
      </c>
      <c r="I503" s="195">
        <f>SUM(Q503,S503,U503,W503,Y503,AA503,AC503,AE503,AG503,AI503,AK503,AM503,AO503,AQ503,AS503)</f>
        <v>103</v>
      </c>
      <c r="J503" s="23">
        <f>SUM(P503,R503,T503,V503,X503,Z503,AB503,AD503,AF503,AH503,AJ503,AL503,AN503,AP503,AR503)</f>
        <v>700</v>
      </c>
      <c r="K503" s="36"/>
      <c r="L503" s="196"/>
      <c r="M503" s="196"/>
      <c r="N503" s="196"/>
      <c r="O503" s="197"/>
      <c r="P503" s="27">
        <v>200</v>
      </c>
      <c r="Q503" s="27">
        <v>103</v>
      </c>
      <c r="R503" s="28">
        <v>0</v>
      </c>
      <c r="S503" s="28">
        <v>0</v>
      </c>
      <c r="T503" s="28">
        <v>300</v>
      </c>
      <c r="U503" s="28">
        <v>0</v>
      </c>
      <c r="V503" s="28">
        <v>0</v>
      </c>
      <c r="W503" s="28">
        <v>0</v>
      </c>
      <c r="X503" s="28">
        <v>0</v>
      </c>
      <c r="Y503" s="28">
        <v>0</v>
      </c>
      <c r="Z503" s="30">
        <v>0</v>
      </c>
      <c r="AA503" s="30">
        <v>0</v>
      </c>
      <c r="AB503" s="30">
        <v>0</v>
      </c>
      <c r="AC503" s="30">
        <v>0</v>
      </c>
      <c r="AD503" s="30">
        <v>0</v>
      </c>
      <c r="AE503" s="30">
        <v>0</v>
      </c>
      <c r="AF503" s="198">
        <v>0</v>
      </c>
      <c r="AG503" s="206">
        <v>0</v>
      </c>
      <c r="AH503" s="28">
        <v>0</v>
      </c>
      <c r="AI503" s="28">
        <v>0</v>
      </c>
      <c r="AJ503" s="28">
        <v>200</v>
      </c>
      <c r="AK503" s="28">
        <v>0</v>
      </c>
      <c r="AL503" s="202"/>
      <c r="AM503" s="197"/>
      <c r="AN503" s="28">
        <v>0</v>
      </c>
      <c r="AO503" s="28">
        <v>0</v>
      </c>
      <c r="AP503" s="28">
        <v>0</v>
      </c>
      <c r="AQ503" s="87"/>
      <c r="AR503" s="28">
        <v>0</v>
      </c>
      <c r="AS503" s="28">
        <v>0</v>
      </c>
    </row>
    <row r="504" ht="39" customHeight="1" hidden="1">
      <c r="A504" t="s" s="214">
        <v>1514</v>
      </c>
      <c r="B504" t="s" s="72">
        <v>518</v>
      </c>
      <c r="C504" t="s" s="214">
        <v>971</v>
      </c>
      <c r="D504" t="s" s="254">
        <v>791</v>
      </c>
      <c r="E504" t="s" s="216">
        <v>1515</v>
      </c>
      <c r="F504" t="s" s="192">
        <v>714</v>
      </c>
      <c r="G504" s="193"/>
      <c r="H504" s="194">
        <f>SUM(J504,N504)</f>
        <v>800</v>
      </c>
      <c r="I504" s="195">
        <f>SUM(Q504,S504,U504,W504,Y504,AA504,AC504,AE504,AG504,AI504,AK504,AM504,AO504,AQ504,AS504)</f>
        <v>0</v>
      </c>
      <c r="J504" s="23">
        <f>SUM(P504,R504,T504,V504,X504,Z504,AB504,AD504,AF504,AH504,AJ504,AL504,AN504,AP504,AR504)</f>
        <v>800</v>
      </c>
      <c r="K504" s="36"/>
      <c r="L504" s="196"/>
      <c r="M504" s="196"/>
      <c r="N504" s="196"/>
      <c r="O504" s="197"/>
      <c r="P504" s="27">
        <v>300</v>
      </c>
      <c r="Q504" s="27">
        <v>0</v>
      </c>
      <c r="R504" s="28">
        <v>0</v>
      </c>
      <c r="S504" s="28">
        <v>0</v>
      </c>
      <c r="T504" s="28">
        <v>200</v>
      </c>
      <c r="U504" s="28">
        <v>0</v>
      </c>
      <c r="V504" s="28">
        <v>0</v>
      </c>
      <c r="W504" s="28">
        <v>0</v>
      </c>
      <c r="X504" s="28">
        <v>0</v>
      </c>
      <c r="Y504" s="28">
        <v>0</v>
      </c>
      <c r="Z504" s="30">
        <v>0</v>
      </c>
      <c r="AA504" s="30">
        <v>0</v>
      </c>
      <c r="AB504" s="30">
        <v>0</v>
      </c>
      <c r="AC504" s="30">
        <v>0</v>
      </c>
      <c r="AD504" s="30">
        <v>0</v>
      </c>
      <c r="AE504" s="30">
        <v>0</v>
      </c>
      <c r="AF504" s="198">
        <v>0</v>
      </c>
      <c r="AG504" s="206">
        <v>0</v>
      </c>
      <c r="AH504" s="28">
        <v>0</v>
      </c>
      <c r="AI504" s="28">
        <v>0</v>
      </c>
      <c r="AJ504" s="28">
        <v>300</v>
      </c>
      <c r="AK504" s="28">
        <v>0</v>
      </c>
      <c r="AL504" s="202"/>
      <c r="AM504" s="197"/>
      <c r="AN504" s="28">
        <v>0</v>
      </c>
      <c r="AO504" s="28">
        <v>0</v>
      </c>
      <c r="AP504" s="28">
        <v>0</v>
      </c>
      <c r="AQ504" s="87"/>
      <c r="AR504" s="28">
        <v>0</v>
      </c>
      <c r="AS504" s="28">
        <v>0</v>
      </c>
    </row>
    <row r="505" ht="47.25" customHeight="1" hidden="1">
      <c r="A505" t="s" s="214">
        <v>1516</v>
      </c>
      <c r="B505" t="s" s="21">
        <v>519</v>
      </c>
      <c r="C505" t="s" s="214">
        <v>971</v>
      </c>
      <c r="D505" t="s" s="254">
        <v>791</v>
      </c>
      <c r="E505" s="191"/>
      <c r="F505" t="s" s="192">
        <v>714</v>
      </c>
      <c r="G505" s="193"/>
      <c r="H505" s="194">
        <f>SUM(J505,N505)</f>
        <v>1000</v>
      </c>
      <c r="I505" s="195">
        <f>SUM(Q505,S505,U505,W505,Y505,AA505,AC505,AE505,AG505,AI505,AK505,AM505,AO505,AQ505,AS505)</f>
        <v>0</v>
      </c>
      <c r="J505" s="23">
        <f>SUM(P505,R505,T505,V505,X505,Z505,AB505,AD505,AF505,AH505,AJ505,AL505,AN505,AP505,AR505)</f>
        <v>1000</v>
      </c>
      <c r="K505" s="36"/>
      <c r="L505" s="196"/>
      <c r="M505" s="196"/>
      <c r="N505" s="196"/>
      <c r="O505" s="197"/>
      <c r="P505" s="27">
        <v>500</v>
      </c>
      <c r="Q505" s="27">
        <v>0</v>
      </c>
      <c r="R505" s="28">
        <v>0</v>
      </c>
      <c r="S505" s="28">
        <v>0</v>
      </c>
      <c r="T505" s="28">
        <v>200</v>
      </c>
      <c r="U505" s="28">
        <v>0</v>
      </c>
      <c r="V505" s="28">
        <v>0</v>
      </c>
      <c r="W505" s="28">
        <v>0</v>
      </c>
      <c r="X505" s="28">
        <v>0</v>
      </c>
      <c r="Y505" s="28">
        <v>0</v>
      </c>
      <c r="Z505" s="30">
        <v>0</v>
      </c>
      <c r="AA505" s="30">
        <v>0</v>
      </c>
      <c r="AB505" s="30">
        <v>0</v>
      </c>
      <c r="AC505" s="30">
        <v>0</v>
      </c>
      <c r="AD505" s="30">
        <v>0</v>
      </c>
      <c r="AE505" s="30">
        <v>0</v>
      </c>
      <c r="AF505" s="198">
        <v>0</v>
      </c>
      <c r="AG505" s="206">
        <v>0</v>
      </c>
      <c r="AH505" s="28">
        <v>0</v>
      </c>
      <c r="AI505" s="28">
        <v>0</v>
      </c>
      <c r="AJ505" s="28">
        <v>300</v>
      </c>
      <c r="AK505" s="28">
        <v>0</v>
      </c>
      <c r="AL505" s="202"/>
      <c r="AM505" s="197"/>
      <c r="AN505" s="28">
        <v>0</v>
      </c>
      <c r="AO505" s="28">
        <v>0</v>
      </c>
      <c r="AP505" s="28">
        <v>0</v>
      </c>
      <c r="AQ505" s="87"/>
      <c r="AR505" s="28">
        <v>0</v>
      </c>
      <c r="AS505" s="28">
        <v>0</v>
      </c>
    </row>
    <row r="506" ht="31.5" customHeight="1" hidden="1">
      <c r="A506" t="s" s="88">
        <v>1517</v>
      </c>
      <c r="B506" t="s" s="88">
        <v>520</v>
      </c>
      <c r="C506" s="228"/>
      <c r="D506" s="228"/>
      <c r="E506" s="189"/>
      <c r="F506" s="182">
        <v>0</v>
      </c>
      <c r="G506" s="183"/>
      <c r="H506" s="42">
        <f>SUM(J506,N506)</f>
        <v>0</v>
      </c>
      <c r="I506" s="207">
        <f>SUM(Q506,S506,U506,W506,Y506,AA506,AC506,AE506,AG506,AI506,AK506,AM506,AO506,AQ506,AS506)</f>
        <v>0</v>
      </c>
      <c r="J506" s="43">
        <f>SUM(P506,R506,T506,V506,X506,Z506,AB506,AD506,AF506,AH506,AJ506,AL506,AN506,AP506,AR506)</f>
        <v>0</v>
      </c>
      <c r="K506" s="44"/>
      <c r="L506" s="6"/>
      <c r="M506" s="6"/>
      <c r="N506" s="14"/>
      <c r="O506" s="122"/>
      <c r="P506" s="46"/>
      <c r="Q506" s="46"/>
      <c r="R506" s="47"/>
      <c r="S506" s="47"/>
      <c r="T506" s="47"/>
      <c r="U506" s="47"/>
      <c r="V506" s="47"/>
      <c r="W506" s="47"/>
      <c r="X506" s="47"/>
      <c r="Y506" s="47"/>
      <c r="Z506" s="48">
        <v>0</v>
      </c>
      <c r="AA506" s="48">
        <v>0</v>
      </c>
      <c r="AB506" s="49"/>
      <c r="AC506" s="49"/>
      <c r="AD506" s="50"/>
      <c r="AE506" s="50"/>
      <c r="AF506" s="14"/>
      <c r="AG506" s="122"/>
      <c r="AH506" s="51">
        <v>0</v>
      </c>
      <c r="AI506" s="51">
        <v>0</v>
      </c>
      <c r="AJ506" s="47"/>
      <c r="AK506" s="47"/>
      <c r="AL506" s="14"/>
      <c r="AM506" s="122"/>
      <c r="AN506" s="47"/>
      <c r="AO506" s="47"/>
      <c r="AP506" s="47"/>
      <c r="AQ506" s="47"/>
      <c r="AR506" s="51">
        <v>0</v>
      </c>
      <c r="AS506" s="51">
        <v>0</v>
      </c>
    </row>
    <row r="507" ht="63" customHeight="1" hidden="1">
      <c r="A507" t="s" s="130">
        <v>1518</v>
      </c>
      <c r="B507" t="s" s="52">
        <v>521</v>
      </c>
      <c r="C507" t="s" s="130">
        <v>971</v>
      </c>
      <c r="D507" t="s" s="209">
        <v>791</v>
      </c>
      <c r="E507" t="s" s="217">
        <v>1519</v>
      </c>
      <c r="F507" t="s" s="210">
        <v>714</v>
      </c>
      <c r="G507" s="211"/>
      <c r="H507" s="42">
        <f>SUM(J507,N507)</f>
        <v>35</v>
      </c>
      <c r="I507" s="207">
        <f>SUM(Q507,S507,U507,W507,Y507,AA507,AC507,AE507,AG507,AI507,AK507,AM507,AO507,AQ507,AS507)</f>
        <v>0</v>
      </c>
      <c r="J507" s="43">
        <f>SUM(P507,R507,T507,V507,X507,Z507,AB507,AD507,AF507,AH507,AJ507,AL507,AN507,AP507,AR507)</f>
        <v>35</v>
      </c>
      <c r="K507" s="44"/>
      <c r="L507" s="6"/>
      <c r="M507" s="6"/>
      <c r="N507" s="14"/>
      <c r="O507" s="122"/>
      <c r="P507" s="27">
        <v>0</v>
      </c>
      <c r="Q507" s="27">
        <v>0</v>
      </c>
      <c r="R507" s="51">
        <v>0</v>
      </c>
      <c r="S507" s="51">
        <v>0</v>
      </c>
      <c r="T507" s="51">
        <v>10</v>
      </c>
      <c r="U507" s="51">
        <v>0</v>
      </c>
      <c r="V507" s="51">
        <v>0</v>
      </c>
      <c r="W507" s="51">
        <v>0</v>
      </c>
      <c r="X507" s="51">
        <v>0</v>
      </c>
      <c r="Y507" s="51">
        <v>0</v>
      </c>
      <c r="Z507" s="48">
        <v>0</v>
      </c>
      <c r="AA507" s="48">
        <v>0</v>
      </c>
      <c r="AB507" s="48">
        <v>0</v>
      </c>
      <c r="AC507" s="48">
        <v>0</v>
      </c>
      <c r="AD507" s="55">
        <v>0</v>
      </c>
      <c r="AE507" s="213">
        <v>0</v>
      </c>
      <c r="AF507" s="212">
        <v>0</v>
      </c>
      <c r="AG507" s="121">
        <v>0</v>
      </c>
      <c r="AH507" s="51">
        <v>0</v>
      </c>
      <c r="AI507" s="51">
        <v>0</v>
      </c>
      <c r="AJ507" s="51">
        <v>25</v>
      </c>
      <c r="AK507" s="51">
        <v>0</v>
      </c>
      <c r="AL507" s="14"/>
      <c r="AM507" s="122"/>
      <c r="AN507" s="51">
        <v>0</v>
      </c>
      <c r="AO507" s="51">
        <v>0</v>
      </c>
      <c r="AP507" s="51">
        <v>0</v>
      </c>
      <c r="AQ507" s="47"/>
      <c r="AR507" s="51">
        <v>0</v>
      </c>
      <c r="AS507" s="51">
        <v>0</v>
      </c>
    </row>
    <row r="508" ht="47.25" customHeight="1" hidden="1">
      <c r="A508" t="s" s="59">
        <v>1520</v>
      </c>
      <c r="B508" t="s" s="21">
        <v>522</v>
      </c>
      <c r="C508" t="s" s="59">
        <v>971</v>
      </c>
      <c r="D508" t="s" s="190">
        <v>791</v>
      </c>
      <c r="E508" s="191"/>
      <c r="F508" t="s" s="192">
        <v>714</v>
      </c>
      <c r="G508" s="193"/>
      <c r="H508" s="194">
        <f>SUM(J508,N508)</f>
        <v>22300</v>
      </c>
      <c r="I508" s="195">
        <f>SUM(Q508,S508,U508,W508,Y508,AA508,AC508,AE508,AG508,AI508,AK508,AM508,AO508,AQ508,AS508)</f>
        <v>0</v>
      </c>
      <c r="J508" s="23">
        <f>SUM(P508,R508,T508,V508,X508,Z508,AB508,AD508,AF508,AH508,AJ508,AL508,AN508,AP508,AR508)</f>
        <v>22300</v>
      </c>
      <c r="K508" s="36"/>
      <c r="L508" s="196"/>
      <c r="M508" s="196"/>
      <c r="N508" s="196"/>
      <c r="O508" s="197"/>
      <c r="P508" s="27">
        <v>20000</v>
      </c>
      <c r="Q508" s="27">
        <v>0</v>
      </c>
      <c r="R508" s="28">
        <v>0</v>
      </c>
      <c r="S508" s="28">
        <v>0</v>
      </c>
      <c r="T508" s="28">
        <v>2000</v>
      </c>
      <c r="U508" s="28">
        <v>0</v>
      </c>
      <c r="V508" s="28">
        <v>0</v>
      </c>
      <c r="W508" s="28">
        <v>0</v>
      </c>
      <c r="X508" s="28">
        <v>0</v>
      </c>
      <c r="Y508" s="28">
        <v>0</v>
      </c>
      <c r="Z508" s="30">
        <v>0</v>
      </c>
      <c r="AA508" s="30">
        <v>0</v>
      </c>
      <c r="AB508" s="30">
        <v>0</v>
      </c>
      <c r="AC508" s="30">
        <v>0</v>
      </c>
      <c r="AD508" s="30">
        <v>0</v>
      </c>
      <c r="AE508" s="30">
        <v>0</v>
      </c>
      <c r="AF508" s="198">
        <v>0</v>
      </c>
      <c r="AG508" s="206">
        <v>0</v>
      </c>
      <c r="AH508" s="28">
        <v>0</v>
      </c>
      <c r="AI508" s="28">
        <v>0</v>
      </c>
      <c r="AJ508" s="28">
        <v>300</v>
      </c>
      <c r="AK508" s="28">
        <v>0</v>
      </c>
      <c r="AL508" s="202"/>
      <c r="AM508" s="197"/>
      <c r="AN508" s="28">
        <v>0</v>
      </c>
      <c r="AO508" s="28">
        <v>0</v>
      </c>
      <c r="AP508" s="28">
        <v>0</v>
      </c>
      <c r="AQ508" s="87"/>
      <c r="AR508" s="28">
        <v>0</v>
      </c>
      <c r="AS508" s="28">
        <v>0</v>
      </c>
    </row>
    <row r="509" ht="175.5" customHeight="1" hidden="1">
      <c r="A509" t="s" s="88">
        <v>1521</v>
      </c>
      <c r="B509" t="s" s="88">
        <v>523</v>
      </c>
      <c r="C509" s="228"/>
      <c r="D509" s="228"/>
      <c r="E509" t="s" s="217">
        <v>1522</v>
      </c>
      <c r="F509" s="182">
        <v>0</v>
      </c>
      <c r="G509" s="183"/>
      <c r="H509" s="42">
        <f>SUM(J509,N509)</f>
        <v>0</v>
      </c>
      <c r="I509" s="207">
        <f>SUM(Q509,S509,U509,W509,Y509,AA509,AC509,AE509,AG509,AI509,AK509,AM509,AO509,AQ509,AS509)</f>
        <v>0</v>
      </c>
      <c r="J509" s="43">
        <f>SUM(P509,R509,T509,V509,X509,Z509,AB509,AD509,AF509,AH509,AJ509,AL509,AN509,AP509,AR509)</f>
        <v>0</v>
      </c>
      <c r="K509" s="44"/>
      <c r="L509" s="6"/>
      <c r="M509" s="6"/>
      <c r="N509" s="14"/>
      <c r="O509" s="122"/>
      <c r="P509" s="46"/>
      <c r="Q509" s="46"/>
      <c r="R509" s="47"/>
      <c r="S509" s="47"/>
      <c r="T509" s="47"/>
      <c r="U509" s="47"/>
      <c r="V509" s="47"/>
      <c r="W509" s="47"/>
      <c r="X509" s="47"/>
      <c r="Y509" s="47"/>
      <c r="Z509" s="48">
        <v>0</v>
      </c>
      <c r="AA509" s="48">
        <v>0</v>
      </c>
      <c r="AB509" s="49"/>
      <c r="AC509" s="49"/>
      <c r="AD509" s="50"/>
      <c r="AE509" s="50"/>
      <c r="AF509" s="14"/>
      <c r="AG509" s="122"/>
      <c r="AH509" s="51">
        <v>0</v>
      </c>
      <c r="AI509" s="51">
        <v>0</v>
      </c>
      <c r="AJ509" s="47"/>
      <c r="AK509" s="51">
        <v>0</v>
      </c>
      <c r="AL509" s="14"/>
      <c r="AM509" s="122"/>
      <c r="AN509" s="47"/>
      <c r="AO509" s="47"/>
      <c r="AP509" s="47"/>
      <c r="AQ509" s="47"/>
      <c r="AR509" s="51">
        <v>0</v>
      </c>
      <c r="AS509" s="51">
        <v>0</v>
      </c>
    </row>
    <row r="510" ht="409.5" customHeight="1" hidden="1">
      <c r="A510" t="s" s="130">
        <v>1523</v>
      </c>
      <c r="B510" t="s" s="52">
        <v>524</v>
      </c>
      <c r="C510" t="s" s="130">
        <v>1422</v>
      </c>
      <c r="D510" t="s" s="209">
        <v>717</v>
      </c>
      <c r="E510" t="s" s="217">
        <v>1524</v>
      </c>
      <c r="F510" t="s" s="210">
        <v>714</v>
      </c>
      <c r="G510" s="211"/>
      <c r="H510" s="42">
        <f>SUM(J510,N510)</f>
        <v>0</v>
      </c>
      <c r="I510" s="207">
        <f>SUM(Q510,S510,U510,W510,Y510,AA510,AC510,AE510,AG510,AI510,AK510,AM510,AO510,AQ510,AS510)</f>
        <v>0</v>
      </c>
      <c r="J510" s="43">
        <f>SUM(P510,R510,T510,V510,X510,Z510,AB510,AD510,AF510,AH510,AJ510,AL510,AN510,AP510,AR510)</f>
        <v>0</v>
      </c>
      <c r="K510" s="44"/>
      <c r="L510" s="6"/>
      <c r="M510" s="6"/>
      <c r="N510" s="14"/>
      <c r="O510" s="122"/>
      <c r="P510" s="46"/>
      <c r="Q510" s="27">
        <v>0</v>
      </c>
      <c r="R510" s="51">
        <v>0</v>
      </c>
      <c r="S510" s="51">
        <v>0</v>
      </c>
      <c r="T510" s="51">
        <v>0</v>
      </c>
      <c r="U510" s="51">
        <v>0</v>
      </c>
      <c r="V510" s="51">
        <v>0</v>
      </c>
      <c r="W510" s="51">
        <v>0</v>
      </c>
      <c r="X510" s="51">
        <v>0</v>
      </c>
      <c r="Y510" s="51">
        <v>0</v>
      </c>
      <c r="Z510" s="48">
        <v>0</v>
      </c>
      <c r="AA510" s="48">
        <v>0</v>
      </c>
      <c r="AB510" s="48">
        <v>0</v>
      </c>
      <c r="AC510" s="48">
        <v>0</v>
      </c>
      <c r="AD510" s="55">
        <v>0</v>
      </c>
      <c r="AE510" s="213">
        <v>0</v>
      </c>
      <c r="AF510" s="212">
        <v>0</v>
      </c>
      <c r="AG510" s="121">
        <v>0</v>
      </c>
      <c r="AH510" s="51">
        <v>0</v>
      </c>
      <c r="AI510" s="51">
        <v>0</v>
      </c>
      <c r="AJ510" s="51">
        <v>0</v>
      </c>
      <c r="AK510" s="51">
        <v>0</v>
      </c>
      <c r="AL510" s="14"/>
      <c r="AM510" s="122"/>
      <c r="AN510" s="51">
        <v>0</v>
      </c>
      <c r="AO510" s="51">
        <v>0</v>
      </c>
      <c r="AP510" s="51">
        <v>0</v>
      </c>
      <c r="AQ510" s="47"/>
      <c r="AR510" s="51">
        <v>0</v>
      </c>
      <c r="AS510" s="51">
        <v>0</v>
      </c>
    </row>
    <row r="511" ht="330.75" customHeight="1" hidden="1">
      <c r="A511" t="s" s="130">
        <v>1525</v>
      </c>
      <c r="B511" t="s" s="52">
        <v>525</v>
      </c>
      <c r="C511" t="s" s="130">
        <v>1526</v>
      </c>
      <c r="D511" t="s" s="209">
        <v>717</v>
      </c>
      <c r="E511" t="s" s="52">
        <v>1527</v>
      </c>
      <c r="F511" t="s" s="210">
        <v>714</v>
      </c>
      <c r="G511" s="211"/>
      <c r="H511" s="42">
        <f>SUM(J511,N511)</f>
        <v>0</v>
      </c>
      <c r="I511" s="207">
        <f>SUM(Q511,S511,U511,W511,Y511,AA511,AC511,AE511,AG511,AI511,AK511,AM511,AO511,AQ511,AS511)</f>
        <v>0</v>
      </c>
      <c r="J511" s="43">
        <f>SUM(P511,R511,T511,V511,X511,Z511,AB511,AD511,AF511,AH511,AJ511,AL511,AN511,AP511,AR511)</f>
        <v>0</v>
      </c>
      <c r="K511" s="44"/>
      <c r="L511" s="6"/>
      <c r="M511" s="6"/>
      <c r="N511" s="14"/>
      <c r="O511" s="122"/>
      <c r="P511" s="46"/>
      <c r="Q511" s="27">
        <v>0</v>
      </c>
      <c r="R511" s="51">
        <v>0</v>
      </c>
      <c r="S511" s="51">
        <v>0</v>
      </c>
      <c r="T511" s="51">
        <v>0</v>
      </c>
      <c r="U511" s="51">
        <v>0</v>
      </c>
      <c r="V511" s="51">
        <v>0</v>
      </c>
      <c r="W511" s="51">
        <v>0</v>
      </c>
      <c r="X511" s="51">
        <v>0</v>
      </c>
      <c r="Y511" s="51">
        <v>0</v>
      </c>
      <c r="Z511" s="48">
        <v>0</v>
      </c>
      <c r="AA511" s="48">
        <v>0</v>
      </c>
      <c r="AB511" s="48">
        <v>0</v>
      </c>
      <c r="AC511" s="48">
        <v>0</v>
      </c>
      <c r="AD511" s="55">
        <v>0</v>
      </c>
      <c r="AE511" s="213">
        <v>0</v>
      </c>
      <c r="AF511" s="212">
        <v>0</v>
      </c>
      <c r="AG511" s="121">
        <v>0</v>
      </c>
      <c r="AH511" s="51">
        <v>0</v>
      </c>
      <c r="AI511" s="51">
        <v>0</v>
      </c>
      <c r="AJ511" s="51">
        <v>0</v>
      </c>
      <c r="AK511" s="51">
        <v>0</v>
      </c>
      <c r="AL511" s="14"/>
      <c r="AM511" s="122"/>
      <c r="AN511" s="51">
        <v>0</v>
      </c>
      <c r="AO511" s="51">
        <v>0</v>
      </c>
      <c r="AP511" s="51">
        <v>0</v>
      </c>
      <c r="AQ511" s="47"/>
      <c r="AR511" s="51">
        <v>0</v>
      </c>
      <c r="AS511" s="51">
        <v>0</v>
      </c>
    </row>
    <row r="512" ht="315" customHeight="1" hidden="1">
      <c r="A512" t="s" s="299">
        <v>1528</v>
      </c>
      <c r="B512" t="s" s="129">
        <v>526</v>
      </c>
      <c r="C512" t="s" s="299">
        <v>800</v>
      </c>
      <c r="D512" t="s" s="300">
        <v>717</v>
      </c>
      <c r="E512" t="s" s="219">
        <v>1529</v>
      </c>
      <c r="F512" t="s" s="101">
        <v>714</v>
      </c>
      <c r="G512" s="203"/>
      <c r="H512" s="204">
        <f>SUM(J512,N512)</f>
        <v>200</v>
      </c>
      <c r="I512" s="205">
        <f>SUM(Q512,S512,U512,W512,Y512,AA512,AC512,AE512,AG512,AI512,AK512,AM512,AO512,AQ512,AS512)</f>
        <v>0</v>
      </c>
      <c r="J512" s="35">
        <f>SUM(P512,R512,T512,V512,X512,Z512,AB512,AD512,AF512,AH512,AJ512,AL512,AN512,AP512,AR512)</f>
        <v>200</v>
      </c>
      <c r="K512" s="36"/>
      <c r="L512" s="196"/>
      <c r="M512" s="196"/>
      <c r="N512" s="196"/>
      <c r="O512" s="197"/>
      <c r="P512" s="27">
        <v>200</v>
      </c>
      <c r="Q512" s="27">
        <v>0</v>
      </c>
      <c r="R512" s="38">
        <v>0</v>
      </c>
      <c r="S512" s="38">
        <v>0</v>
      </c>
      <c r="T512" s="38">
        <v>0</v>
      </c>
      <c r="U512" s="38">
        <v>0</v>
      </c>
      <c r="V512" s="38">
        <v>0</v>
      </c>
      <c r="W512" s="38">
        <v>0</v>
      </c>
      <c r="X512" s="38">
        <v>0</v>
      </c>
      <c r="Y512" s="38">
        <v>0</v>
      </c>
      <c r="Z512" s="40">
        <v>0</v>
      </c>
      <c r="AA512" s="40">
        <v>0</v>
      </c>
      <c r="AB512" s="40">
        <v>0</v>
      </c>
      <c r="AC512" s="40">
        <v>0</v>
      </c>
      <c r="AD512" s="40">
        <v>0</v>
      </c>
      <c r="AE512" s="40">
        <v>0</v>
      </c>
      <c r="AF512" s="198">
        <v>0</v>
      </c>
      <c r="AG512" s="206">
        <v>0</v>
      </c>
      <c r="AH512" s="38">
        <v>0</v>
      </c>
      <c r="AI512" s="38">
        <v>0</v>
      </c>
      <c r="AJ512" s="38">
        <v>0</v>
      </c>
      <c r="AK512" s="38">
        <v>0</v>
      </c>
      <c r="AL512" s="202"/>
      <c r="AM512" s="197"/>
      <c r="AN512" s="38">
        <v>0</v>
      </c>
      <c r="AO512" s="38">
        <v>0</v>
      </c>
      <c r="AP512" s="38">
        <v>0</v>
      </c>
      <c r="AQ512" s="80"/>
      <c r="AR512" s="38">
        <v>0</v>
      </c>
      <c r="AS512" s="38">
        <v>0</v>
      </c>
    </row>
    <row r="513" ht="283.5" customHeight="1" hidden="1">
      <c r="A513" t="s" s="288">
        <v>1459</v>
      </c>
      <c r="B513" t="s" s="118">
        <v>527</v>
      </c>
      <c r="C513" t="s" s="288">
        <v>1422</v>
      </c>
      <c r="D513" t="s" s="301">
        <v>717</v>
      </c>
      <c r="E513" t="s" s="302">
        <v>1530</v>
      </c>
      <c r="F513" t="s" s="210">
        <v>853</v>
      </c>
      <c r="G513" s="211"/>
      <c r="H513" s="42">
        <f>SUM(J513,N513)</f>
        <v>0</v>
      </c>
      <c r="I513" s="207">
        <f>SUM(Q513,S513,U513,W513,Y513,AA513,AC513,AE513,AG513,AI513,AK513,AM513,AO513,AQ513,AS513)</f>
        <v>0</v>
      </c>
      <c r="J513" s="43">
        <f>SUM(P513,R513,T513,V513,X513,Z513,AB513,AD513,AF513,AH513,AJ513,AL513,AN513,AP513,AR513)</f>
        <v>0</v>
      </c>
      <c r="K513" s="44"/>
      <c r="L513" s="6"/>
      <c r="M513" s="6"/>
      <c r="N513" s="14"/>
      <c r="O513" s="122"/>
      <c r="P513" s="46"/>
      <c r="Q513" s="27">
        <v>0</v>
      </c>
      <c r="R513" s="51">
        <v>0</v>
      </c>
      <c r="S513" s="51">
        <v>0</v>
      </c>
      <c r="T513" s="51">
        <v>0</v>
      </c>
      <c r="U513" s="51">
        <v>0</v>
      </c>
      <c r="V513" s="51">
        <v>0</v>
      </c>
      <c r="W513" s="51">
        <v>0</v>
      </c>
      <c r="X513" s="51">
        <v>0</v>
      </c>
      <c r="Y513" s="51">
        <v>0</v>
      </c>
      <c r="Z513" s="48">
        <v>0</v>
      </c>
      <c r="AA513" s="48">
        <v>0</v>
      </c>
      <c r="AB513" s="48">
        <v>0</v>
      </c>
      <c r="AC513" s="48">
        <v>0</v>
      </c>
      <c r="AD513" s="55">
        <v>0</v>
      </c>
      <c r="AE513" s="213">
        <v>0</v>
      </c>
      <c r="AF513" s="212">
        <v>0</v>
      </c>
      <c r="AG513" s="121">
        <v>0</v>
      </c>
      <c r="AH513" s="51">
        <v>0</v>
      </c>
      <c r="AI513" s="51">
        <v>0</v>
      </c>
      <c r="AJ513" s="51">
        <v>0</v>
      </c>
      <c r="AK513" s="51">
        <v>0</v>
      </c>
      <c r="AL513" s="14"/>
      <c r="AM513" s="122"/>
      <c r="AN513" s="51">
        <v>0</v>
      </c>
      <c r="AO513" s="51">
        <v>0</v>
      </c>
      <c r="AP513" s="51">
        <v>0</v>
      </c>
      <c r="AQ513" s="47"/>
      <c r="AR513" s="51">
        <v>0</v>
      </c>
      <c r="AS513" s="51">
        <v>0</v>
      </c>
    </row>
    <row r="514" ht="19.5" customHeight="1" hidden="1">
      <c r="A514" s="227">
        <v>12</v>
      </c>
      <c r="B514" t="s" s="103">
        <v>528</v>
      </c>
      <c r="C514" s="180"/>
      <c r="D514" s="180"/>
      <c r="E514" s="189"/>
      <c r="F514" s="182">
        <v>0</v>
      </c>
      <c r="G514" s="183"/>
      <c r="H514" s="42">
        <f>SUM(J514,N514)</f>
        <v>0</v>
      </c>
      <c r="I514" s="207">
        <f>SUM(Q514,S514,U514,W514,Y514,AA514,AC514,AE514,AG514,AI514,AK514,AM514,AO514,AQ514,AS514)</f>
        <v>0</v>
      </c>
      <c r="J514" s="43">
        <f>SUM(P514,R514,T514,V514,X514,Z514,AB514,AD514,AF514,AH514,AJ514,AL514,AN514,AP514,AR514)</f>
        <v>0</v>
      </c>
      <c r="K514" s="44"/>
      <c r="L514" s="6"/>
      <c r="M514" s="6"/>
      <c r="N514" s="14"/>
      <c r="O514" s="122"/>
      <c r="P514" s="46"/>
      <c r="Q514" s="46"/>
      <c r="R514" s="47"/>
      <c r="S514" s="47"/>
      <c r="T514" s="47"/>
      <c r="U514" s="47"/>
      <c r="V514" s="47"/>
      <c r="W514" s="47"/>
      <c r="X514" s="47"/>
      <c r="Y514" s="47"/>
      <c r="Z514" s="48">
        <v>0</v>
      </c>
      <c r="AA514" s="48">
        <v>0</v>
      </c>
      <c r="AB514" s="49"/>
      <c r="AC514" s="49"/>
      <c r="AD514" s="55">
        <v>0</v>
      </c>
      <c r="AE514" s="213">
        <v>0</v>
      </c>
      <c r="AF514" s="14"/>
      <c r="AG514" s="122"/>
      <c r="AH514" s="51">
        <v>0</v>
      </c>
      <c r="AI514" s="51">
        <v>0</v>
      </c>
      <c r="AJ514" s="47"/>
      <c r="AK514" s="47"/>
      <c r="AL514" s="14"/>
      <c r="AM514" s="122"/>
      <c r="AN514" s="47"/>
      <c r="AO514" s="47"/>
      <c r="AP514" s="47"/>
      <c r="AQ514" s="47"/>
      <c r="AR514" s="51">
        <v>0</v>
      </c>
      <c r="AS514" s="51">
        <v>0</v>
      </c>
    </row>
    <row r="515" ht="19.5" customHeight="1" hidden="1">
      <c r="A515" t="s" s="88">
        <v>1531</v>
      </c>
      <c r="B515" t="s" s="88">
        <v>529</v>
      </c>
      <c r="C515" s="228"/>
      <c r="D515" s="228"/>
      <c r="E515" s="189"/>
      <c r="F515" s="182">
        <v>0</v>
      </c>
      <c r="G515" s="183"/>
      <c r="H515" s="42">
        <f>SUM(J515,N515)</f>
        <v>0</v>
      </c>
      <c r="I515" s="207">
        <f>SUM(Q515,S515,U515,W515,Y515,AA515,AC515,AE515,AG515,AI515,AK515,AM515,AO515,AQ515,AS515)</f>
        <v>0</v>
      </c>
      <c r="J515" s="43">
        <f>SUM(P515,R515,T515,V515,X515,Z515,AB515,AD515,AF515,AH515,AJ515,AL515,AN515,AP515,AR515)</f>
        <v>0</v>
      </c>
      <c r="K515" s="44"/>
      <c r="L515" s="6"/>
      <c r="M515" s="6"/>
      <c r="N515" s="14"/>
      <c r="O515" s="122"/>
      <c r="P515" s="46"/>
      <c r="Q515" s="46"/>
      <c r="R515" s="47"/>
      <c r="S515" s="47"/>
      <c r="T515" s="47"/>
      <c r="U515" s="47"/>
      <c r="V515" s="47"/>
      <c r="W515" s="47"/>
      <c r="X515" s="47"/>
      <c r="Y515" s="47"/>
      <c r="Z515" s="48">
        <v>0</v>
      </c>
      <c r="AA515" s="48">
        <v>0</v>
      </c>
      <c r="AB515" s="49"/>
      <c r="AC515" s="49"/>
      <c r="AD515" s="50"/>
      <c r="AE515" s="50"/>
      <c r="AF515" s="14"/>
      <c r="AG515" s="122"/>
      <c r="AH515" s="51">
        <v>0</v>
      </c>
      <c r="AI515" s="51">
        <v>0</v>
      </c>
      <c r="AJ515" s="47"/>
      <c r="AK515" s="47"/>
      <c r="AL515" s="14"/>
      <c r="AM515" s="122"/>
      <c r="AN515" s="47"/>
      <c r="AO515" s="47"/>
      <c r="AP515" s="47"/>
      <c r="AQ515" s="47"/>
      <c r="AR515" s="51">
        <v>0</v>
      </c>
      <c r="AS515" s="51">
        <v>0</v>
      </c>
    </row>
    <row r="516" ht="47.25" customHeight="1" hidden="1">
      <c r="A516" t="s" s="59">
        <v>1532</v>
      </c>
      <c r="B516" t="s" s="21">
        <v>530</v>
      </c>
      <c r="C516" t="s" s="59">
        <v>1533</v>
      </c>
      <c r="D516" t="s" s="190">
        <v>791</v>
      </c>
      <c r="E516" s="191"/>
      <c r="F516" t="s" s="192">
        <v>714</v>
      </c>
      <c r="G516" s="193"/>
      <c r="H516" s="194">
        <f>SUM(J516,N516)</f>
        <v>9220</v>
      </c>
      <c r="I516" s="195">
        <f>SUM(Q516,S516,U516,W516,Y516,AA516,AC516,AE516,AG516,AI516,AK516,AM516,AO516,AQ516,AS516)</f>
        <v>742</v>
      </c>
      <c r="J516" s="23">
        <f>SUM(P516,R516,T516,V516,X516,Z516,AB516,AD516,AF516,AH516,AJ516,AL516,AN516,AP516,AR516)</f>
        <v>9220</v>
      </c>
      <c r="K516" s="36"/>
      <c r="L516" s="196"/>
      <c r="M516" s="196"/>
      <c r="N516" s="196"/>
      <c r="O516" s="197"/>
      <c r="P516" s="27">
        <v>2000</v>
      </c>
      <c r="Q516" s="27">
        <v>25</v>
      </c>
      <c r="R516" s="28">
        <v>0</v>
      </c>
      <c r="S516" s="28">
        <v>0</v>
      </c>
      <c r="T516" s="28">
        <v>750</v>
      </c>
      <c r="U516" s="28">
        <v>43</v>
      </c>
      <c r="V516" s="28">
        <v>20</v>
      </c>
      <c r="W516" s="28">
        <v>20</v>
      </c>
      <c r="X516" s="28">
        <v>0</v>
      </c>
      <c r="Y516" s="28">
        <v>0</v>
      </c>
      <c r="Z516" s="30">
        <v>230</v>
      </c>
      <c r="AA516" s="30">
        <v>0</v>
      </c>
      <c r="AB516" s="30">
        <v>2165</v>
      </c>
      <c r="AC516" s="30">
        <v>232</v>
      </c>
      <c r="AD516" s="30">
        <v>1995</v>
      </c>
      <c r="AE516" s="30">
        <v>200</v>
      </c>
      <c r="AF516" s="198">
        <v>1350</v>
      </c>
      <c r="AG516" s="206">
        <v>140</v>
      </c>
      <c r="AH516" s="28">
        <v>660</v>
      </c>
      <c r="AI516" s="28">
        <v>72</v>
      </c>
      <c r="AJ516" s="28">
        <v>0</v>
      </c>
      <c r="AK516" s="28">
        <v>0</v>
      </c>
      <c r="AL516" s="202"/>
      <c r="AM516" s="197"/>
      <c r="AN516" s="28">
        <v>50</v>
      </c>
      <c r="AO516" s="28">
        <v>10</v>
      </c>
      <c r="AP516" s="28">
        <v>0</v>
      </c>
      <c r="AQ516" s="87"/>
      <c r="AR516" s="28">
        <v>0</v>
      </c>
      <c r="AS516" s="28">
        <v>0</v>
      </c>
    </row>
    <row r="517" ht="31.5" customHeight="1" hidden="1">
      <c r="A517" t="s" s="59">
        <v>1534</v>
      </c>
      <c r="B517" t="s" s="21">
        <v>531</v>
      </c>
      <c r="C517" t="s" s="59">
        <v>1533</v>
      </c>
      <c r="D517" t="s" s="190">
        <v>791</v>
      </c>
      <c r="E517" s="191"/>
      <c r="F517" t="s" s="192">
        <v>720</v>
      </c>
      <c r="G517" s="193"/>
      <c r="H517" s="194">
        <f>SUM(J517,N517)</f>
        <v>3650</v>
      </c>
      <c r="I517" s="195">
        <f>SUM(Q517,S517,U517,W517,Y517,AA517,AC517,AE517,AG517,AI517,AK517,AM517,AO517,AQ517,AS517)</f>
        <v>226</v>
      </c>
      <c r="J517" s="23">
        <f>SUM(P517,R517,T517,V517,X517,Z517,AB517,AD517,AF517,AH517,AJ517,AL517,AN517,AP517,AR517)</f>
        <v>3650</v>
      </c>
      <c r="K517" s="36"/>
      <c r="L517" s="196"/>
      <c r="M517" s="196"/>
      <c r="N517" s="196"/>
      <c r="O517" s="197"/>
      <c r="P517" s="27">
        <v>3000</v>
      </c>
      <c r="Q517" s="27">
        <v>216</v>
      </c>
      <c r="R517" s="28">
        <v>0</v>
      </c>
      <c r="S517" s="28">
        <v>0</v>
      </c>
      <c r="T517" s="28">
        <v>300</v>
      </c>
      <c r="U517" s="28">
        <v>0</v>
      </c>
      <c r="V517" s="28">
        <v>200</v>
      </c>
      <c r="W517" s="28">
        <v>0</v>
      </c>
      <c r="X517" s="28">
        <v>100</v>
      </c>
      <c r="Y517" s="28">
        <v>0</v>
      </c>
      <c r="Z517" s="30">
        <v>0</v>
      </c>
      <c r="AA517" s="30">
        <v>0</v>
      </c>
      <c r="AB517" s="30">
        <v>0</v>
      </c>
      <c r="AC517" s="30">
        <v>0</v>
      </c>
      <c r="AD517" s="30">
        <v>0</v>
      </c>
      <c r="AE517" s="30">
        <v>0</v>
      </c>
      <c r="AF517" s="198">
        <v>0</v>
      </c>
      <c r="AG517" s="206">
        <v>0</v>
      </c>
      <c r="AH517" s="28">
        <v>0</v>
      </c>
      <c r="AI517" s="28">
        <v>0</v>
      </c>
      <c r="AJ517" s="28">
        <v>0</v>
      </c>
      <c r="AK517" s="28">
        <v>0</v>
      </c>
      <c r="AL517" s="202"/>
      <c r="AM517" s="197"/>
      <c r="AN517" s="28">
        <v>50</v>
      </c>
      <c r="AO517" s="28">
        <v>10</v>
      </c>
      <c r="AP517" s="28">
        <v>0</v>
      </c>
      <c r="AQ517" s="87"/>
      <c r="AR517" s="28">
        <v>0</v>
      </c>
      <c r="AS517" s="28">
        <v>0</v>
      </c>
    </row>
    <row r="518" ht="94.5" customHeight="1" hidden="1">
      <c r="A518" s="227">
        <v>13</v>
      </c>
      <c r="B518" t="s" s="103">
        <v>532</v>
      </c>
      <c r="C518" s="180"/>
      <c r="D518" s="180"/>
      <c r="E518" s="189"/>
      <c r="F518" s="182">
        <v>0</v>
      </c>
      <c r="G518" s="183"/>
      <c r="H518" s="42">
        <f>SUM(J518,N518)</f>
        <v>0</v>
      </c>
      <c r="I518" s="207">
        <f>SUM(Q518,S518,U518,W518,Y518,AA518,AC518,AE518,AG518,AI518,AK518,AM518,AO518,AQ518,AS518)</f>
        <v>0</v>
      </c>
      <c r="J518" s="43">
        <f>SUM(P518,R518,T518,V518,X518,Z518,AB518,AD518,AF518,AH518,AJ518,AL518,AN518,AP518,AR518)</f>
        <v>0</v>
      </c>
      <c r="K518" s="44"/>
      <c r="L518" s="6"/>
      <c r="M518" s="6"/>
      <c r="N518" s="14"/>
      <c r="O518" s="122"/>
      <c r="P518" s="46"/>
      <c r="Q518" s="46"/>
      <c r="R518" s="47"/>
      <c r="S518" s="47"/>
      <c r="T518" s="47"/>
      <c r="U518" s="47"/>
      <c r="V518" s="47"/>
      <c r="W518" s="47"/>
      <c r="X518" s="47"/>
      <c r="Y518" s="47"/>
      <c r="Z518" s="48">
        <v>0</v>
      </c>
      <c r="AA518" s="48">
        <v>0</v>
      </c>
      <c r="AB518" s="49"/>
      <c r="AC518" s="49"/>
      <c r="AD518" s="55">
        <v>0</v>
      </c>
      <c r="AE518" s="213">
        <v>0</v>
      </c>
      <c r="AF518" s="14"/>
      <c r="AG518" s="122"/>
      <c r="AH518" s="51">
        <v>0</v>
      </c>
      <c r="AI518" s="51">
        <v>0</v>
      </c>
      <c r="AJ518" s="47"/>
      <c r="AK518" s="47"/>
      <c r="AL518" s="14"/>
      <c r="AM518" s="122"/>
      <c r="AN518" s="47"/>
      <c r="AO518" s="47"/>
      <c r="AP518" s="47"/>
      <c r="AQ518" s="47"/>
      <c r="AR518" s="51">
        <v>0</v>
      </c>
      <c r="AS518" s="51">
        <v>0</v>
      </c>
    </row>
    <row r="519" ht="31.5" customHeight="1" hidden="1">
      <c r="A519" t="s" s="88">
        <v>1535</v>
      </c>
      <c r="B519" t="s" s="88">
        <v>533</v>
      </c>
      <c r="C519" s="228"/>
      <c r="D519" s="228"/>
      <c r="E519" s="189"/>
      <c r="F519" s="182">
        <v>0</v>
      </c>
      <c r="G519" s="183"/>
      <c r="H519" s="42">
        <f>SUM(J519,N519)</f>
        <v>0</v>
      </c>
      <c r="I519" s="207">
        <f>SUM(Q519,S519,U519,W519,Y519,AA519,AC519,AE519,AG519,AI519,AK519,AM519,AO519,AQ519,AS519)</f>
        <v>0</v>
      </c>
      <c r="J519" s="43">
        <f>SUM(P519,R519,T519,V519,X519,Z519,AB519,AD519,AF519,AH519,AJ519,AL519,AN519,AP519,AR519)</f>
        <v>0</v>
      </c>
      <c r="K519" s="44"/>
      <c r="L519" s="6"/>
      <c r="M519" s="6"/>
      <c r="N519" s="14"/>
      <c r="O519" s="122"/>
      <c r="P519" s="46"/>
      <c r="Q519" s="46"/>
      <c r="R519" s="47"/>
      <c r="S519" s="47"/>
      <c r="T519" s="47"/>
      <c r="U519" s="47"/>
      <c r="V519" s="47"/>
      <c r="W519" s="47"/>
      <c r="X519" s="47"/>
      <c r="Y519" s="47"/>
      <c r="Z519" s="48">
        <v>0</v>
      </c>
      <c r="AA519" s="48">
        <v>0</v>
      </c>
      <c r="AB519" s="49"/>
      <c r="AC519" s="49"/>
      <c r="AD519" s="50"/>
      <c r="AE519" s="50"/>
      <c r="AF519" s="14"/>
      <c r="AG519" s="122"/>
      <c r="AH519" s="51">
        <v>0</v>
      </c>
      <c r="AI519" s="51">
        <v>0</v>
      </c>
      <c r="AJ519" s="47"/>
      <c r="AK519" s="47"/>
      <c r="AL519" s="14"/>
      <c r="AM519" s="122"/>
      <c r="AN519" s="47"/>
      <c r="AO519" s="47"/>
      <c r="AP519" s="47"/>
      <c r="AQ519" s="47"/>
      <c r="AR519" s="51">
        <v>0</v>
      </c>
      <c r="AS519" s="51">
        <v>0</v>
      </c>
    </row>
    <row r="520" ht="31.5" customHeight="1" hidden="1">
      <c r="A520" t="s" s="59">
        <v>1536</v>
      </c>
      <c r="B520" t="s" s="21">
        <v>534</v>
      </c>
      <c r="C520" t="s" s="59">
        <v>1149</v>
      </c>
      <c r="D520" t="s" s="190">
        <v>791</v>
      </c>
      <c r="E520" s="191"/>
      <c r="F520" t="s" s="192">
        <v>720</v>
      </c>
      <c r="G520" s="193"/>
      <c r="H520" s="194">
        <f>SUM(J520,N520)</f>
        <v>47220</v>
      </c>
      <c r="I520" s="195">
        <f>SUM(Q520,S520,U520,W520,Y520,AA520,AC520,AE520,AG520,AI520,AK520,AM520,AO520,AQ520,AS520)</f>
        <v>22830</v>
      </c>
      <c r="J520" s="23">
        <f>SUM(P520,R520,T520,V520,X520,Z520,AB520,AD520,AF520,AH520,AJ520,AL520,AN520,AP520,AR520)</f>
        <v>47220</v>
      </c>
      <c r="K520" s="36"/>
      <c r="L520" s="196"/>
      <c r="M520" s="196"/>
      <c r="N520" s="196"/>
      <c r="O520" s="197"/>
      <c r="P520" s="27">
        <v>10000</v>
      </c>
      <c r="Q520" s="27">
        <v>1500</v>
      </c>
      <c r="R520" s="28">
        <v>2000</v>
      </c>
      <c r="S520" s="28">
        <v>1786</v>
      </c>
      <c r="T520" s="28">
        <v>4000</v>
      </c>
      <c r="U520" s="28">
        <v>1200</v>
      </c>
      <c r="V520" s="28">
        <v>1000</v>
      </c>
      <c r="W520" s="28">
        <v>530</v>
      </c>
      <c r="X520" s="28">
        <v>200</v>
      </c>
      <c r="Y520" s="28">
        <v>150</v>
      </c>
      <c r="Z520" s="30">
        <v>5550</v>
      </c>
      <c r="AA520" s="30">
        <v>4500</v>
      </c>
      <c r="AB520" s="30">
        <v>9010</v>
      </c>
      <c r="AC520" s="30">
        <v>5030</v>
      </c>
      <c r="AD520" s="30">
        <v>5850</v>
      </c>
      <c r="AE520" s="30">
        <v>3151</v>
      </c>
      <c r="AF520" s="198">
        <v>4350</v>
      </c>
      <c r="AG520" s="206">
        <v>2190</v>
      </c>
      <c r="AH520" s="28">
        <v>4660</v>
      </c>
      <c r="AI520" s="28">
        <v>2243</v>
      </c>
      <c r="AJ520" s="28">
        <v>0</v>
      </c>
      <c r="AK520" s="28">
        <v>0</v>
      </c>
      <c r="AL520" s="202"/>
      <c r="AM520" s="197"/>
      <c r="AN520" s="28">
        <v>600</v>
      </c>
      <c r="AO520" s="28">
        <v>550</v>
      </c>
      <c r="AP520" s="28">
        <v>0</v>
      </c>
      <c r="AQ520" s="87"/>
      <c r="AR520" s="28">
        <v>0</v>
      </c>
      <c r="AS520" s="28">
        <v>0</v>
      </c>
    </row>
    <row r="521" ht="31.5" customHeight="1" hidden="1">
      <c r="A521" t="s" s="88">
        <v>1537</v>
      </c>
      <c r="B521" t="s" s="88">
        <v>535</v>
      </c>
      <c r="C521" s="228"/>
      <c r="D521" s="228"/>
      <c r="E521" s="189"/>
      <c r="F521" s="182">
        <v>0</v>
      </c>
      <c r="G521" s="183"/>
      <c r="H521" s="42">
        <f>SUM(J521,N521)</f>
        <v>0</v>
      </c>
      <c r="I521" s="207">
        <f>SUM(Q521,S521,U521,W521,Y521,AA521,AC521,AE521,AG521,AI521,AK521,AM521,AO521,AQ521,AS521)</f>
        <v>0</v>
      </c>
      <c r="J521" s="43">
        <f>SUM(P521,R521,T521,V521,X521,Z521,AB521,AD521,AF521,AH521,AJ521,AL521,AN521,AP521,AR521)</f>
        <v>0</v>
      </c>
      <c r="K521" s="44"/>
      <c r="L521" s="6"/>
      <c r="M521" s="6"/>
      <c r="N521" s="14"/>
      <c r="O521" s="122"/>
      <c r="P521" s="46"/>
      <c r="Q521" s="46"/>
      <c r="R521" s="47"/>
      <c r="S521" s="47"/>
      <c r="T521" s="47"/>
      <c r="U521" s="47"/>
      <c r="V521" s="47"/>
      <c r="W521" s="47"/>
      <c r="X521" s="47"/>
      <c r="Y521" s="47"/>
      <c r="Z521" s="48">
        <v>0</v>
      </c>
      <c r="AA521" s="48">
        <v>0</v>
      </c>
      <c r="AB521" s="49"/>
      <c r="AC521" s="49"/>
      <c r="AD521" s="50"/>
      <c r="AE521" s="50"/>
      <c r="AF521" s="14"/>
      <c r="AG521" s="122"/>
      <c r="AH521" s="51">
        <v>0</v>
      </c>
      <c r="AI521" s="51">
        <v>0</v>
      </c>
      <c r="AJ521" s="47"/>
      <c r="AK521" s="47"/>
      <c r="AL521" s="14"/>
      <c r="AM521" s="122"/>
      <c r="AN521" s="47"/>
      <c r="AO521" s="47"/>
      <c r="AP521" s="47"/>
      <c r="AQ521" s="47"/>
      <c r="AR521" s="51">
        <v>0</v>
      </c>
      <c r="AS521" s="51">
        <v>0</v>
      </c>
    </row>
    <row r="522" ht="19.5" customHeight="1" hidden="1">
      <c r="A522" t="s" s="59">
        <v>1538</v>
      </c>
      <c r="B522" t="s" s="86">
        <v>536</v>
      </c>
      <c r="C522" t="s" s="59">
        <v>1149</v>
      </c>
      <c r="D522" t="s" s="190">
        <v>791</v>
      </c>
      <c r="E522" s="215">
        <v>1039</v>
      </c>
      <c r="F522" t="s" s="192">
        <v>720</v>
      </c>
      <c r="G522" s="193"/>
      <c r="H522" s="194">
        <f>SUM(J522,N522)</f>
        <v>15915</v>
      </c>
      <c r="I522" s="195">
        <f>SUM(Q522,S522,U522,W522,Y522,AA522,AC522,AE522,AG522,AI522,AK522,AM522,AO522,AQ522,AS522)</f>
        <v>5690</v>
      </c>
      <c r="J522" s="23">
        <f>SUM(P522,R522,T522,V522,X522,Z522,AB522,AD522,AF522,AH522,AJ522,AL522,AN522,AP522,AR522)</f>
        <v>15915</v>
      </c>
      <c r="K522" s="36"/>
      <c r="L522" s="196"/>
      <c r="M522" s="196"/>
      <c r="N522" s="196"/>
      <c r="O522" s="197"/>
      <c r="P522" s="27">
        <v>5000</v>
      </c>
      <c r="Q522" s="27">
        <v>1310</v>
      </c>
      <c r="R522" s="28">
        <v>75</v>
      </c>
      <c r="S522" s="28">
        <v>71</v>
      </c>
      <c r="T522" s="28">
        <v>1000</v>
      </c>
      <c r="U522" s="28">
        <v>498</v>
      </c>
      <c r="V522" s="28">
        <v>200</v>
      </c>
      <c r="W522" s="28">
        <v>300</v>
      </c>
      <c r="X522" s="28">
        <v>310</v>
      </c>
      <c r="Y522" s="28">
        <v>150</v>
      </c>
      <c r="Z522" s="30">
        <v>1450</v>
      </c>
      <c r="AA522" s="30">
        <v>950</v>
      </c>
      <c r="AB522" s="30">
        <v>2390</v>
      </c>
      <c r="AC522" s="30">
        <v>523</v>
      </c>
      <c r="AD522" s="30">
        <v>1450</v>
      </c>
      <c r="AE522" s="30">
        <v>439</v>
      </c>
      <c r="AF522" s="198">
        <v>1500</v>
      </c>
      <c r="AG522" s="206">
        <v>930</v>
      </c>
      <c r="AH522" s="28">
        <v>2490</v>
      </c>
      <c r="AI522" s="28">
        <v>519</v>
      </c>
      <c r="AJ522" s="28">
        <v>0</v>
      </c>
      <c r="AK522" s="28">
        <v>0</v>
      </c>
      <c r="AL522" s="202"/>
      <c r="AM522" s="197"/>
      <c r="AN522" s="28">
        <v>50</v>
      </c>
      <c r="AO522" s="28">
        <v>0</v>
      </c>
      <c r="AP522" s="28">
        <v>0</v>
      </c>
      <c r="AQ522" s="87"/>
      <c r="AR522" s="28">
        <v>0</v>
      </c>
      <c r="AS522" s="28">
        <v>0</v>
      </c>
    </row>
    <row r="523" ht="47.25" customHeight="1" hidden="1">
      <c r="A523" t="s" s="59">
        <v>1539</v>
      </c>
      <c r="B523" t="s" s="21">
        <v>537</v>
      </c>
      <c r="C523" t="s" s="59">
        <v>790</v>
      </c>
      <c r="D523" t="s" s="190">
        <v>791</v>
      </c>
      <c r="E523" s="215">
        <v>-1012</v>
      </c>
      <c r="F523" t="s" s="192">
        <v>720</v>
      </c>
      <c r="G523" s="193"/>
      <c r="H523" s="194">
        <f>SUM(J523,N523)</f>
        <v>12880</v>
      </c>
      <c r="I523" s="195">
        <f>SUM(Q523,S523,U523,W523,Y523,AA523,AC523,AE523,AG523,AI523,AK523,AM523,AO523,AQ523,AS523)</f>
        <v>1088</v>
      </c>
      <c r="J523" s="23">
        <f>SUM(P523,R523,T523,V523,X523,Z523,AB523,AD523,AF523,AH523,AJ523,AL523,AN523,AP523,AR523)</f>
        <v>12880</v>
      </c>
      <c r="K523" s="36"/>
      <c r="L523" s="196"/>
      <c r="M523" s="196"/>
      <c r="N523" s="196"/>
      <c r="O523" s="197"/>
      <c r="P523" s="27">
        <v>1000</v>
      </c>
      <c r="Q523" s="27">
        <v>0</v>
      </c>
      <c r="R523" s="28">
        <v>150</v>
      </c>
      <c r="S523" s="28">
        <v>100</v>
      </c>
      <c r="T523" s="28">
        <v>1000</v>
      </c>
      <c r="U523" s="28">
        <v>0</v>
      </c>
      <c r="V523" s="28">
        <v>200</v>
      </c>
      <c r="W523" s="28">
        <v>0</v>
      </c>
      <c r="X523" s="28">
        <v>0</v>
      </c>
      <c r="Y523" s="28">
        <v>0</v>
      </c>
      <c r="Z523" s="30">
        <v>1850</v>
      </c>
      <c r="AA523" s="30">
        <v>0</v>
      </c>
      <c r="AB523" s="30">
        <v>3130</v>
      </c>
      <c r="AC523" s="30">
        <v>116</v>
      </c>
      <c r="AD523" s="30">
        <v>2030</v>
      </c>
      <c r="AE523" s="30">
        <v>47</v>
      </c>
      <c r="AF523" s="198">
        <v>1650</v>
      </c>
      <c r="AG523" s="206">
        <v>520</v>
      </c>
      <c r="AH523" s="28">
        <v>1670</v>
      </c>
      <c r="AI523" s="28">
        <v>295</v>
      </c>
      <c r="AJ523" s="28">
        <v>0</v>
      </c>
      <c r="AK523" s="28">
        <v>0</v>
      </c>
      <c r="AL523" s="202"/>
      <c r="AM523" s="197"/>
      <c r="AN523" s="28">
        <v>200</v>
      </c>
      <c r="AO523" s="28">
        <v>10</v>
      </c>
      <c r="AP523" s="28">
        <v>0</v>
      </c>
      <c r="AQ523" s="87"/>
      <c r="AR523" s="28">
        <v>0</v>
      </c>
      <c r="AS523" s="28">
        <v>0</v>
      </c>
    </row>
    <row r="524" ht="19.5" customHeight="1" hidden="1">
      <c r="A524" t="s" s="88">
        <v>1540</v>
      </c>
      <c r="B524" t="s" s="88">
        <v>538</v>
      </c>
      <c r="C524" s="228"/>
      <c r="D524" s="228"/>
      <c r="E524" s="189"/>
      <c r="F524" s="182">
        <v>0</v>
      </c>
      <c r="G524" s="183"/>
      <c r="H524" s="42">
        <f>SUM(J524,N524)</f>
        <v>0</v>
      </c>
      <c r="I524" s="207">
        <f>SUM(Q524,S524,U524,W524,Y524,AA524,AC524,AE524,AG524,AI524,AK524,AM524,AO524,AQ524,AS524)</f>
        <v>0</v>
      </c>
      <c r="J524" s="43">
        <f>SUM(P524,R524,T524,V524,X524,Z524,AB524,AD524,AF524,AH524,AJ524,AL524,AN524,AP524,AR524)</f>
        <v>0</v>
      </c>
      <c r="K524" s="44"/>
      <c r="L524" s="6"/>
      <c r="M524" s="6"/>
      <c r="N524" s="14"/>
      <c r="O524" s="122"/>
      <c r="P524" s="46"/>
      <c r="Q524" s="46"/>
      <c r="R524" s="47"/>
      <c r="S524" s="47"/>
      <c r="T524" s="47"/>
      <c r="U524" s="47"/>
      <c r="V524" s="47"/>
      <c r="W524" s="47"/>
      <c r="X524" s="47"/>
      <c r="Y524" s="47"/>
      <c r="Z524" s="48">
        <v>0</v>
      </c>
      <c r="AA524" s="48">
        <v>0</v>
      </c>
      <c r="AB524" s="49"/>
      <c r="AC524" s="49"/>
      <c r="AD524" s="50"/>
      <c r="AE524" s="50"/>
      <c r="AF524" s="14"/>
      <c r="AG524" s="122"/>
      <c r="AH524" s="51">
        <v>0</v>
      </c>
      <c r="AI524" s="51">
        <v>0</v>
      </c>
      <c r="AJ524" s="47"/>
      <c r="AK524" s="47"/>
      <c r="AL524" s="14"/>
      <c r="AM524" s="122"/>
      <c r="AN524" s="47"/>
      <c r="AO524" s="47"/>
      <c r="AP524" s="47"/>
      <c r="AQ524" s="47"/>
      <c r="AR524" s="51">
        <v>0</v>
      </c>
      <c r="AS524" s="51">
        <v>0</v>
      </c>
    </row>
    <row r="525" ht="47.25" customHeight="1" hidden="1">
      <c r="A525" t="s" s="59">
        <v>1541</v>
      </c>
      <c r="B525" t="s" s="21">
        <v>539</v>
      </c>
      <c r="C525" t="s" s="59">
        <v>1149</v>
      </c>
      <c r="D525" t="s" s="190">
        <v>791</v>
      </c>
      <c r="E525" t="s" s="216">
        <v>1542</v>
      </c>
      <c r="F525" t="s" s="192">
        <v>720</v>
      </c>
      <c r="G525" s="193"/>
      <c r="H525" s="194">
        <f>SUM(J525,N525)</f>
        <v>48670</v>
      </c>
      <c r="I525" s="195">
        <f>SUM(Q525,S525,U525,W525,Y525,AA525,AC525,AE525,AG525,AI525,AK525,AM525,AO525,AQ525,AS525)</f>
        <v>21969</v>
      </c>
      <c r="J525" s="23">
        <f>SUM(P525,R525,T525,V525,X525,Z525,AB525,AD525,AF525,AH525,AJ525,AL525,AN525,AP525,AR525)</f>
        <v>48670</v>
      </c>
      <c r="K525" s="36"/>
      <c r="L525" s="196"/>
      <c r="M525" s="196"/>
      <c r="N525" s="196"/>
      <c r="O525" s="197"/>
      <c r="P525" s="27">
        <v>10000</v>
      </c>
      <c r="Q525" s="27">
        <v>1217</v>
      </c>
      <c r="R525" s="28">
        <v>300</v>
      </c>
      <c r="S525" s="28">
        <v>170</v>
      </c>
      <c r="T525" s="28">
        <v>5000</v>
      </c>
      <c r="U525" s="28">
        <v>1509</v>
      </c>
      <c r="V525" s="28">
        <v>1000</v>
      </c>
      <c r="W525" s="28">
        <v>560</v>
      </c>
      <c r="X525" s="28">
        <v>500</v>
      </c>
      <c r="Y525" s="28">
        <v>250</v>
      </c>
      <c r="Z525" s="30">
        <v>5720</v>
      </c>
      <c r="AA525" s="30">
        <v>4290</v>
      </c>
      <c r="AB525" s="30">
        <v>6080</v>
      </c>
      <c r="AC525" s="30">
        <v>3706</v>
      </c>
      <c r="AD525" s="30">
        <v>6720</v>
      </c>
      <c r="AE525" s="30">
        <v>4666</v>
      </c>
      <c r="AF525" s="198">
        <v>4200</v>
      </c>
      <c r="AG525" s="206">
        <v>1460</v>
      </c>
      <c r="AH525" s="28">
        <v>8650</v>
      </c>
      <c r="AI525" s="28">
        <v>3732</v>
      </c>
      <c r="AJ525" s="28">
        <v>0</v>
      </c>
      <c r="AK525" s="28">
        <v>0</v>
      </c>
      <c r="AL525" s="202"/>
      <c r="AM525" s="197"/>
      <c r="AN525" s="28">
        <v>500</v>
      </c>
      <c r="AO525" s="28">
        <v>409</v>
      </c>
      <c r="AP525" s="28">
        <v>0</v>
      </c>
      <c r="AQ525" s="87"/>
      <c r="AR525" s="28">
        <v>0</v>
      </c>
      <c r="AS525" s="28">
        <v>0</v>
      </c>
    </row>
    <row r="526" ht="31.5" customHeight="1" hidden="1">
      <c r="A526" t="s" s="59">
        <v>1543</v>
      </c>
      <c r="B526" t="s" s="21">
        <v>540</v>
      </c>
      <c r="C526" t="s" s="59">
        <v>1149</v>
      </c>
      <c r="D526" t="s" s="190">
        <v>791</v>
      </c>
      <c r="E526" t="s" s="253">
        <v>1544</v>
      </c>
      <c r="F526" t="s" s="192">
        <v>720</v>
      </c>
      <c r="G526" s="193"/>
      <c r="H526" s="194">
        <f>SUM(J526,N526)</f>
        <v>17600</v>
      </c>
      <c r="I526" s="195">
        <f>SUM(Q526,S526,U526,W526,Y526,AA526,AC526,AE526,AG526,AI526,AK526,AM526,AO526,AQ526,AS526)</f>
        <v>1704</v>
      </c>
      <c r="J526" s="23">
        <f>SUM(P526,R526,T526,V526,X526,Z526,AB526,AD526,AF526,AH526,AJ526,AL526,AN526,AP526,AR526)</f>
        <v>17600</v>
      </c>
      <c r="K526" s="36"/>
      <c r="L526" s="196"/>
      <c r="M526" s="196"/>
      <c r="N526" s="196"/>
      <c r="O526" s="197"/>
      <c r="P526" s="27">
        <v>15000</v>
      </c>
      <c r="Q526" s="27">
        <v>1008</v>
      </c>
      <c r="R526" s="28">
        <v>0</v>
      </c>
      <c r="S526" s="28">
        <v>0</v>
      </c>
      <c r="T526" s="28">
        <v>2000</v>
      </c>
      <c r="U526" s="28">
        <v>260</v>
      </c>
      <c r="V526" s="28">
        <v>200</v>
      </c>
      <c r="W526" s="28">
        <v>70</v>
      </c>
      <c r="X526" s="28">
        <v>250</v>
      </c>
      <c r="Y526" s="28">
        <v>240</v>
      </c>
      <c r="Z526" s="30">
        <v>0</v>
      </c>
      <c r="AA526" s="30">
        <v>0</v>
      </c>
      <c r="AB526" s="30">
        <v>0</v>
      </c>
      <c r="AC526" s="30">
        <v>0</v>
      </c>
      <c r="AD526" s="30">
        <v>0</v>
      </c>
      <c r="AE526" s="30">
        <v>0</v>
      </c>
      <c r="AF526" s="198">
        <v>0</v>
      </c>
      <c r="AG526" s="206">
        <v>0</v>
      </c>
      <c r="AH526" s="28">
        <v>0</v>
      </c>
      <c r="AI526" s="28">
        <v>0</v>
      </c>
      <c r="AJ526" s="28">
        <v>0</v>
      </c>
      <c r="AK526" s="28">
        <v>0</v>
      </c>
      <c r="AL526" s="202"/>
      <c r="AM526" s="197"/>
      <c r="AN526" s="28">
        <v>150</v>
      </c>
      <c r="AO526" s="28">
        <v>126</v>
      </c>
      <c r="AP526" s="28">
        <v>0</v>
      </c>
      <c r="AQ526" s="87"/>
      <c r="AR526" s="28">
        <v>0</v>
      </c>
      <c r="AS526" s="28">
        <v>0</v>
      </c>
    </row>
    <row r="527" ht="78.75" customHeight="1" hidden="1">
      <c r="A527" t="s" s="59">
        <v>1545</v>
      </c>
      <c r="B527" t="s" s="21">
        <v>541</v>
      </c>
      <c r="C527" t="s" s="59">
        <v>1149</v>
      </c>
      <c r="D527" t="s" s="190">
        <v>791</v>
      </c>
      <c r="E527" s="191"/>
      <c r="F527" t="s" s="192">
        <v>720</v>
      </c>
      <c r="G527" s="193"/>
      <c r="H527" s="194">
        <f>SUM(J527,N527)</f>
        <v>98280</v>
      </c>
      <c r="I527" s="195">
        <f>SUM(Q527,S527,U527,W527,Y527,AA527,AC527,AE527,AG527,AI527,AK527,AM527,AO527,AQ527,AS527)</f>
        <v>37707</v>
      </c>
      <c r="J527" s="23">
        <f>SUM(P527,R527,T527,V527,X527,Z527,AB527,AD527,AF527,AH527,AJ527,AL527,AN527,AP527,AR527)</f>
        <v>98280</v>
      </c>
      <c r="K527" s="36"/>
      <c r="L527" s="196"/>
      <c r="M527" s="196"/>
      <c r="N527" s="196"/>
      <c r="O527" s="197"/>
      <c r="P527" s="27">
        <v>25000</v>
      </c>
      <c r="Q527" s="27">
        <v>1376</v>
      </c>
      <c r="R527" s="28">
        <v>300</v>
      </c>
      <c r="S527" s="28">
        <v>0</v>
      </c>
      <c r="T527" s="28">
        <v>5000</v>
      </c>
      <c r="U527" s="28">
        <v>0</v>
      </c>
      <c r="V527" s="28">
        <v>1600</v>
      </c>
      <c r="W527" s="28">
        <v>2186</v>
      </c>
      <c r="X527" s="28">
        <v>300</v>
      </c>
      <c r="Y527" s="28">
        <v>0</v>
      </c>
      <c r="Z527" s="30">
        <v>7000</v>
      </c>
      <c r="AA527" s="30">
        <v>4500</v>
      </c>
      <c r="AB527" s="30">
        <v>15080</v>
      </c>
      <c r="AC527" s="30">
        <v>7860</v>
      </c>
      <c r="AD527" s="30">
        <v>19350</v>
      </c>
      <c r="AE527" s="30">
        <v>12288</v>
      </c>
      <c r="AF527" s="198">
        <v>8200</v>
      </c>
      <c r="AG527" s="206">
        <v>1800</v>
      </c>
      <c r="AH527" s="28">
        <v>15950</v>
      </c>
      <c r="AI527" s="28">
        <v>7293</v>
      </c>
      <c r="AJ527" s="28">
        <v>0</v>
      </c>
      <c r="AK527" s="28">
        <v>0</v>
      </c>
      <c r="AL527" s="202"/>
      <c r="AM527" s="197"/>
      <c r="AN527" s="28">
        <v>500</v>
      </c>
      <c r="AO527" s="28">
        <v>404</v>
      </c>
      <c r="AP527" s="28">
        <v>0</v>
      </c>
      <c r="AQ527" s="87"/>
      <c r="AR527" s="28">
        <v>0</v>
      </c>
      <c r="AS527" s="28">
        <v>0</v>
      </c>
    </row>
    <row r="528" ht="31.5" customHeight="1" hidden="1">
      <c r="A528" t="s" s="88">
        <v>1546</v>
      </c>
      <c r="B528" t="s" s="88">
        <v>542</v>
      </c>
      <c r="C528" s="228"/>
      <c r="D528" s="228"/>
      <c r="E528" s="189"/>
      <c r="F528" s="182">
        <v>0</v>
      </c>
      <c r="G528" s="183"/>
      <c r="H528" s="42">
        <f>SUM(J528,N528)</f>
        <v>0</v>
      </c>
      <c r="I528" s="207">
        <f>SUM(Q528,S528,U528,W528,Y528,AA528,AC528,AE528,AG528,AI528,AK528,AM528,AO528,AQ528,AS528)</f>
        <v>0</v>
      </c>
      <c r="J528" s="43">
        <f>SUM(P528,R528,T528,V528,X528,Z528,AB528,AD528,AF528,AH528,AJ528,AL528,AN528,AP528,AR528)</f>
        <v>0</v>
      </c>
      <c r="K528" s="44"/>
      <c r="L528" s="6"/>
      <c r="M528" s="6"/>
      <c r="N528" s="14"/>
      <c r="O528" s="122"/>
      <c r="P528" s="46"/>
      <c r="Q528" s="46"/>
      <c r="R528" s="47"/>
      <c r="S528" s="47"/>
      <c r="T528" s="47"/>
      <c r="U528" s="47"/>
      <c r="V528" s="47"/>
      <c r="W528" s="47"/>
      <c r="X528" s="47"/>
      <c r="Y528" s="47"/>
      <c r="Z528" s="48">
        <v>0</v>
      </c>
      <c r="AA528" s="48">
        <v>0</v>
      </c>
      <c r="AB528" s="49"/>
      <c r="AC528" s="49"/>
      <c r="AD528" s="50"/>
      <c r="AE528" s="50"/>
      <c r="AF528" s="14"/>
      <c r="AG528" s="122"/>
      <c r="AH528" s="51">
        <v>0</v>
      </c>
      <c r="AI528" s="51">
        <v>0</v>
      </c>
      <c r="AJ528" s="47"/>
      <c r="AK528" s="47"/>
      <c r="AL528" s="14"/>
      <c r="AM528" s="122"/>
      <c r="AN528" s="47"/>
      <c r="AO528" s="47"/>
      <c r="AP528" s="47"/>
      <c r="AQ528" s="47"/>
      <c r="AR528" s="51">
        <v>0</v>
      </c>
      <c r="AS528" s="51">
        <v>0</v>
      </c>
    </row>
    <row r="529" ht="31.5" customHeight="1" hidden="1">
      <c r="A529" t="s" s="59">
        <v>1547</v>
      </c>
      <c r="B529" t="s" s="21">
        <v>543</v>
      </c>
      <c r="C529" t="s" s="59">
        <v>1149</v>
      </c>
      <c r="D529" t="s" s="190">
        <v>791</v>
      </c>
      <c r="E529" s="281">
        <v>1197</v>
      </c>
      <c r="F529" t="s" s="192">
        <v>714</v>
      </c>
      <c r="G529" s="193"/>
      <c r="H529" s="194">
        <f>SUM(J529,N529)</f>
        <v>850</v>
      </c>
      <c r="I529" s="195">
        <f>SUM(Q529,S529,U529,W529,Y529,AA529,AC529,AE529,AG529,AI529,AK529,AM529,AO529,AQ529,AS529)</f>
        <v>0</v>
      </c>
      <c r="J529" s="23">
        <f>SUM(P529,R529,T529,V529,X529,Z529,AB529,AD529,AF529,AH529,AJ529,AL529,AN529,AP529,AR529)</f>
        <v>850</v>
      </c>
      <c r="K529" s="36"/>
      <c r="L529" s="196"/>
      <c r="M529" s="196"/>
      <c r="N529" s="196"/>
      <c r="O529" s="197"/>
      <c r="P529" s="27">
        <v>300</v>
      </c>
      <c r="Q529" s="27">
        <v>0</v>
      </c>
      <c r="R529" s="28">
        <v>0</v>
      </c>
      <c r="S529" s="28">
        <v>0</v>
      </c>
      <c r="T529" s="28">
        <v>500</v>
      </c>
      <c r="U529" s="28">
        <v>0</v>
      </c>
      <c r="V529" s="28">
        <v>0</v>
      </c>
      <c r="W529" s="28">
        <v>0</v>
      </c>
      <c r="X529" s="28">
        <v>0</v>
      </c>
      <c r="Y529" s="28">
        <v>0</v>
      </c>
      <c r="Z529" s="30">
        <v>0</v>
      </c>
      <c r="AA529" s="30">
        <v>0</v>
      </c>
      <c r="AB529" s="30">
        <v>0</v>
      </c>
      <c r="AC529" s="30">
        <v>0</v>
      </c>
      <c r="AD529" s="30">
        <v>0</v>
      </c>
      <c r="AE529" s="30">
        <v>0</v>
      </c>
      <c r="AF529" s="198">
        <v>0</v>
      </c>
      <c r="AG529" s="206">
        <v>0</v>
      </c>
      <c r="AH529" s="28">
        <v>0</v>
      </c>
      <c r="AI529" s="28">
        <v>0</v>
      </c>
      <c r="AJ529" s="28">
        <v>0</v>
      </c>
      <c r="AK529" s="28">
        <v>0</v>
      </c>
      <c r="AL529" s="202"/>
      <c r="AM529" s="197"/>
      <c r="AN529" s="28">
        <v>50</v>
      </c>
      <c r="AO529" s="28">
        <v>0</v>
      </c>
      <c r="AP529" s="28">
        <v>0</v>
      </c>
      <c r="AQ529" s="87"/>
      <c r="AR529" s="28">
        <v>0</v>
      </c>
      <c r="AS529" s="28">
        <v>0</v>
      </c>
    </row>
    <row r="530" ht="19.5" customHeight="1" hidden="1">
      <c r="A530" t="s" s="88">
        <v>1548</v>
      </c>
      <c r="B530" t="s" s="88">
        <v>544</v>
      </c>
      <c r="C530" s="228"/>
      <c r="D530" s="228"/>
      <c r="E530" s="189"/>
      <c r="F530" s="182">
        <v>0</v>
      </c>
      <c r="G530" s="183"/>
      <c r="H530" s="42">
        <f>SUM(J530,N530)</f>
        <v>0</v>
      </c>
      <c r="I530" s="207">
        <f>SUM(Q530,S530,U530,W530,Y530,AA530,AC530,AE530,AG530,AI530,AK530,AM530,AO530,AQ530,AS530)</f>
        <v>0</v>
      </c>
      <c r="J530" s="43">
        <f>SUM(P530,R530,T530,V530,X530,Z530,AB530,AD530,AF530,AH530,AJ530,AL530,AN530,AP530,AR530)</f>
        <v>0</v>
      </c>
      <c r="K530" s="44"/>
      <c r="L530" s="6"/>
      <c r="M530" s="6"/>
      <c r="N530" s="14"/>
      <c r="O530" s="122"/>
      <c r="P530" s="46"/>
      <c r="Q530" s="46"/>
      <c r="R530" s="47"/>
      <c r="S530" s="47"/>
      <c r="T530" s="47"/>
      <c r="U530" s="47"/>
      <c r="V530" s="47"/>
      <c r="W530" s="47"/>
      <c r="X530" s="47"/>
      <c r="Y530" s="47"/>
      <c r="Z530" s="48">
        <v>0</v>
      </c>
      <c r="AA530" s="48">
        <v>0</v>
      </c>
      <c r="AB530" s="49"/>
      <c r="AC530" s="49"/>
      <c r="AD530" s="50"/>
      <c r="AE530" s="50"/>
      <c r="AF530" s="14"/>
      <c r="AG530" s="122"/>
      <c r="AH530" s="51">
        <v>0</v>
      </c>
      <c r="AI530" s="51">
        <v>0</v>
      </c>
      <c r="AJ530" s="47"/>
      <c r="AK530" s="47"/>
      <c r="AL530" s="14"/>
      <c r="AM530" s="122"/>
      <c r="AN530" s="47"/>
      <c r="AO530" s="47"/>
      <c r="AP530" s="47"/>
      <c r="AQ530" s="47"/>
      <c r="AR530" s="51">
        <v>0</v>
      </c>
      <c r="AS530" s="51">
        <v>0</v>
      </c>
    </row>
    <row r="531" ht="31.5" customHeight="1" hidden="1">
      <c r="A531" t="s" s="59">
        <v>1549</v>
      </c>
      <c r="B531" t="s" s="21">
        <v>545</v>
      </c>
      <c r="C531" t="s" s="59">
        <v>1115</v>
      </c>
      <c r="D531" t="s" s="190">
        <v>713</v>
      </c>
      <c r="E531" t="s" s="216">
        <v>1550</v>
      </c>
      <c r="F531" t="s" s="192">
        <v>714</v>
      </c>
      <c r="G531" s="193"/>
      <c r="H531" s="194">
        <f>SUM(J531,N531)</f>
        <v>1200</v>
      </c>
      <c r="I531" s="195">
        <f>SUM(Q531,S531,U531,W531,Y531,AA531,AC531,AE531,AG531,AI531,AK531,AM531,AO531,AQ531,AS531)</f>
        <v>10</v>
      </c>
      <c r="J531" s="23">
        <f>SUM(P531,R531,T531,V531,X531,Z531,AB531,AD531,AF531,AH531,AJ531,AL531,AN531,AP531,AR531)</f>
        <v>1200</v>
      </c>
      <c r="K531" s="36"/>
      <c r="L531" s="196"/>
      <c r="M531" s="196"/>
      <c r="N531" s="196"/>
      <c r="O531" s="197"/>
      <c r="P531" s="27">
        <v>1000</v>
      </c>
      <c r="Q531" s="27">
        <v>0</v>
      </c>
      <c r="R531" s="28">
        <v>0</v>
      </c>
      <c r="S531" s="28">
        <v>0</v>
      </c>
      <c r="T531" s="28">
        <v>100</v>
      </c>
      <c r="U531" s="28">
        <v>10</v>
      </c>
      <c r="V531" s="28">
        <v>0</v>
      </c>
      <c r="W531" s="28">
        <v>0</v>
      </c>
      <c r="X531" s="28">
        <v>0</v>
      </c>
      <c r="Y531" s="28">
        <v>0</v>
      </c>
      <c r="Z531" s="30">
        <v>0</v>
      </c>
      <c r="AA531" s="30">
        <v>0</v>
      </c>
      <c r="AB531" s="30">
        <v>0</v>
      </c>
      <c r="AC531" s="30">
        <v>0</v>
      </c>
      <c r="AD531" s="30">
        <v>0</v>
      </c>
      <c r="AE531" s="30">
        <v>0</v>
      </c>
      <c r="AF531" s="198">
        <v>0</v>
      </c>
      <c r="AG531" s="206">
        <v>0</v>
      </c>
      <c r="AH531" s="28">
        <v>0</v>
      </c>
      <c r="AI531" s="28">
        <v>0</v>
      </c>
      <c r="AJ531" s="28">
        <v>0</v>
      </c>
      <c r="AK531" s="28">
        <v>0</v>
      </c>
      <c r="AL531" s="202"/>
      <c r="AM531" s="197"/>
      <c r="AN531" s="28">
        <v>100</v>
      </c>
      <c r="AO531" s="28">
        <v>0</v>
      </c>
      <c r="AP531" s="28">
        <v>0</v>
      </c>
      <c r="AQ531" s="87"/>
      <c r="AR531" s="28">
        <v>0</v>
      </c>
      <c r="AS531" s="28">
        <v>0</v>
      </c>
    </row>
    <row r="532" ht="31.5" customHeight="1" hidden="1">
      <c r="A532" t="s" s="59">
        <v>1551</v>
      </c>
      <c r="B532" t="s" s="21">
        <v>546</v>
      </c>
      <c r="C532" t="s" s="59">
        <v>1149</v>
      </c>
      <c r="D532" t="s" s="190">
        <v>791</v>
      </c>
      <c r="E532" s="191"/>
      <c r="F532" t="s" s="192">
        <v>720</v>
      </c>
      <c r="G532" s="193"/>
      <c r="H532" s="194">
        <f>SUM(J532,N532)</f>
        <v>2070</v>
      </c>
      <c r="I532" s="195">
        <f>SUM(Q532,S532,U532,W532,Y532,AA532,AC532,AE532,AG532,AI532,AK532,AM532,AO532,AQ532,AS532)</f>
        <v>11</v>
      </c>
      <c r="J532" s="23">
        <f>SUM(P532,R532,T532,V532,X532,Z532,AB532,AD532,AF532,AH532,AJ532,AL532,AN532,AP532,AR532)</f>
        <v>2070</v>
      </c>
      <c r="K532" s="36"/>
      <c r="L532" s="196"/>
      <c r="M532" s="196"/>
      <c r="N532" s="196"/>
      <c r="O532" s="197"/>
      <c r="P532" s="27">
        <v>2000</v>
      </c>
      <c r="Q532" s="27">
        <v>0</v>
      </c>
      <c r="R532" s="28">
        <v>0</v>
      </c>
      <c r="S532" s="28">
        <v>0</v>
      </c>
      <c r="T532" s="28">
        <v>20</v>
      </c>
      <c r="U532" s="28">
        <v>0</v>
      </c>
      <c r="V532" s="28">
        <v>0</v>
      </c>
      <c r="W532" s="28">
        <v>0</v>
      </c>
      <c r="X532" s="28">
        <v>0</v>
      </c>
      <c r="Y532" s="28">
        <v>0</v>
      </c>
      <c r="Z532" s="30">
        <v>0</v>
      </c>
      <c r="AA532" s="30">
        <v>0</v>
      </c>
      <c r="AB532" s="30">
        <v>0</v>
      </c>
      <c r="AC532" s="30">
        <v>0</v>
      </c>
      <c r="AD532" s="30">
        <v>0</v>
      </c>
      <c r="AE532" s="30">
        <v>0</v>
      </c>
      <c r="AF532" s="198">
        <v>0</v>
      </c>
      <c r="AG532" s="206">
        <v>0</v>
      </c>
      <c r="AH532" s="28">
        <v>0</v>
      </c>
      <c r="AI532" s="28">
        <v>0</v>
      </c>
      <c r="AJ532" s="28">
        <v>0</v>
      </c>
      <c r="AK532" s="28">
        <v>0</v>
      </c>
      <c r="AL532" s="202"/>
      <c r="AM532" s="197"/>
      <c r="AN532" s="28">
        <v>50</v>
      </c>
      <c r="AO532" s="28">
        <v>11</v>
      </c>
      <c r="AP532" s="28">
        <v>0</v>
      </c>
      <c r="AQ532" s="87"/>
      <c r="AR532" s="28">
        <v>0</v>
      </c>
      <c r="AS532" s="28">
        <v>0</v>
      </c>
    </row>
    <row r="533" ht="31.5" customHeight="1" hidden="1">
      <c r="A533" t="s" s="88">
        <v>1552</v>
      </c>
      <c r="B533" t="s" s="88">
        <v>547</v>
      </c>
      <c r="C533" s="228"/>
      <c r="D533" s="228"/>
      <c r="E533" s="189"/>
      <c r="F533" s="182">
        <v>0</v>
      </c>
      <c r="G533" s="183"/>
      <c r="H533" s="42">
        <f>SUM(J533,N533)</f>
        <v>0</v>
      </c>
      <c r="I533" s="207">
        <f>SUM(Q533,S533,U533,W533,Y533,AA533,AC533,AE533,AG533,AI533,AK533,AM533,AO533,AQ533,AS533)</f>
        <v>0</v>
      </c>
      <c r="J533" s="43">
        <f>SUM(P533,R533,T533,V533,X533,Z533,AB533,AD533,AF533,AH533,AJ533,AL533,AN533,AP533,AR533)</f>
        <v>0</v>
      </c>
      <c r="K533" s="44"/>
      <c r="L533" s="6"/>
      <c r="M533" s="6"/>
      <c r="N533" s="14"/>
      <c r="O533" s="122"/>
      <c r="P533" s="46"/>
      <c r="Q533" s="46"/>
      <c r="R533" s="51">
        <v>0</v>
      </c>
      <c r="S533" s="51">
        <v>0</v>
      </c>
      <c r="T533" s="47"/>
      <c r="U533" s="47"/>
      <c r="V533" s="47"/>
      <c r="W533" s="47"/>
      <c r="X533" s="47"/>
      <c r="Y533" s="47"/>
      <c r="Z533" s="48">
        <v>0</v>
      </c>
      <c r="AA533" s="48">
        <v>0</v>
      </c>
      <c r="AB533" s="49"/>
      <c r="AC533" s="49"/>
      <c r="AD533" s="50"/>
      <c r="AE533" s="50"/>
      <c r="AF533" s="14"/>
      <c r="AG533" s="122"/>
      <c r="AH533" s="51">
        <v>0</v>
      </c>
      <c r="AI533" s="51">
        <v>0</v>
      </c>
      <c r="AJ533" s="47"/>
      <c r="AK533" s="47"/>
      <c r="AL533" s="14"/>
      <c r="AM533" s="122"/>
      <c r="AN533" s="47"/>
      <c r="AO533" s="47"/>
      <c r="AP533" s="47"/>
      <c r="AQ533" s="47"/>
      <c r="AR533" s="51">
        <v>0</v>
      </c>
      <c r="AS533" s="51">
        <v>0</v>
      </c>
    </row>
    <row r="534" ht="31.5" customHeight="1" hidden="1">
      <c r="A534" t="s" s="59">
        <v>1553</v>
      </c>
      <c r="B534" t="s" s="21">
        <v>548</v>
      </c>
      <c r="C534" t="s" s="59">
        <v>790</v>
      </c>
      <c r="D534" t="s" s="190">
        <v>791</v>
      </c>
      <c r="E534" s="191"/>
      <c r="F534" t="s" s="192">
        <v>714</v>
      </c>
      <c r="G534" s="193"/>
      <c r="H534" s="194">
        <f>SUM(J534,N534)</f>
        <v>6665</v>
      </c>
      <c r="I534" s="195">
        <f>SUM(Q534,S534,U534,W534,Y534,AA534,AC534,AE534,AG534,AI534,AK534,AM534,AO534,AQ534,AS534)</f>
        <v>1085</v>
      </c>
      <c r="J534" s="23">
        <f>SUM(P534,R534,T534,V534,X534,Z534,AB534,AD534,AF534,AH534,AJ534,AL534,AN534,AP534,AR534)</f>
        <v>6665</v>
      </c>
      <c r="K534" s="36"/>
      <c r="L534" s="196"/>
      <c r="M534" s="196"/>
      <c r="N534" s="196"/>
      <c r="O534" s="197"/>
      <c r="P534" s="27">
        <v>1000</v>
      </c>
      <c r="Q534" s="27">
        <v>54</v>
      </c>
      <c r="R534" s="28">
        <v>0</v>
      </c>
      <c r="S534" s="28">
        <v>0</v>
      </c>
      <c r="T534" s="28">
        <v>200</v>
      </c>
      <c r="U534" s="28">
        <v>0</v>
      </c>
      <c r="V534" s="28">
        <v>0</v>
      </c>
      <c r="W534" s="28">
        <v>0</v>
      </c>
      <c r="X534" s="28">
        <v>0</v>
      </c>
      <c r="Y534" s="28">
        <v>0</v>
      </c>
      <c r="Z534" s="30">
        <v>1200</v>
      </c>
      <c r="AA534" s="30">
        <v>680</v>
      </c>
      <c r="AB534" s="30">
        <v>1465</v>
      </c>
      <c r="AC534" s="30">
        <v>120</v>
      </c>
      <c r="AD534" s="30">
        <v>1100</v>
      </c>
      <c r="AE534" s="30">
        <v>51</v>
      </c>
      <c r="AF534" s="198">
        <v>550</v>
      </c>
      <c r="AG534" s="206">
        <v>120</v>
      </c>
      <c r="AH534" s="28">
        <v>1050</v>
      </c>
      <c r="AI534" s="28">
        <v>28</v>
      </c>
      <c r="AJ534" s="28">
        <v>0</v>
      </c>
      <c r="AK534" s="28">
        <v>0</v>
      </c>
      <c r="AL534" s="202"/>
      <c r="AM534" s="197"/>
      <c r="AN534" s="28">
        <v>100</v>
      </c>
      <c r="AO534" s="28">
        <v>32</v>
      </c>
      <c r="AP534" s="28">
        <v>0</v>
      </c>
      <c r="AQ534" s="87"/>
      <c r="AR534" s="28">
        <v>0</v>
      </c>
      <c r="AS534" s="28">
        <v>0</v>
      </c>
    </row>
    <row r="535" ht="19.5" customHeight="1" hidden="1">
      <c r="A535" t="s" s="59">
        <v>1554</v>
      </c>
      <c r="B535" t="s" s="21">
        <v>549</v>
      </c>
      <c r="C535" t="s" s="59">
        <v>1149</v>
      </c>
      <c r="D535" t="s" s="190">
        <v>801</v>
      </c>
      <c r="E535" s="215">
        <v>1042</v>
      </c>
      <c r="F535" t="s" s="192">
        <v>720</v>
      </c>
      <c r="G535" s="193"/>
      <c r="H535" s="194">
        <f>SUM(J535,N535)</f>
        <v>25984</v>
      </c>
      <c r="I535" s="195">
        <f>SUM(Q535,S535,U535,W535,Y535,AA535,AC535,AE535,AG535,AI535,AK535,AM535,AO535,AQ535,AS535)</f>
        <v>5558</v>
      </c>
      <c r="J535" s="23">
        <f>SUM(P535,R535,T535,V535,X535,Z535,AB535,AD535,AF535,AH535,AJ535,AL535,AN535,AP535,AR535)</f>
        <v>25984</v>
      </c>
      <c r="K535" s="36"/>
      <c r="L535" s="196"/>
      <c r="M535" s="196"/>
      <c r="N535" s="196"/>
      <c r="O535" s="197"/>
      <c r="P535" s="27">
        <v>20000</v>
      </c>
      <c r="Q535" s="27">
        <v>3320</v>
      </c>
      <c r="R535" s="28">
        <v>200</v>
      </c>
      <c r="S535" s="28">
        <v>155</v>
      </c>
      <c r="T535" s="28">
        <v>3000</v>
      </c>
      <c r="U535" s="28">
        <v>0</v>
      </c>
      <c r="V535" s="28">
        <v>1400</v>
      </c>
      <c r="W535" s="28">
        <v>1335</v>
      </c>
      <c r="X535" s="28">
        <v>800</v>
      </c>
      <c r="Y535" s="28">
        <v>330</v>
      </c>
      <c r="Z535" s="30">
        <v>0</v>
      </c>
      <c r="AA535" s="30">
        <v>0</v>
      </c>
      <c r="AB535" s="30">
        <v>0</v>
      </c>
      <c r="AC535" s="30">
        <v>0</v>
      </c>
      <c r="AD535" s="30">
        <v>0</v>
      </c>
      <c r="AE535" s="30">
        <v>0</v>
      </c>
      <c r="AF535" s="198">
        <v>0</v>
      </c>
      <c r="AG535" s="206">
        <v>0</v>
      </c>
      <c r="AH535" s="28">
        <v>0</v>
      </c>
      <c r="AI535" s="28">
        <v>0</v>
      </c>
      <c r="AJ535" s="28">
        <v>84</v>
      </c>
      <c r="AK535" s="28">
        <v>70</v>
      </c>
      <c r="AL535" s="202"/>
      <c r="AM535" s="197"/>
      <c r="AN535" s="28">
        <v>500</v>
      </c>
      <c r="AO535" s="28">
        <v>348</v>
      </c>
      <c r="AP535" s="28">
        <v>0</v>
      </c>
      <c r="AQ535" s="87"/>
      <c r="AR535" s="28">
        <v>0</v>
      </c>
      <c r="AS535" s="28">
        <v>0</v>
      </c>
    </row>
    <row r="536" ht="19.5" customHeight="1" hidden="1">
      <c r="A536" t="s" s="59">
        <v>1555</v>
      </c>
      <c r="B536" t="s" s="21">
        <v>550</v>
      </c>
      <c r="C536" t="s" s="59">
        <v>1149</v>
      </c>
      <c r="D536" t="s" s="190">
        <v>791</v>
      </c>
      <c r="E536" s="191"/>
      <c r="F536" t="s" s="192">
        <v>720</v>
      </c>
      <c r="G536" s="193"/>
      <c r="H536" s="194">
        <f>SUM(J536,N536)</f>
        <v>28550</v>
      </c>
      <c r="I536" s="195">
        <f>SUM(Q536,S536,U536,W536,Y536,AA536,AC536,AE536,AG536,AI536,AK536,AM536,AO536,AQ536,AS536)</f>
        <v>7812</v>
      </c>
      <c r="J536" s="23">
        <f>SUM(P536,R536,T536,V536,X536,Z536,AB536,AD536,AF536,AH536,AJ536,AL536,AN536,AP536,AR536)</f>
        <v>28550</v>
      </c>
      <c r="K536" s="36"/>
      <c r="L536" s="196"/>
      <c r="M536" s="196"/>
      <c r="N536" s="196"/>
      <c r="O536" s="197"/>
      <c r="P536" s="27">
        <v>25000</v>
      </c>
      <c r="Q536" s="27">
        <v>5830</v>
      </c>
      <c r="R536" s="28">
        <v>0</v>
      </c>
      <c r="S536" s="28">
        <v>0</v>
      </c>
      <c r="T536" s="28">
        <v>2000</v>
      </c>
      <c r="U536" s="28">
        <v>614</v>
      </c>
      <c r="V536" s="28">
        <v>1000</v>
      </c>
      <c r="W536" s="28">
        <v>891</v>
      </c>
      <c r="X536" s="28">
        <v>500</v>
      </c>
      <c r="Y536" s="28">
        <v>477</v>
      </c>
      <c r="Z536" s="30">
        <v>0</v>
      </c>
      <c r="AA536" s="30">
        <v>0</v>
      </c>
      <c r="AB536" s="30">
        <v>0</v>
      </c>
      <c r="AC536" s="30">
        <v>0</v>
      </c>
      <c r="AD536" s="30">
        <v>0</v>
      </c>
      <c r="AE536" s="30">
        <v>0</v>
      </c>
      <c r="AF536" s="198">
        <v>0</v>
      </c>
      <c r="AG536" s="206">
        <v>0</v>
      </c>
      <c r="AH536" s="87"/>
      <c r="AI536" s="28">
        <v>0</v>
      </c>
      <c r="AJ536" s="28">
        <v>0</v>
      </c>
      <c r="AK536" s="28">
        <v>0</v>
      </c>
      <c r="AL536" s="202"/>
      <c r="AM536" s="197"/>
      <c r="AN536" s="28">
        <v>50</v>
      </c>
      <c r="AO536" s="28">
        <v>0</v>
      </c>
      <c r="AP536" s="28">
        <v>0</v>
      </c>
      <c r="AQ536" s="87"/>
      <c r="AR536" s="28">
        <v>0</v>
      </c>
      <c r="AS536" s="28">
        <v>0</v>
      </c>
    </row>
    <row r="537" ht="63" customHeight="1" hidden="1">
      <c r="A537" t="s" s="303">
        <v>1556</v>
      </c>
      <c r="B537" t="s" s="88">
        <v>551</v>
      </c>
      <c r="C537" s="304"/>
      <c r="D537" s="304"/>
      <c r="E537" s="189"/>
      <c r="F537" s="182">
        <v>0</v>
      </c>
      <c r="G537" s="183"/>
      <c r="H537" s="42">
        <f>SUM(J537,N537)</f>
        <v>0</v>
      </c>
      <c r="I537" s="207">
        <f>SUM(Q537,S537,U537,W537,Y537,AA537,AC537,AE537,AG537,AI537,AK537,AM537,AO537,AQ537,AS537)</f>
        <v>0</v>
      </c>
      <c r="J537" s="43">
        <f>SUM(P537,R537,T537,V537,X537,Z537,AB537,AD537,AF537,AH537,AJ537,AL537,AN537,AP537,AR537)</f>
        <v>0</v>
      </c>
      <c r="K537" s="44"/>
      <c r="L537" s="6"/>
      <c r="M537" s="6"/>
      <c r="N537" s="14"/>
      <c r="O537" s="122"/>
      <c r="P537" s="46"/>
      <c r="Q537" s="46"/>
      <c r="R537" s="47"/>
      <c r="S537" s="47"/>
      <c r="T537" s="47"/>
      <c r="U537" s="47"/>
      <c r="V537" s="47"/>
      <c r="W537" s="47"/>
      <c r="X537" s="47"/>
      <c r="Y537" s="47"/>
      <c r="Z537" s="48">
        <v>0</v>
      </c>
      <c r="AA537" s="48">
        <v>0</v>
      </c>
      <c r="AB537" s="49"/>
      <c r="AC537" s="49"/>
      <c r="AD537" s="50"/>
      <c r="AE537" s="50"/>
      <c r="AF537" s="14"/>
      <c r="AG537" s="122"/>
      <c r="AH537" s="51">
        <v>0</v>
      </c>
      <c r="AI537" s="51">
        <v>0</v>
      </c>
      <c r="AJ537" s="47"/>
      <c r="AK537" s="47"/>
      <c r="AL537" s="14"/>
      <c r="AM537" s="122"/>
      <c r="AN537" s="47"/>
      <c r="AO537" s="47"/>
      <c r="AP537" s="47"/>
      <c r="AQ537" s="47"/>
      <c r="AR537" s="51">
        <v>0</v>
      </c>
      <c r="AS537" s="51">
        <v>0</v>
      </c>
    </row>
    <row r="538" ht="78.75" customHeight="1" hidden="1">
      <c r="A538" t="s" s="241">
        <v>1557</v>
      </c>
      <c r="B538" t="s" s="78">
        <v>552</v>
      </c>
      <c r="C538" t="s" s="241">
        <v>1558</v>
      </c>
      <c r="D538" t="s" s="242">
        <v>791</v>
      </c>
      <c r="E538" t="s" s="237">
        <v>1559</v>
      </c>
      <c r="F538" t="s" s="210">
        <v>853</v>
      </c>
      <c r="G538" s="211"/>
      <c r="H538" s="42">
        <f>SUM(J538,N538)</f>
        <v>2260</v>
      </c>
      <c r="I538" s="207">
        <f>SUM(Q538,S538,U538,W538,Y538,AA538,AC538,AE538,AG538,AI538,AK538,AM538,AO538,AQ538,AS538)</f>
        <v>210</v>
      </c>
      <c r="J538" s="43">
        <f>SUM(P538,R538,T538,V538,X538,Z538,AB538,AD538,AF538,AH538,AJ538,AL538,AN538,AP538,AR538)</f>
        <v>2260</v>
      </c>
      <c r="K538" s="44"/>
      <c r="L538" s="6"/>
      <c r="M538" s="6"/>
      <c r="N538" s="14"/>
      <c r="O538" s="122"/>
      <c r="P538" s="27">
        <v>40</v>
      </c>
      <c r="Q538" s="27">
        <v>25</v>
      </c>
      <c r="R538" s="51">
        <v>220</v>
      </c>
      <c r="S538" s="51">
        <v>0</v>
      </c>
      <c r="T538" s="51">
        <v>2000</v>
      </c>
      <c r="U538" s="51">
        <v>185</v>
      </c>
      <c r="V538" s="51">
        <v>0</v>
      </c>
      <c r="W538" s="51">
        <v>0</v>
      </c>
      <c r="X538" s="51">
        <v>0</v>
      </c>
      <c r="Y538" s="51">
        <v>0</v>
      </c>
      <c r="Z538" s="48">
        <v>0</v>
      </c>
      <c r="AA538" s="48">
        <v>0</v>
      </c>
      <c r="AB538" s="48">
        <v>0</v>
      </c>
      <c r="AC538" s="48">
        <v>0</v>
      </c>
      <c r="AD538" s="55">
        <v>0</v>
      </c>
      <c r="AE538" s="213">
        <v>0</v>
      </c>
      <c r="AF538" s="212">
        <v>0</v>
      </c>
      <c r="AG538" s="121">
        <v>0</v>
      </c>
      <c r="AH538" s="51">
        <v>0</v>
      </c>
      <c r="AI538" s="51">
        <v>0</v>
      </c>
      <c r="AJ538" s="51">
        <v>0</v>
      </c>
      <c r="AK538" s="51">
        <v>0</v>
      </c>
      <c r="AL538" s="14"/>
      <c r="AM538" s="122"/>
      <c r="AN538" s="51">
        <v>0</v>
      </c>
      <c r="AO538" s="51">
        <v>0</v>
      </c>
      <c r="AP538" s="51">
        <v>0</v>
      </c>
      <c r="AQ538" s="47"/>
      <c r="AR538" s="51">
        <v>0</v>
      </c>
      <c r="AS538" s="51">
        <v>0</v>
      </c>
    </row>
    <row r="539" ht="94.5" customHeight="1" hidden="1">
      <c r="A539" t="s" s="241">
        <v>1560</v>
      </c>
      <c r="B539" t="s" s="78">
        <v>553</v>
      </c>
      <c r="C539" t="s" s="241">
        <v>1558</v>
      </c>
      <c r="D539" t="s" s="242">
        <v>791</v>
      </c>
      <c r="E539" t="s" s="237">
        <v>1559</v>
      </c>
      <c r="F539" t="s" s="210">
        <v>853</v>
      </c>
      <c r="G539" s="211"/>
      <c r="H539" s="42">
        <f>SUM(J539,N539)</f>
        <v>2170</v>
      </c>
      <c r="I539" s="207">
        <f>SUM(Q539,S539,U539,W539,Y539,AA539,AC539,AE539,AG539,AI539,AK539,AM539,AO539,AQ539,AS539)</f>
        <v>245</v>
      </c>
      <c r="J539" s="43">
        <f>SUM(P539,R539,T539,V539,X539,Z539,AB539,AD539,AF539,AH539,AJ539,AL539,AN539,AP539,AR539)</f>
        <v>2170</v>
      </c>
      <c r="K539" s="44"/>
      <c r="L539" s="6"/>
      <c r="M539" s="6"/>
      <c r="N539" s="14"/>
      <c r="O539" s="122"/>
      <c r="P539" s="27">
        <v>0</v>
      </c>
      <c r="Q539" s="27">
        <v>0</v>
      </c>
      <c r="R539" s="51">
        <v>170</v>
      </c>
      <c r="S539" s="51">
        <v>60</v>
      </c>
      <c r="T539" s="51">
        <v>2000</v>
      </c>
      <c r="U539" s="51">
        <v>185</v>
      </c>
      <c r="V539" s="51">
        <v>0</v>
      </c>
      <c r="W539" s="51">
        <v>0</v>
      </c>
      <c r="X539" s="51">
        <v>0</v>
      </c>
      <c r="Y539" s="51">
        <v>0</v>
      </c>
      <c r="Z539" s="48">
        <v>0</v>
      </c>
      <c r="AA539" s="48">
        <v>0</v>
      </c>
      <c r="AB539" s="48">
        <v>0</v>
      </c>
      <c r="AC539" s="48">
        <v>0</v>
      </c>
      <c r="AD539" s="55">
        <v>0</v>
      </c>
      <c r="AE539" s="213">
        <v>0</v>
      </c>
      <c r="AF539" s="212">
        <v>0</v>
      </c>
      <c r="AG539" s="121">
        <v>0</v>
      </c>
      <c r="AH539" s="51">
        <v>0</v>
      </c>
      <c r="AI539" s="51">
        <v>0</v>
      </c>
      <c r="AJ539" s="51">
        <v>0</v>
      </c>
      <c r="AK539" s="51">
        <v>0</v>
      </c>
      <c r="AL539" s="14"/>
      <c r="AM539" s="122"/>
      <c r="AN539" s="51">
        <v>0</v>
      </c>
      <c r="AO539" s="51">
        <v>0</v>
      </c>
      <c r="AP539" s="51">
        <v>0</v>
      </c>
      <c r="AQ539" s="47"/>
      <c r="AR539" s="51">
        <v>0</v>
      </c>
      <c r="AS539" s="51">
        <v>0</v>
      </c>
    </row>
    <row r="540" ht="31.5" customHeight="1" hidden="1">
      <c r="A540" t="s" s="241">
        <v>1561</v>
      </c>
      <c r="B540" t="s" s="78">
        <v>554</v>
      </c>
      <c r="C540" t="s" s="241">
        <v>1562</v>
      </c>
      <c r="D540" t="s" s="242">
        <v>791</v>
      </c>
      <c r="E540" t="s" s="237">
        <v>1559</v>
      </c>
      <c r="F540" t="s" s="210">
        <v>853</v>
      </c>
      <c r="G540" s="211"/>
      <c r="H540" s="42">
        <f>SUM(J540,N540)</f>
        <v>5212</v>
      </c>
      <c r="I540" s="207">
        <f>SUM(Q540,S540,U540,W540,Y540,AA540,AC540,AE540,AG540,AI540,AK540,AM540,AO540,AQ540,AS540)</f>
        <v>3979</v>
      </c>
      <c r="J540" s="43">
        <f>SUM(P540,R540,T540,V540,X540,Z540,AB540,AD540,AF540,AH540,AJ540,AL540,AN540,AP540,AR540)</f>
        <v>5142</v>
      </c>
      <c r="K540" s="44"/>
      <c r="L540" s="6"/>
      <c r="M540" s="6"/>
      <c r="N540" s="212">
        <v>70</v>
      </c>
      <c r="O540" s="122"/>
      <c r="P540" s="27">
        <v>2500</v>
      </c>
      <c r="Q540" s="27">
        <v>1621</v>
      </c>
      <c r="R540" s="51">
        <v>1000</v>
      </c>
      <c r="S540" s="51">
        <v>871</v>
      </c>
      <c r="T540" s="51">
        <v>550</v>
      </c>
      <c r="U540" s="51">
        <v>505</v>
      </c>
      <c r="V540" s="51">
        <v>1000</v>
      </c>
      <c r="W540" s="51">
        <v>916</v>
      </c>
      <c r="X540" s="51">
        <v>70</v>
      </c>
      <c r="Y540" s="51">
        <v>61</v>
      </c>
      <c r="Z540" s="48">
        <v>0</v>
      </c>
      <c r="AA540" s="48">
        <v>0</v>
      </c>
      <c r="AB540" s="48">
        <v>0</v>
      </c>
      <c r="AC540" s="48">
        <v>0</v>
      </c>
      <c r="AD540" s="55">
        <v>0</v>
      </c>
      <c r="AE540" s="213">
        <v>0</v>
      </c>
      <c r="AF540" s="212">
        <v>10</v>
      </c>
      <c r="AG540" s="121">
        <v>5</v>
      </c>
      <c r="AH540" s="51">
        <v>0</v>
      </c>
      <c r="AI540" s="51">
        <v>0</v>
      </c>
      <c r="AJ540" s="51">
        <v>12</v>
      </c>
      <c r="AK540" s="47"/>
      <c r="AL540" s="14"/>
      <c r="AM540" s="122"/>
      <c r="AN540" s="51">
        <v>0</v>
      </c>
      <c r="AO540" s="51">
        <v>0</v>
      </c>
      <c r="AP540" s="51">
        <v>0</v>
      </c>
      <c r="AQ540" s="47"/>
      <c r="AR540" s="51">
        <v>0</v>
      </c>
      <c r="AS540" s="51">
        <v>0</v>
      </c>
    </row>
    <row r="541" ht="31.5" customHeight="1" hidden="1">
      <c r="A541" t="s" s="241">
        <v>1563</v>
      </c>
      <c r="B541" t="s" s="78">
        <v>555</v>
      </c>
      <c r="C541" t="s" s="241">
        <v>1562</v>
      </c>
      <c r="D541" t="s" s="242">
        <v>791</v>
      </c>
      <c r="E541" t="s" s="132">
        <v>1564</v>
      </c>
      <c r="F541" t="s" s="210">
        <v>853</v>
      </c>
      <c r="G541" s="211"/>
      <c r="H541" s="42">
        <f>SUM(J541,N541)</f>
        <v>3210</v>
      </c>
      <c r="I541" s="207">
        <f>SUM(Q541,S541,U541,W541,Y541,AA541,AC541,AE541,AG541,AI541,AK541,AM541,AO541,AQ541,AS541)</f>
        <v>2493</v>
      </c>
      <c r="J541" s="43">
        <f>SUM(P541,R541,T541,V541,X541,Z541,AB541,AD541,AF541,AH541,AJ541,AL541,AN541,AP541,AR541)</f>
        <v>3210</v>
      </c>
      <c r="K541" s="44"/>
      <c r="L541" s="6"/>
      <c r="M541" s="6"/>
      <c r="N541" s="14"/>
      <c r="O541" s="122"/>
      <c r="P541" s="27">
        <v>500</v>
      </c>
      <c r="Q541" s="27">
        <v>102</v>
      </c>
      <c r="R541" s="51">
        <v>2500</v>
      </c>
      <c r="S541" s="51">
        <v>2371</v>
      </c>
      <c r="T541" s="51">
        <v>100</v>
      </c>
      <c r="U541" s="51">
        <v>0</v>
      </c>
      <c r="V541" s="51">
        <v>100</v>
      </c>
      <c r="W541" s="51">
        <v>20</v>
      </c>
      <c r="X541" s="51">
        <v>0</v>
      </c>
      <c r="Y541" s="51">
        <v>0</v>
      </c>
      <c r="Z541" s="48">
        <v>0</v>
      </c>
      <c r="AA541" s="48">
        <v>0</v>
      </c>
      <c r="AB541" s="48">
        <v>0</v>
      </c>
      <c r="AC541" s="48">
        <v>0</v>
      </c>
      <c r="AD541" s="55">
        <v>0</v>
      </c>
      <c r="AE541" s="213">
        <v>0</v>
      </c>
      <c r="AF541" s="212">
        <v>0</v>
      </c>
      <c r="AG541" s="121">
        <v>0</v>
      </c>
      <c r="AH541" s="51">
        <v>0</v>
      </c>
      <c r="AI541" s="51">
        <v>0</v>
      </c>
      <c r="AJ541" s="51">
        <v>0</v>
      </c>
      <c r="AK541" s="47"/>
      <c r="AL541" s="14"/>
      <c r="AM541" s="122"/>
      <c r="AN541" s="51">
        <v>10</v>
      </c>
      <c r="AO541" s="51">
        <v>0</v>
      </c>
      <c r="AP541" s="51">
        <v>0</v>
      </c>
      <c r="AQ541" s="47"/>
      <c r="AR541" s="51">
        <v>0</v>
      </c>
      <c r="AS541" s="51">
        <v>0</v>
      </c>
    </row>
    <row r="542" ht="31.5" customHeight="1" hidden="1">
      <c r="A542" t="s" s="241">
        <v>1565</v>
      </c>
      <c r="B542" t="s" s="78">
        <v>556</v>
      </c>
      <c r="C542" t="s" s="241">
        <v>1562</v>
      </c>
      <c r="D542" t="s" s="242">
        <v>791</v>
      </c>
      <c r="E542" t="s" s="237">
        <v>1559</v>
      </c>
      <c r="F542" t="s" s="210">
        <v>853</v>
      </c>
      <c r="G542" s="211"/>
      <c r="H542" s="42">
        <f>SUM(J542,N542)</f>
        <v>2312</v>
      </c>
      <c r="I542" s="207">
        <f>SUM(Q542,S542,U542,W542,Y542,AA542,AC542,AE542,AG542,AI542,AK542,AM542,AO542,AQ542,AS542)</f>
        <v>972</v>
      </c>
      <c r="J542" s="43">
        <f>SUM(P542,R542,T542,V542,X542,Z542,AB542,AD542,AF542,AH542,AJ542,AL542,AN542,AP542,AR542)</f>
        <v>2312</v>
      </c>
      <c r="K542" s="44"/>
      <c r="L542" s="6"/>
      <c r="M542" s="6"/>
      <c r="N542" s="14"/>
      <c r="O542" s="122"/>
      <c r="P542" s="27">
        <v>0</v>
      </c>
      <c r="Q542" s="27">
        <v>0</v>
      </c>
      <c r="R542" s="51">
        <v>1000</v>
      </c>
      <c r="S542" s="51">
        <v>338</v>
      </c>
      <c r="T542" s="51">
        <v>1000</v>
      </c>
      <c r="U542" s="51">
        <v>411</v>
      </c>
      <c r="V542" s="51">
        <v>260</v>
      </c>
      <c r="W542" s="51">
        <v>223</v>
      </c>
      <c r="X542" s="51">
        <v>0</v>
      </c>
      <c r="Y542" s="51">
        <v>0</v>
      </c>
      <c r="Z542" s="48">
        <v>0</v>
      </c>
      <c r="AA542" s="48">
        <v>0</v>
      </c>
      <c r="AB542" s="48">
        <v>0</v>
      </c>
      <c r="AC542" s="48">
        <v>0</v>
      </c>
      <c r="AD542" s="55">
        <v>0</v>
      </c>
      <c r="AE542" s="213">
        <v>0</v>
      </c>
      <c r="AF542" s="212">
        <v>0</v>
      </c>
      <c r="AG542" s="121">
        <v>0</v>
      </c>
      <c r="AH542" s="51">
        <v>0</v>
      </c>
      <c r="AI542" s="51">
        <v>0</v>
      </c>
      <c r="AJ542" s="51">
        <v>2</v>
      </c>
      <c r="AK542" s="47"/>
      <c r="AL542" s="14"/>
      <c r="AM542" s="122"/>
      <c r="AN542" s="51">
        <v>50</v>
      </c>
      <c r="AO542" s="51">
        <v>0</v>
      </c>
      <c r="AP542" s="51">
        <v>0</v>
      </c>
      <c r="AQ542" s="47"/>
      <c r="AR542" s="51">
        <v>0</v>
      </c>
      <c r="AS542" s="51">
        <v>0</v>
      </c>
    </row>
    <row r="543" ht="9" customHeight="1" hidden="1">
      <c r="A543" t="s" s="241">
        <v>1566</v>
      </c>
      <c r="B543" t="s" s="78">
        <v>557</v>
      </c>
      <c r="C543" t="s" s="241">
        <v>1562</v>
      </c>
      <c r="D543" t="s" s="242">
        <v>791</v>
      </c>
      <c r="E543" t="s" s="237">
        <v>1559</v>
      </c>
      <c r="F543" t="s" s="210">
        <v>853</v>
      </c>
      <c r="G543" s="211"/>
      <c r="H543" s="42">
        <f>SUM(J543,N543)</f>
        <v>2989</v>
      </c>
      <c r="I543" s="207">
        <f>SUM(Q543,S543,U543,W543,Y543,AA543,AC543,AE543,AG543,AI543,AK543,AM543,AO543,AQ543,AS543)</f>
        <v>1628</v>
      </c>
      <c r="J543" s="43">
        <f>SUM(P543,R543,T543,V543,X543,Z543,AB543,AD543,AF543,AH543,AJ543,AL543,AN543,AP543,AR543)</f>
        <v>2989</v>
      </c>
      <c r="K543" s="44"/>
      <c r="L543" s="6"/>
      <c r="M543" s="6"/>
      <c r="N543" s="14"/>
      <c r="O543" s="122"/>
      <c r="P543" s="27">
        <v>300</v>
      </c>
      <c r="Q543" s="27">
        <v>0</v>
      </c>
      <c r="R543" s="51">
        <v>2000</v>
      </c>
      <c r="S543" s="51">
        <v>927</v>
      </c>
      <c r="T543" s="51">
        <v>350</v>
      </c>
      <c r="U543" s="51">
        <v>304</v>
      </c>
      <c r="V543" s="51">
        <v>300</v>
      </c>
      <c r="W543" s="51">
        <v>391</v>
      </c>
      <c r="X543" s="51">
        <v>0</v>
      </c>
      <c r="Y543" s="51">
        <v>0</v>
      </c>
      <c r="Z543" s="48">
        <v>0</v>
      </c>
      <c r="AA543" s="48">
        <v>0</v>
      </c>
      <c r="AB543" s="48">
        <v>0</v>
      </c>
      <c r="AC543" s="48">
        <v>0</v>
      </c>
      <c r="AD543" s="55">
        <v>0</v>
      </c>
      <c r="AE543" s="213">
        <v>0</v>
      </c>
      <c r="AF543" s="212">
        <v>0</v>
      </c>
      <c r="AG543" s="121">
        <v>0</v>
      </c>
      <c r="AH543" s="51">
        <v>0</v>
      </c>
      <c r="AI543" s="51">
        <v>0</v>
      </c>
      <c r="AJ543" s="51">
        <v>2</v>
      </c>
      <c r="AK543" s="47"/>
      <c r="AL543" s="73">
        <v>12</v>
      </c>
      <c r="AM543" s="73">
        <v>6</v>
      </c>
      <c r="AN543" s="51">
        <v>25</v>
      </c>
      <c r="AO543" s="51">
        <v>0</v>
      </c>
      <c r="AP543" s="51">
        <v>0</v>
      </c>
      <c r="AQ543" s="47"/>
      <c r="AR543" s="51">
        <v>0</v>
      </c>
      <c r="AS543" s="51">
        <v>0</v>
      </c>
    </row>
    <row r="544" ht="9" customHeight="1" hidden="1">
      <c r="A544" t="s" s="241">
        <v>1567</v>
      </c>
      <c r="B544" t="s" s="78">
        <v>558</v>
      </c>
      <c r="C544" t="s" s="241">
        <v>1562</v>
      </c>
      <c r="D544" t="s" s="242">
        <v>791</v>
      </c>
      <c r="E544" t="s" s="237">
        <v>1559</v>
      </c>
      <c r="F544" s="247"/>
      <c r="G544" s="211"/>
      <c r="H544" s="42">
        <f>SUM(J544,N544)</f>
        <v>4725</v>
      </c>
      <c r="I544" s="207">
        <f>SUM(Q544,S544,U544,W544,Y544,AA544,AC544,AE544,AG544,AI544,AK544,AM544,AO544,AQ544,AS544)</f>
        <v>2389</v>
      </c>
      <c r="J544" s="43">
        <f>SUM(P544,R544,T544,V544,X544,Z544,AB544,AD544,AF544,AH544,AJ544,AL544,AN544,AP544,AR544)</f>
        <v>4725</v>
      </c>
      <c r="K544" s="44"/>
      <c r="L544" s="6"/>
      <c r="M544" s="6"/>
      <c r="N544" s="14"/>
      <c r="O544" s="122"/>
      <c r="P544" s="27">
        <v>2000</v>
      </c>
      <c r="Q544" s="27">
        <v>1072</v>
      </c>
      <c r="R544" s="51">
        <v>1500</v>
      </c>
      <c r="S544" s="51">
        <v>0</v>
      </c>
      <c r="T544" s="51">
        <v>900</v>
      </c>
      <c r="U544" s="51">
        <v>800</v>
      </c>
      <c r="V544" s="51">
        <v>300</v>
      </c>
      <c r="W544" s="51">
        <v>517</v>
      </c>
      <c r="X544" s="51">
        <v>0</v>
      </c>
      <c r="Y544" s="51">
        <v>0</v>
      </c>
      <c r="Z544" s="48">
        <v>0</v>
      </c>
      <c r="AA544" s="48">
        <v>0</v>
      </c>
      <c r="AB544" s="48">
        <v>0</v>
      </c>
      <c r="AC544" s="48">
        <v>0</v>
      </c>
      <c r="AD544" s="55">
        <v>0</v>
      </c>
      <c r="AE544" s="213">
        <v>0</v>
      </c>
      <c r="AF544" s="212">
        <v>0</v>
      </c>
      <c r="AG544" s="121">
        <v>0</v>
      </c>
      <c r="AH544" s="51">
        <v>0</v>
      </c>
      <c r="AI544" s="51">
        <v>0</v>
      </c>
      <c r="AJ544" s="51">
        <v>0</v>
      </c>
      <c r="AK544" s="47"/>
      <c r="AL544" s="14"/>
      <c r="AM544" s="122"/>
      <c r="AN544" s="51">
        <v>25</v>
      </c>
      <c r="AO544" s="51">
        <v>0</v>
      </c>
      <c r="AP544" s="51">
        <v>0</v>
      </c>
      <c r="AQ544" s="47"/>
      <c r="AR544" s="51">
        <v>0</v>
      </c>
      <c r="AS544" s="51">
        <v>0</v>
      </c>
    </row>
    <row r="545" ht="9" customHeight="1" hidden="1">
      <c r="A545" t="s" s="305">
        <v>1568</v>
      </c>
      <c r="B545" t="s" s="78">
        <v>559</v>
      </c>
      <c r="C545" t="s" s="241">
        <v>1558</v>
      </c>
      <c r="D545" t="s" s="242">
        <v>791</v>
      </c>
      <c r="E545" t="s" s="237">
        <v>1559</v>
      </c>
      <c r="F545" t="s" s="210">
        <v>853</v>
      </c>
      <c r="G545" s="211"/>
      <c r="H545" s="42">
        <f>SUM(J545,N545)</f>
        <v>280</v>
      </c>
      <c r="I545" s="207">
        <f>SUM(Q545,S545,U545,W545,Y545,AA545,AC545,AE545,AG545,AI545,AK545,AM545,AO545,AQ545,AS545)</f>
        <v>0</v>
      </c>
      <c r="J545" s="43">
        <f>SUM(P545,R545,T545,V545,X545,Z545,AB545,AD545,AF545,AH545,AJ545,AL545,AN545,AP545,AR545)</f>
        <v>280</v>
      </c>
      <c r="K545" s="44"/>
      <c r="L545" s="6"/>
      <c r="M545" s="6"/>
      <c r="N545" s="14"/>
      <c r="O545" s="122"/>
      <c r="P545" s="27">
        <v>0</v>
      </c>
      <c r="Q545" s="27">
        <v>0</v>
      </c>
      <c r="R545" s="51">
        <v>80</v>
      </c>
      <c r="S545" s="51">
        <v>0</v>
      </c>
      <c r="T545" s="51">
        <v>100</v>
      </c>
      <c r="U545" s="51">
        <v>0</v>
      </c>
      <c r="V545" s="51">
        <v>100</v>
      </c>
      <c r="W545" s="51">
        <v>0</v>
      </c>
      <c r="X545" s="51">
        <v>0</v>
      </c>
      <c r="Y545" s="51">
        <v>0</v>
      </c>
      <c r="Z545" s="48">
        <v>0</v>
      </c>
      <c r="AA545" s="48">
        <v>0</v>
      </c>
      <c r="AB545" s="48">
        <v>0</v>
      </c>
      <c r="AC545" s="48">
        <v>0</v>
      </c>
      <c r="AD545" s="55">
        <v>0</v>
      </c>
      <c r="AE545" s="213">
        <v>0</v>
      </c>
      <c r="AF545" s="212">
        <v>0</v>
      </c>
      <c r="AG545" s="121">
        <v>0</v>
      </c>
      <c r="AH545" s="51">
        <v>0</v>
      </c>
      <c r="AI545" s="51">
        <v>0</v>
      </c>
      <c r="AJ545" s="51">
        <v>0</v>
      </c>
      <c r="AK545" s="47"/>
      <c r="AL545" s="14"/>
      <c r="AM545" s="122"/>
      <c r="AN545" s="51">
        <v>0</v>
      </c>
      <c r="AO545" s="51">
        <v>0</v>
      </c>
      <c r="AP545" s="51">
        <v>0</v>
      </c>
      <c r="AQ545" s="47"/>
      <c r="AR545" s="51">
        <v>0</v>
      </c>
      <c r="AS545" s="51">
        <v>0</v>
      </c>
    </row>
    <row r="546" ht="63" customHeight="1" hidden="1">
      <c r="A546" t="s" s="305">
        <v>1569</v>
      </c>
      <c r="B546" t="s" s="78">
        <v>560</v>
      </c>
      <c r="C546" t="s" s="241">
        <v>1558</v>
      </c>
      <c r="D546" t="s" s="242">
        <v>791</v>
      </c>
      <c r="E546" t="s" s="237">
        <v>1559</v>
      </c>
      <c r="F546" t="s" s="210">
        <v>853</v>
      </c>
      <c r="G546" s="211"/>
      <c r="H546" s="42">
        <f>SUM(J546,N546)</f>
        <v>600</v>
      </c>
      <c r="I546" s="207">
        <f>SUM(Q546,S546,U546,W546,Y546,AA546,AC546,AE546,AG546,AI546,AK546,AM546,AO546,AQ546,AS546)</f>
        <v>350</v>
      </c>
      <c r="J546" s="43">
        <f>SUM(P546,R546,T546,V546,X546,Z546,AB546,AD546,AF546,AH546,AJ546,AL546,AN546,AP546,AR546)</f>
        <v>600</v>
      </c>
      <c r="K546" s="44"/>
      <c r="L546" s="6"/>
      <c r="M546" s="6"/>
      <c r="N546" s="14"/>
      <c r="O546" s="122"/>
      <c r="P546" s="27">
        <v>0</v>
      </c>
      <c r="Q546" s="27">
        <v>0</v>
      </c>
      <c r="R546" s="51">
        <v>400</v>
      </c>
      <c r="S546" s="51">
        <v>350</v>
      </c>
      <c r="T546" s="51">
        <v>100</v>
      </c>
      <c r="U546" s="51">
        <v>0</v>
      </c>
      <c r="V546" s="51">
        <v>100</v>
      </c>
      <c r="W546" s="51">
        <v>0</v>
      </c>
      <c r="X546" s="51">
        <v>0</v>
      </c>
      <c r="Y546" s="51">
        <v>0</v>
      </c>
      <c r="Z546" s="48">
        <v>0</v>
      </c>
      <c r="AA546" s="48">
        <v>0</v>
      </c>
      <c r="AB546" s="48">
        <v>0</v>
      </c>
      <c r="AC546" s="48">
        <v>0</v>
      </c>
      <c r="AD546" s="55">
        <v>0</v>
      </c>
      <c r="AE546" s="213">
        <v>0</v>
      </c>
      <c r="AF546" s="212">
        <v>0</v>
      </c>
      <c r="AG546" s="121">
        <v>0</v>
      </c>
      <c r="AH546" s="51">
        <v>0</v>
      </c>
      <c r="AI546" s="51">
        <v>0</v>
      </c>
      <c r="AJ546" s="51">
        <v>0</v>
      </c>
      <c r="AK546" s="47"/>
      <c r="AL546" s="14"/>
      <c r="AM546" s="122"/>
      <c r="AN546" s="51">
        <v>0</v>
      </c>
      <c r="AO546" s="51">
        <v>0</v>
      </c>
      <c r="AP546" s="51">
        <v>0</v>
      </c>
      <c r="AQ546" s="47"/>
      <c r="AR546" s="51">
        <v>0</v>
      </c>
      <c r="AS546" s="51">
        <v>0</v>
      </c>
    </row>
    <row r="547" ht="63" customHeight="1" hidden="1">
      <c r="A547" t="s" s="305">
        <v>1570</v>
      </c>
      <c r="B547" t="s" s="78">
        <v>561</v>
      </c>
      <c r="C547" t="s" s="241">
        <v>1558</v>
      </c>
      <c r="D547" t="s" s="242">
        <v>791</v>
      </c>
      <c r="E547" t="s" s="237">
        <v>1559</v>
      </c>
      <c r="F547" t="s" s="210">
        <v>853</v>
      </c>
      <c r="G547" s="211"/>
      <c r="H547" s="42">
        <f>SUM(J547,N547)</f>
        <v>920</v>
      </c>
      <c r="I547" s="207">
        <f>SUM(Q547,S547,U547,W547,Y547,AA547,AC547,AE547,AG547,AI547,AK547,AM547,AO547,AQ547,AS547)</f>
        <v>672</v>
      </c>
      <c r="J547" s="43">
        <f>SUM(P547,R547,T547,V547,X547,Z547,AB547,AD547,AF547,AH547,AJ547,AL547,AN547,AP547,AR547)</f>
        <v>920</v>
      </c>
      <c r="K547" s="44"/>
      <c r="L547" s="6"/>
      <c r="M547" s="6"/>
      <c r="N547" s="14"/>
      <c r="O547" s="122"/>
      <c r="P547" s="27">
        <v>0</v>
      </c>
      <c r="Q547" s="27">
        <v>0</v>
      </c>
      <c r="R547" s="51">
        <v>800</v>
      </c>
      <c r="S547" s="51">
        <v>672</v>
      </c>
      <c r="T547" s="51">
        <v>100</v>
      </c>
      <c r="U547" s="51">
        <v>0</v>
      </c>
      <c r="V547" s="51">
        <v>20</v>
      </c>
      <c r="W547" s="51">
        <v>0</v>
      </c>
      <c r="X547" s="51">
        <v>0</v>
      </c>
      <c r="Y547" s="51">
        <v>0</v>
      </c>
      <c r="Z547" s="48">
        <v>0</v>
      </c>
      <c r="AA547" s="48">
        <v>0</v>
      </c>
      <c r="AB547" s="48">
        <v>0</v>
      </c>
      <c r="AC547" s="48">
        <v>0</v>
      </c>
      <c r="AD547" s="55">
        <v>0</v>
      </c>
      <c r="AE547" s="213">
        <v>0</v>
      </c>
      <c r="AF547" s="212">
        <v>0</v>
      </c>
      <c r="AG547" s="121">
        <v>0</v>
      </c>
      <c r="AH547" s="51">
        <v>0</v>
      </c>
      <c r="AI547" s="51">
        <v>0</v>
      </c>
      <c r="AJ547" s="51">
        <v>0</v>
      </c>
      <c r="AK547" s="47"/>
      <c r="AL547" s="14"/>
      <c r="AM547" s="122"/>
      <c r="AN547" s="51">
        <v>0</v>
      </c>
      <c r="AO547" s="51">
        <v>0</v>
      </c>
      <c r="AP547" s="51">
        <v>0</v>
      </c>
      <c r="AQ547" s="47"/>
      <c r="AR547" s="51">
        <v>0</v>
      </c>
      <c r="AS547" s="51">
        <v>0</v>
      </c>
    </row>
    <row r="548" ht="63" customHeight="1" hidden="1">
      <c r="A548" t="s" s="305">
        <v>1571</v>
      </c>
      <c r="B548" t="s" s="78">
        <v>562</v>
      </c>
      <c r="C548" t="s" s="241">
        <v>1558</v>
      </c>
      <c r="D548" t="s" s="242">
        <v>791</v>
      </c>
      <c r="E548" t="s" s="237">
        <v>1559</v>
      </c>
      <c r="F548" t="s" s="210">
        <v>853</v>
      </c>
      <c r="G548" s="211"/>
      <c r="H548" s="42">
        <f>SUM(J548,N548)</f>
        <v>270</v>
      </c>
      <c r="I548" s="207">
        <f>SUM(Q548,S548,U548,W548,Y548,AA548,AC548,AE548,AG548,AI548,AK548,AM548,AO548,AQ548,AS548)</f>
        <v>0</v>
      </c>
      <c r="J548" s="43">
        <f>SUM(P548,R548,T548,V548,X548,Z548,AB548,AD548,AF548,AH548,AJ548,AL548,AN548,AP548,AR548)</f>
        <v>270</v>
      </c>
      <c r="K548" s="44"/>
      <c r="L548" s="6"/>
      <c r="M548" s="6"/>
      <c r="N548" s="14"/>
      <c r="O548" s="122"/>
      <c r="P548" s="27">
        <v>0</v>
      </c>
      <c r="Q548" s="27">
        <v>0</v>
      </c>
      <c r="R548" s="51">
        <v>150</v>
      </c>
      <c r="S548" s="51">
        <v>0</v>
      </c>
      <c r="T548" s="51">
        <v>100</v>
      </c>
      <c r="U548" s="51">
        <v>0</v>
      </c>
      <c r="V548" s="51">
        <v>20</v>
      </c>
      <c r="W548" s="51">
        <v>0</v>
      </c>
      <c r="X548" s="51">
        <v>0</v>
      </c>
      <c r="Y548" s="51">
        <v>0</v>
      </c>
      <c r="Z548" s="48">
        <v>0</v>
      </c>
      <c r="AA548" s="48">
        <v>0</v>
      </c>
      <c r="AB548" s="48">
        <v>0</v>
      </c>
      <c r="AC548" s="48">
        <v>0</v>
      </c>
      <c r="AD548" s="55">
        <v>0</v>
      </c>
      <c r="AE548" s="213">
        <v>0</v>
      </c>
      <c r="AF548" s="212">
        <v>0</v>
      </c>
      <c r="AG548" s="121">
        <v>0</v>
      </c>
      <c r="AH548" s="51">
        <v>0</v>
      </c>
      <c r="AI548" s="51">
        <v>0</v>
      </c>
      <c r="AJ548" s="51">
        <v>0</v>
      </c>
      <c r="AK548" s="47"/>
      <c r="AL548" s="14"/>
      <c r="AM548" s="122"/>
      <c r="AN548" s="51">
        <v>0</v>
      </c>
      <c r="AO548" s="51">
        <v>0</v>
      </c>
      <c r="AP548" s="51">
        <v>0</v>
      </c>
      <c r="AQ548" s="47"/>
      <c r="AR548" s="51">
        <v>0</v>
      </c>
      <c r="AS548" s="51">
        <v>0</v>
      </c>
    </row>
    <row r="549" ht="78.75" customHeight="1" hidden="1">
      <c r="A549" t="s" s="305">
        <v>1572</v>
      </c>
      <c r="B549" t="s" s="78">
        <v>563</v>
      </c>
      <c r="C549" t="s" s="241">
        <v>1558</v>
      </c>
      <c r="D549" t="s" s="242">
        <v>791</v>
      </c>
      <c r="E549" t="s" s="237">
        <v>1559</v>
      </c>
      <c r="F549" t="s" s="210">
        <v>853</v>
      </c>
      <c r="G549" s="211"/>
      <c r="H549" s="42">
        <f>SUM(J549,N549)</f>
        <v>2420</v>
      </c>
      <c r="I549" s="207">
        <f>SUM(Q549,S549,U549,W549,Y549,AA549,AC549,AE549,AG549,AI549,AK549,AM549,AO549,AQ549,AS549)</f>
        <v>951</v>
      </c>
      <c r="J549" s="43">
        <f>SUM(P549,R549,T549,V549,X549,Z549,AB549,AD549,AF549,AH549,AJ549,AL549,AN549,AP549,AR549)</f>
        <v>2420</v>
      </c>
      <c r="K549" s="44"/>
      <c r="L549" s="6"/>
      <c r="M549" s="6"/>
      <c r="N549" s="14"/>
      <c r="O549" s="122"/>
      <c r="P549" s="27">
        <v>0</v>
      </c>
      <c r="Q549" s="27">
        <v>0</v>
      </c>
      <c r="R549" s="51">
        <v>600</v>
      </c>
      <c r="S549" s="51">
        <v>0</v>
      </c>
      <c r="T549" s="51">
        <v>1800</v>
      </c>
      <c r="U549" s="51">
        <v>951</v>
      </c>
      <c r="V549" s="51">
        <v>20</v>
      </c>
      <c r="W549" s="51">
        <v>0</v>
      </c>
      <c r="X549" s="51">
        <v>0</v>
      </c>
      <c r="Y549" s="51">
        <v>0</v>
      </c>
      <c r="Z549" s="48">
        <v>0</v>
      </c>
      <c r="AA549" s="48">
        <v>0</v>
      </c>
      <c r="AB549" s="48">
        <v>0</v>
      </c>
      <c r="AC549" s="48">
        <v>0</v>
      </c>
      <c r="AD549" s="55">
        <v>0</v>
      </c>
      <c r="AE549" s="213">
        <v>0</v>
      </c>
      <c r="AF549" s="212">
        <v>0</v>
      </c>
      <c r="AG549" s="121">
        <v>0</v>
      </c>
      <c r="AH549" s="51">
        <v>0</v>
      </c>
      <c r="AI549" s="51">
        <v>0</v>
      </c>
      <c r="AJ549" s="51">
        <v>0</v>
      </c>
      <c r="AK549" s="47"/>
      <c r="AL549" s="14"/>
      <c r="AM549" s="122"/>
      <c r="AN549" s="51">
        <v>0</v>
      </c>
      <c r="AO549" s="51">
        <v>0</v>
      </c>
      <c r="AP549" s="51">
        <v>0</v>
      </c>
      <c r="AQ549" s="47"/>
      <c r="AR549" s="51">
        <v>0</v>
      </c>
      <c r="AS549" s="51">
        <v>0</v>
      </c>
    </row>
    <row r="550" ht="78.75" customHeight="1" hidden="1">
      <c r="A550" t="s" s="305">
        <v>1573</v>
      </c>
      <c r="B550" t="s" s="78">
        <v>564</v>
      </c>
      <c r="C550" t="s" s="241">
        <v>1558</v>
      </c>
      <c r="D550" t="s" s="242">
        <v>791</v>
      </c>
      <c r="E550" t="s" s="237">
        <v>1559</v>
      </c>
      <c r="F550" t="s" s="210">
        <v>853</v>
      </c>
      <c r="G550" s="211"/>
      <c r="H550" s="42">
        <f>SUM(J550,N550)</f>
        <v>780</v>
      </c>
      <c r="I550" s="207">
        <f>SUM(Q550,S550,U550,W550,Y550,AA550,AC550,AE550,AG550,AI550,AK550,AM550,AO550,AQ550,AS550)</f>
        <v>100</v>
      </c>
      <c r="J550" s="43">
        <f>SUM(P550,R550,T550,V550,X550,Z550,AB550,AD550,AF550,AH550,AJ550,AL550,AN550,AP550,AR550)</f>
        <v>780</v>
      </c>
      <c r="K550" s="44"/>
      <c r="L550" s="6"/>
      <c r="M550" s="6"/>
      <c r="N550" s="14"/>
      <c r="O550" s="122"/>
      <c r="P550" s="27">
        <v>0</v>
      </c>
      <c r="Q550" s="27">
        <v>0</v>
      </c>
      <c r="R550" s="51">
        <v>80</v>
      </c>
      <c r="S550" s="51">
        <v>0</v>
      </c>
      <c r="T550" s="51">
        <v>600</v>
      </c>
      <c r="U550" s="51">
        <v>100</v>
      </c>
      <c r="V550" s="51">
        <v>100</v>
      </c>
      <c r="W550" s="51">
        <v>0</v>
      </c>
      <c r="X550" s="51">
        <v>0</v>
      </c>
      <c r="Y550" s="51">
        <v>0</v>
      </c>
      <c r="Z550" s="48">
        <v>0</v>
      </c>
      <c r="AA550" s="48">
        <v>0</v>
      </c>
      <c r="AB550" s="48">
        <v>0</v>
      </c>
      <c r="AC550" s="48">
        <v>0</v>
      </c>
      <c r="AD550" s="55">
        <v>0</v>
      </c>
      <c r="AE550" s="213">
        <v>0</v>
      </c>
      <c r="AF550" s="212">
        <v>0</v>
      </c>
      <c r="AG550" s="121">
        <v>0</v>
      </c>
      <c r="AH550" s="51">
        <v>0</v>
      </c>
      <c r="AI550" s="51">
        <v>0</v>
      </c>
      <c r="AJ550" s="51">
        <v>0</v>
      </c>
      <c r="AK550" s="47"/>
      <c r="AL550" s="14"/>
      <c r="AM550" s="122"/>
      <c r="AN550" s="51">
        <v>0</v>
      </c>
      <c r="AO550" s="51">
        <v>0</v>
      </c>
      <c r="AP550" s="51">
        <v>0</v>
      </c>
      <c r="AQ550" s="47"/>
      <c r="AR550" s="51">
        <v>0</v>
      </c>
      <c r="AS550" s="51">
        <v>0</v>
      </c>
    </row>
    <row r="551" ht="31.5" customHeight="1" hidden="1">
      <c r="A551" t="s" s="88">
        <v>1574</v>
      </c>
      <c r="B551" t="s" s="88">
        <v>565</v>
      </c>
      <c r="C551" s="228"/>
      <c r="D551" s="228"/>
      <c r="E551" s="189"/>
      <c r="F551" s="182">
        <v>0</v>
      </c>
      <c r="G551" s="183"/>
      <c r="H551" s="42">
        <f>SUM(J551,N551)</f>
        <v>0</v>
      </c>
      <c r="I551" s="207">
        <f>SUM(Q551,S551,U551,W551,Y551,AA551,AC551,AE551,AG551,AI551,AK551,AM551,AO551,AQ551,AS551)</f>
        <v>0</v>
      </c>
      <c r="J551" s="43">
        <f>SUM(P551,R551,T551,V551,X551,Z551,AB551,AD551,AF551,AH551,AJ551,AL551,AN551,AP551,AR551)</f>
        <v>0</v>
      </c>
      <c r="K551" s="44"/>
      <c r="L551" s="6"/>
      <c r="M551" s="6"/>
      <c r="N551" s="14"/>
      <c r="O551" s="122"/>
      <c r="P551" s="46"/>
      <c r="Q551" s="46"/>
      <c r="R551" s="47"/>
      <c r="S551" s="47"/>
      <c r="T551" s="47"/>
      <c r="U551" s="47"/>
      <c r="V551" s="47"/>
      <c r="W551" s="47"/>
      <c r="X551" s="47"/>
      <c r="Y551" s="47"/>
      <c r="Z551" s="48">
        <v>0</v>
      </c>
      <c r="AA551" s="48">
        <v>0</v>
      </c>
      <c r="AB551" s="49"/>
      <c r="AC551" s="49"/>
      <c r="AD551" s="50"/>
      <c r="AE551" s="50"/>
      <c r="AF551" s="14"/>
      <c r="AG551" s="122"/>
      <c r="AH551" s="51">
        <v>0</v>
      </c>
      <c r="AI551" s="51">
        <v>0</v>
      </c>
      <c r="AJ551" s="51">
        <v>0</v>
      </c>
      <c r="AK551" s="47"/>
      <c r="AL551" s="14"/>
      <c r="AM551" s="122"/>
      <c r="AN551" s="47"/>
      <c r="AO551" s="47"/>
      <c r="AP551" s="47"/>
      <c r="AQ551" s="47"/>
      <c r="AR551" s="51">
        <v>0</v>
      </c>
      <c r="AS551" s="51">
        <v>0</v>
      </c>
    </row>
    <row r="552" ht="19.5" customHeight="1" hidden="1">
      <c r="A552" t="s" s="59">
        <v>1575</v>
      </c>
      <c r="B552" t="s" s="21">
        <v>566</v>
      </c>
      <c r="C552" t="s" s="59">
        <v>1149</v>
      </c>
      <c r="D552" s="246"/>
      <c r="E552" s="191"/>
      <c r="F552" t="s" s="192">
        <v>720</v>
      </c>
      <c r="G552" s="193"/>
      <c r="H552" s="194">
        <f>SUM(J552,N552)</f>
        <v>2530</v>
      </c>
      <c r="I552" s="195">
        <f>SUM(Q552,S552,U552,W552,Y552,AA552,AC552,AE552,AG552,AI552,AK552,AM552,AO552,AQ552,AS552)</f>
        <v>111</v>
      </c>
      <c r="J552" s="23">
        <f>SUM(P552,R552,T552,V552,X552,Z552,AB552,AD552,AF552,AH552,AJ552,AL552,AN552,AP552,AR552)</f>
        <v>2530</v>
      </c>
      <c r="K552" s="36"/>
      <c r="L552" s="196"/>
      <c r="M552" s="196"/>
      <c r="N552" s="196"/>
      <c r="O552" s="197"/>
      <c r="P552" s="27">
        <v>2000</v>
      </c>
      <c r="Q552" s="27">
        <v>95</v>
      </c>
      <c r="R552" s="28">
        <v>50</v>
      </c>
      <c r="S552" s="28">
        <v>0</v>
      </c>
      <c r="T552" s="28">
        <v>360</v>
      </c>
      <c r="U552" s="28">
        <v>0</v>
      </c>
      <c r="V552" s="28">
        <v>50</v>
      </c>
      <c r="W552" s="28">
        <v>0</v>
      </c>
      <c r="X552" s="28">
        <v>50</v>
      </c>
      <c r="Y552" s="28">
        <v>0</v>
      </c>
      <c r="Z552" s="30">
        <v>0</v>
      </c>
      <c r="AA552" s="30">
        <v>0</v>
      </c>
      <c r="AB552" s="30">
        <v>0</v>
      </c>
      <c r="AC552" s="30">
        <v>0</v>
      </c>
      <c r="AD552" s="30">
        <v>0</v>
      </c>
      <c r="AE552" s="30">
        <v>0</v>
      </c>
      <c r="AF552" s="198">
        <v>0</v>
      </c>
      <c r="AG552" s="206">
        <v>0</v>
      </c>
      <c r="AH552" s="28">
        <v>0</v>
      </c>
      <c r="AI552" s="28">
        <v>0</v>
      </c>
      <c r="AJ552" s="28">
        <v>0</v>
      </c>
      <c r="AK552" s="28">
        <v>0</v>
      </c>
      <c r="AL552" s="202"/>
      <c r="AM552" s="197"/>
      <c r="AN552" s="28">
        <v>20</v>
      </c>
      <c r="AO552" s="28">
        <v>16</v>
      </c>
      <c r="AP552" s="28">
        <v>0</v>
      </c>
      <c r="AQ552" s="87"/>
      <c r="AR552" s="28">
        <v>0</v>
      </c>
      <c r="AS552" s="28">
        <v>0</v>
      </c>
    </row>
    <row r="553" ht="31.5" customHeight="1" hidden="1">
      <c r="A553" t="s" s="88">
        <v>1576</v>
      </c>
      <c r="B553" t="s" s="88">
        <v>567</v>
      </c>
      <c r="C553" s="228"/>
      <c r="D553" s="228"/>
      <c r="E553" s="189"/>
      <c r="F553" s="182">
        <v>0</v>
      </c>
      <c r="G553" s="183"/>
      <c r="H553" s="42">
        <f>SUM(J553,N553)</f>
        <v>0</v>
      </c>
      <c r="I553" s="207">
        <f>SUM(Q553,S553,U553,W553,Y553,AA553,AC553,AE553,AG553,AI553,AK553,AM553,AO553,AQ553,AS553)</f>
        <v>0</v>
      </c>
      <c r="J553" s="43">
        <f>SUM(P553,R553,T553,V553,X553,Z553,AB553,AD553,AF553,AH553,AJ553,AL553,AN553,AP553,AR553)</f>
        <v>0</v>
      </c>
      <c r="K553" s="44"/>
      <c r="L553" s="6"/>
      <c r="M553" s="6"/>
      <c r="N553" s="14"/>
      <c r="O553" s="122"/>
      <c r="P553" s="46"/>
      <c r="Q553" s="46"/>
      <c r="R553" s="47"/>
      <c r="S553" s="47"/>
      <c r="T553" s="47"/>
      <c r="U553" s="47"/>
      <c r="V553" s="47"/>
      <c r="W553" s="47"/>
      <c r="X553" s="47"/>
      <c r="Y553" s="47"/>
      <c r="Z553" s="48">
        <v>0</v>
      </c>
      <c r="AA553" s="48">
        <v>0</v>
      </c>
      <c r="AB553" s="49"/>
      <c r="AC553" s="49"/>
      <c r="AD553" s="50"/>
      <c r="AE553" s="50"/>
      <c r="AF553" s="14"/>
      <c r="AG553" s="122"/>
      <c r="AH553" s="51">
        <v>0</v>
      </c>
      <c r="AI553" s="51">
        <v>0</v>
      </c>
      <c r="AJ553" s="51">
        <v>0</v>
      </c>
      <c r="AK553" s="47"/>
      <c r="AL553" s="14"/>
      <c r="AM553" s="122"/>
      <c r="AN553" s="47"/>
      <c r="AO553" s="47"/>
      <c r="AP553" s="47"/>
      <c r="AQ553" s="47"/>
      <c r="AR553" s="51">
        <v>0</v>
      </c>
      <c r="AS553" s="51">
        <v>0</v>
      </c>
    </row>
    <row r="554" ht="19.5" customHeight="1" hidden="1">
      <c r="A554" t="s" s="59">
        <v>1577</v>
      </c>
      <c r="B554" t="s" s="21">
        <v>568</v>
      </c>
      <c r="C554" t="s" s="59">
        <v>1149</v>
      </c>
      <c r="D554" t="s" s="190">
        <v>801</v>
      </c>
      <c r="E554" s="215">
        <v>731</v>
      </c>
      <c r="F554" t="s" s="192">
        <v>720</v>
      </c>
      <c r="G554" s="193"/>
      <c r="H554" s="194">
        <f>SUM(J554,N554)</f>
        <v>12950</v>
      </c>
      <c r="I554" s="195">
        <f>SUM(Q554,S554,U554,W554,Y554,AA554,AC554,AE554,AG554,AI554,AK554,AM554,AO554,AQ554,AS554)</f>
        <v>6144</v>
      </c>
      <c r="J554" s="23">
        <f>SUM(P554,R554,T554,V554,X554,Z554,AB554,AD554,AF554,AH554,AJ554,AL554,AN554,AP554,AR554)</f>
        <v>12950</v>
      </c>
      <c r="K554" s="36"/>
      <c r="L554" s="196"/>
      <c r="M554" s="196"/>
      <c r="N554" s="196"/>
      <c r="O554" s="197"/>
      <c r="P554" s="27">
        <v>2000</v>
      </c>
      <c r="Q554" s="27">
        <v>689</v>
      </c>
      <c r="R554" s="28">
        <v>0</v>
      </c>
      <c r="S554" s="28">
        <v>0</v>
      </c>
      <c r="T554" s="28">
        <v>800</v>
      </c>
      <c r="U554" s="28">
        <v>81</v>
      </c>
      <c r="V554" s="28">
        <v>100</v>
      </c>
      <c r="W554" s="28">
        <v>0</v>
      </c>
      <c r="X554" s="28">
        <v>0</v>
      </c>
      <c r="Y554" s="28">
        <v>50</v>
      </c>
      <c r="Z554" s="30">
        <v>6050</v>
      </c>
      <c r="AA554" s="30">
        <v>4258</v>
      </c>
      <c r="AB554" s="30">
        <v>975</v>
      </c>
      <c r="AC554" s="30">
        <v>352</v>
      </c>
      <c r="AD554" s="30">
        <v>1200</v>
      </c>
      <c r="AE554" s="30">
        <v>415</v>
      </c>
      <c r="AF554" s="198">
        <v>150</v>
      </c>
      <c r="AG554" s="206">
        <v>0</v>
      </c>
      <c r="AH554" s="28">
        <v>1575</v>
      </c>
      <c r="AI554" s="28">
        <v>224</v>
      </c>
      <c r="AJ554" s="28">
        <v>0</v>
      </c>
      <c r="AK554" s="28">
        <v>0</v>
      </c>
      <c r="AL554" s="202"/>
      <c r="AM554" s="197"/>
      <c r="AN554" s="28">
        <v>100</v>
      </c>
      <c r="AO554" s="28">
        <v>75</v>
      </c>
      <c r="AP554" s="28">
        <v>0</v>
      </c>
      <c r="AQ554" s="87"/>
      <c r="AR554" s="28">
        <v>0</v>
      </c>
      <c r="AS554" s="28">
        <v>0</v>
      </c>
    </row>
    <row r="555" ht="47.25" customHeight="1" hidden="1">
      <c r="A555" t="s" s="59">
        <v>1578</v>
      </c>
      <c r="B555" t="s" s="21">
        <v>569</v>
      </c>
      <c r="C555" t="s" s="59">
        <v>790</v>
      </c>
      <c r="D555" t="s" s="190">
        <v>801</v>
      </c>
      <c r="E555" t="s" s="216">
        <v>1579</v>
      </c>
      <c r="F555" t="s" s="192">
        <v>714</v>
      </c>
      <c r="G555" s="193"/>
      <c r="H555" s="194">
        <f>SUM(J555,N555)</f>
        <v>7685</v>
      </c>
      <c r="I555" s="195">
        <f>SUM(Q555,S555,U555,W555,Y555,AA555,AC555,AE555,AG555,AI555,AK555,AM555,AO555,AQ555,AS555)</f>
        <v>1209</v>
      </c>
      <c r="J555" s="23">
        <f>SUM(P555,R555,T555,V555,X555,Z555,AB555,AD555,AF555,AH555,AJ555,AL555,AN555,AP555,AR555)</f>
        <v>7685</v>
      </c>
      <c r="K555" s="36"/>
      <c r="L555" s="196"/>
      <c r="M555" s="196"/>
      <c r="N555" s="196"/>
      <c r="O555" s="197"/>
      <c r="P555" s="27">
        <v>2000</v>
      </c>
      <c r="Q555" s="27">
        <v>0</v>
      </c>
      <c r="R555" s="28">
        <v>0</v>
      </c>
      <c r="S555" s="28">
        <v>0</v>
      </c>
      <c r="T555" s="28">
        <v>100</v>
      </c>
      <c r="U555" s="28">
        <v>0</v>
      </c>
      <c r="V555" s="28">
        <v>100</v>
      </c>
      <c r="W555" s="28">
        <v>0</v>
      </c>
      <c r="X555" s="28">
        <v>0</v>
      </c>
      <c r="Y555" s="28">
        <v>0</v>
      </c>
      <c r="Z555" s="30">
        <v>2700</v>
      </c>
      <c r="AA555" s="30">
        <v>1000</v>
      </c>
      <c r="AB555" s="30">
        <v>895</v>
      </c>
      <c r="AC555" s="30">
        <v>92</v>
      </c>
      <c r="AD555" s="30">
        <v>685</v>
      </c>
      <c r="AE555" s="30">
        <v>117</v>
      </c>
      <c r="AF555" s="198">
        <v>300</v>
      </c>
      <c r="AG555" s="206">
        <v>0</v>
      </c>
      <c r="AH555" s="28">
        <v>855</v>
      </c>
      <c r="AI555" s="28">
        <v>0</v>
      </c>
      <c r="AJ555" s="28">
        <v>0</v>
      </c>
      <c r="AK555" s="28">
        <v>0</v>
      </c>
      <c r="AL555" s="202"/>
      <c r="AM555" s="197"/>
      <c r="AN555" s="28">
        <v>50</v>
      </c>
      <c r="AO555" s="28">
        <v>0</v>
      </c>
      <c r="AP555" s="28">
        <v>0</v>
      </c>
      <c r="AQ555" s="87"/>
      <c r="AR555" s="28">
        <v>0</v>
      </c>
      <c r="AS555" s="28">
        <v>0</v>
      </c>
    </row>
    <row r="556" ht="31.5" customHeight="1" hidden="1">
      <c r="A556" s="227">
        <v>14</v>
      </c>
      <c r="B556" t="s" s="103">
        <v>570</v>
      </c>
      <c r="C556" s="180"/>
      <c r="D556" s="180"/>
      <c r="E556" s="189"/>
      <c r="F556" s="182">
        <v>0</v>
      </c>
      <c r="G556" s="183"/>
      <c r="H556" s="42">
        <f>SUM(J556,N556)</f>
        <v>0</v>
      </c>
      <c r="I556" s="207">
        <f>SUM(Q556,S556,U556,W556,Y556,AA556,AC556,AE556,AG556,AI556,AK556,AM556,AO556,AQ556,AS556)</f>
        <v>0</v>
      </c>
      <c r="J556" s="43">
        <f>SUM(P556,R556,T556,V556,X556,Z556,AB556,AD556,AF556,AH556,AJ556,AL556,AN556,AP556,AR556)</f>
        <v>0</v>
      </c>
      <c r="K556" s="44"/>
      <c r="L556" s="6"/>
      <c r="M556" s="6"/>
      <c r="N556" s="14"/>
      <c r="O556" s="122"/>
      <c r="P556" s="46"/>
      <c r="Q556" s="46"/>
      <c r="R556" s="47"/>
      <c r="S556" s="47"/>
      <c r="T556" s="47"/>
      <c r="U556" s="47"/>
      <c r="V556" s="47"/>
      <c r="W556" s="47"/>
      <c r="X556" s="47"/>
      <c r="Y556" s="47"/>
      <c r="Z556" s="48">
        <v>0</v>
      </c>
      <c r="AA556" s="48">
        <v>0</v>
      </c>
      <c r="AB556" s="49"/>
      <c r="AC556" s="49"/>
      <c r="AD556" s="50"/>
      <c r="AE556" s="50"/>
      <c r="AF556" s="14"/>
      <c r="AG556" s="122"/>
      <c r="AH556" s="51">
        <v>0</v>
      </c>
      <c r="AI556" s="51">
        <v>0</v>
      </c>
      <c r="AJ556" s="47"/>
      <c r="AK556" s="47"/>
      <c r="AL556" s="14"/>
      <c r="AM556" s="122"/>
      <c r="AN556" s="47"/>
      <c r="AO556" s="47"/>
      <c r="AP556" s="47"/>
      <c r="AQ556" s="47"/>
      <c r="AR556" s="51">
        <v>0</v>
      </c>
      <c r="AS556" s="51">
        <v>0</v>
      </c>
    </row>
    <row r="557" ht="19.5" customHeight="1" hidden="1">
      <c r="A557" t="s" s="88">
        <v>1580</v>
      </c>
      <c r="B557" t="s" s="88">
        <v>571</v>
      </c>
      <c r="C557" s="228"/>
      <c r="D557" s="228"/>
      <c r="E557" s="189"/>
      <c r="F557" s="182">
        <v>0</v>
      </c>
      <c r="G557" s="183"/>
      <c r="H557" s="42">
        <f>SUM(J557,N557)</f>
        <v>0</v>
      </c>
      <c r="I557" s="207">
        <f>SUM(Q557,S557,U557,W557,Y557,AA557,AC557,AE557,AG557,AI557,AK557,AM557,AO557,AQ557,AS557)</f>
        <v>0</v>
      </c>
      <c r="J557" s="43">
        <f>SUM(P557,R557,T557,V557,X557,Z557,AB557,AD557,AF557,AH557,AJ557,AL557,AN557,AP557,AR557)</f>
        <v>0</v>
      </c>
      <c r="K557" s="44"/>
      <c r="L557" s="6"/>
      <c r="M557" s="6"/>
      <c r="N557" s="14"/>
      <c r="O557" s="122"/>
      <c r="P557" s="46"/>
      <c r="Q557" s="46"/>
      <c r="R557" s="47"/>
      <c r="S557" s="47"/>
      <c r="T557" s="47"/>
      <c r="U557" s="47"/>
      <c r="V557" s="47"/>
      <c r="W557" s="47"/>
      <c r="X557" s="47"/>
      <c r="Y557" s="47"/>
      <c r="Z557" s="48">
        <v>0</v>
      </c>
      <c r="AA557" s="49"/>
      <c r="AB557" s="49"/>
      <c r="AC557" s="49"/>
      <c r="AD557" s="50"/>
      <c r="AE557" s="50"/>
      <c r="AF557" s="14"/>
      <c r="AG557" s="122"/>
      <c r="AH557" s="51">
        <v>0</v>
      </c>
      <c r="AI557" s="51">
        <v>0</v>
      </c>
      <c r="AJ557" s="47"/>
      <c r="AK557" s="47"/>
      <c r="AL557" s="14"/>
      <c r="AM557" s="122"/>
      <c r="AN557" s="47"/>
      <c r="AO557" s="47"/>
      <c r="AP557" s="47"/>
      <c r="AQ557" s="47"/>
      <c r="AR557" s="51">
        <v>0</v>
      </c>
      <c r="AS557" s="51">
        <v>0</v>
      </c>
    </row>
    <row r="558" ht="19.5" customHeight="1" hidden="1">
      <c r="A558" t="s" s="88">
        <v>1581</v>
      </c>
      <c r="B558" t="s" s="88">
        <v>572</v>
      </c>
      <c r="C558" s="228"/>
      <c r="D558" s="228"/>
      <c r="E558" s="189"/>
      <c r="F558" s="182">
        <v>0</v>
      </c>
      <c r="G558" s="183"/>
      <c r="H558" s="42">
        <f>SUM(J558,N558)</f>
        <v>0</v>
      </c>
      <c r="I558" s="207">
        <f>SUM(Q558,S558,U558,W558,Y558,AA558,AC558,AE558,AG558,AI558,AK558,AM558,AO558,AQ558,AS558)</f>
        <v>0</v>
      </c>
      <c r="J558" s="43">
        <f>SUM(P558,R558,T558,V558,X558,Z558,AB558,AD558,AF558,AH558,AJ558,AL558,AN558,AP558,AR558)</f>
        <v>0</v>
      </c>
      <c r="K558" s="44"/>
      <c r="L558" s="6"/>
      <c r="M558" s="6"/>
      <c r="N558" s="14"/>
      <c r="O558" s="122"/>
      <c r="P558" s="46"/>
      <c r="Q558" s="46"/>
      <c r="R558" s="47"/>
      <c r="S558" s="47"/>
      <c r="T558" s="47"/>
      <c r="U558" s="47"/>
      <c r="V558" s="47"/>
      <c r="W558" s="47"/>
      <c r="X558" s="47"/>
      <c r="Y558" s="47"/>
      <c r="Z558" s="48">
        <v>0</v>
      </c>
      <c r="AA558" s="48">
        <v>0</v>
      </c>
      <c r="AB558" s="49"/>
      <c r="AC558" s="49"/>
      <c r="AD558" s="50"/>
      <c r="AE558" s="50"/>
      <c r="AF558" s="14"/>
      <c r="AG558" s="122"/>
      <c r="AH558" s="51">
        <v>0</v>
      </c>
      <c r="AI558" s="51">
        <v>0</v>
      </c>
      <c r="AJ558" s="47"/>
      <c r="AK558" s="47"/>
      <c r="AL558" s="14"/>
      <c r="AM558" s="122"/>
      <c r="AN558" s="47"/>
      <c r="AO558" s="47"/>
      <c r="AP558" s="47"/>
      <c r="AQ558" s="47"/>
      <c r="AR558" s="51">
        <v>0</v>
      </c>
      <c r="AS558" s="51">
        <v>0</v>
      </c>
    </row>
    <row r="559" ht="47.25" customHeight="1" hidden="1">
      <c r="A559" t="s" s="130">
        <v>1582</v>
      </c>
      <c r="B559" t="s" s="52">
        <v>573</v>
      </c>
      <c r="C559" t="s" s="130">
        <v>1031</v>
      </c>
      <c r="D559" t="s" s="209">
        <v>717</v>
      </c>
      <c r="E559" t="s" s="217">
        <v>1407</v>
      </c>
      <c r="F559" t="s" s="210">
        <v>714</v>
      </c>
      <c r="G559" s="211"/>
      <c r="H559" s="42">
        <f>SUM(J559,N559)</f>
        <v>1740</v>
      </c>
      <c r="I559" s="207">
        <f>SUM(Q559,S559,U559,W559,Y559,AA559,AC559,AE559,AG559,AI559,AK559,AM559,AO559,AQ559,AS559)</f>
        <v>1547</v>
      </c>
      <c r="J559" s="43">
        <f>SUM(P559,R559,T559,V559,X559,Z559,AB559,AD559,AF559,AH559,AJ559,AL559,AN559,AP559,AR559)</f>
        <v>1740</v>
      </c>
      <c r="K559" s="44"/>
      <c r="L559" s="6"/>
      <c r="M559" s="6"/>
      <c r="N559" s="14"/>
      <c r="O559" s="122"/>
      <c r="P559" s="27">
        <v>100</v>
      </c>
      <c r="Q559" s="27">
        <v>50</v>
      </c>
      <c r="R559" s="51">
        <v>1000</v>
      </c>
      <c r="S559" s="51">
        <v>994</v>
      </c>
      <c r="T559" s="51">
        <v>400</v>
      </c>
      <c r="U559" s="51">
        <v>293</v>
      </c>
      <c r="V559" s="51">
        <v>240</v>
      </c>
      <c r="W559" s="51">
        <v>210</v>
      </c>
      <c r="X559" s="51">
        <v>0</v>
      </c>
      <c r="Y559" s="51">
        <v>0</v>
      </c>
      <c r="Z559" s="48">
        <v>0</v>
      </c>
      <c r="AA559" s="48">
        <v>0</v>
      </c>
      <c r="AB559" s="48">
        <v>0</v>
      </c>
      <c r="AC559" s="48">
        <v>0</v>
      </c>
      <c r="AD559" s="55">
        <v>0</v>
      </c>
      <c r="AE559" s="213">
        <v>0</v>
      </c>
      <c r="AF559" s="212">
        <v>0</v>
      </c>
      <c r="AG559" s="121">
        <v>0</v>
      </c>
      <c r="AH559" s="51">
        <v>0</v>
      </c>
      <c r="AI559" s="51">
        <v>0</v>
      </c>
      <c r="AJ559" s="51">
        <v>0</v>
      </c>
      <c r="AK559" s="51">
        <v>0</v>
      </c>
      <c r="AL559" s="14"/>
      <c r="AM559" s="122"/>
      <c r="AN559" s="51">
        <v>0</v>
      </c>
      <c r="AO559" s="51">
        <v>0</v>
      </c>
      <c r="AP559" s="51">
        <v>0</v>
      </c>
      <c r="AQ559" s="47"/>
      <c r="AR559" s="51">
        <v>0</v>
      </c>
      <c r="AS559" s="51">
        <v>0</v>
      </c>
    </row>
    <row r="560" ht="78" customHeight="1" hidden="1">
      <c r="A560" t="s" s="59">
        <v>1583</v>
      </c>
      <c r="B560" t="s" s="21">
        <v>574</v>
      </c>
      <c r="C560" t="s" s="59">
        <v>1031</v>
      </c>
      <c r="D560" t="s" s="209">
        <v>717</v>
      </c>
      <c r="E560" t="s" s="223">
        <v>1584</v>
      </c>
      <c r="F560" t="s" s="192">
        <v>714</v>
      </c>
      <c r="G560" s="193"/>
      <c r="H560" s="194">
        <f>SUM(J560,N560)</f>
        <v>14750</v>
      </c>
      <c r="I560" s="195">
        <f>SUM(Q560,S560,U560,W560,Y560,AA560,AC560,AE560,AG560,AI560,AK560,AM560,AO560,AQ560,AS560)</f>
        <v>12560</v>
      </c>
      <c r="J560" s="23">
        <f>SUM(P560,R560,T560,V560,X560,Z560,AB560,AD560,AF560,AH560,AJ560,AL560,AN560,AP560,AR560)</f>
        <v>14750</v>
      </c>
      <c r="K560" s="36"/>
      <c r="L560" s="196"/>
      <c r="M560" s="196"/>
      <c r="N560" s="196"/>
      <c r="O560" s="197"/>
      <c r="P560" s="27">
        <v>10000</v>
      </c>
      <c r="Q560" s="27">
        <v>8400</v>
      </c>
      <c r="R560" s="28">
        <v>750</v>
      </c>
      <c r="S560" s="28">
        <v>675</v>
      </c>
      <c r="T560" s="28">
        <v>3000</v>
      </c>
      <c r="U560" s="28">
        <v>2005</v>
      </c>
      <c r="V560" s="28">
        <v>1000</v>
      </c>
      <c r="W560" s="28">
        <v>1480</v>
      </c>
      <c r="X560" s="28">
        <v>0</v>
      </c>
      <c r="Y560" s="28">
        <v>0</v>
      </c>
      <c r="Z560" s="30">
        <v>0</v>
      </c>
      <c r="AA560" s="30">
        <v>0</v>
      </c>
      <c r="AB560" s="30">
        <v>0</v>
      </c>
      <c r="AC560" s="30">
        <v>0</v>
      </c>
      <c r="AD560" s="30">
        <v>0</v>
      </c>
      <c r="AE560" s="30">
        <v>0</v>
      </c>
      <c r="AF560" s="198">
        <v>0</v>
      </c>
      <c r="AG560" s="206">
        <v>0</v>
      </c>
      <c r="AH560" s="28">
        <v>0</v>
      </c>
      <c r="AI560" s="28">
        <v>0</v>
      </c>
      <c r="AJ560" s="28">
        <v>0</v>
      </c>
      <c r="AK560" s="28">
        <v>0</v>
      </c>
      <c r="AL560" s="202"/>
      <c r="AM560" s="197"/>
      <c r="AN560" s="28">
        <v>0</v>
      </c>
      <c r="AO560" s="28">
        <v>0</v>
      </c>
      <c r="AP560" s="28">
        <v>0</v>
      </c>
      <c r="AQ560" s="87"/>
      <c r="AR560" s="28">
        <v>0</v>
      </c>
      <c r="AS560" s="28">
        <v>0</v>
      </c>
    </row>
    <row r="561" ht="19.5" customHeight="1" hidden="1">
      <c r="A561" t="s" s="88">
        <v>1585</v>
      </c>
      <c r="B561" t="s" s="88">
        <v>575</v>
      </c>
      <c r="C561" s="228"/>
      <c r="D561" s="228"/>
      <c r="E561" s="189"/>
      <c r="F561" s="182">
        <v>0</v>
      </c>
      <c r="G561" s="183"/>
      <c r="H561" s="42">
        <f>SUM(J561,N561)</f>
        <v>0</v>
      </c>
      <c r="I561" s="207">
        <f>SUM(Q561,S561,U561,W561,Y561,AA561,AC561,AE561,AG561,AI561,AK561,AM561,AO561,AQ561,AS561)</f>
        <v>0</v>
      </c>
      <c r="J561" s="43">
        <f>SUM(P561,R561,T561,V561,X561,Z561,AB561,AD561,AF561,AH561,AJ561,AL561,AN561,AP561,AR561)</f>
        <v>0</v>
      </c>
      <c r="K561" s="44"/>
      <c r="L561" s="6"/>
      <c r="M561" s="6"/>
      <c r="N561" s="14"/>
      <c r="O561" s="122"/>
      <c r="P561" s="46"/>
      <c r="Q561" s="46"/>
      <c r="R561" s="47"/>
      <c r="S561" s="47"/>
      <c r="T561" s="47"/>
      <c r="U561" s="47"/>
      <c r="V561" s="47"/>
      <c r="W561" s="47"/>
      <c r="X561" s="47"/>
      <c r="Y561" s="47"/>
      <c r="Z561" s="48">
        <v>0</v>
      </c>
      <c r="AA561" s="48">
        <v>0</v>
      </c>
      <c r="AB561" s="49"/>
      <c r="AC561" s="49"/>
      <c r="AD561" s="50"/>
      <c r="AE561" s="50"/>
      <c r="AF561" s="14"/>
      <c r="AG561" s="122"/>
      <c r="AH561" s="51">
        <v>0</v>
      </c>
      <c r="AI561" s="51">
        <v>0</v>
      </c>
      <c r="AJ561" s="47"/>
      <c r="AK561" s="47"/>
      <c r="AL561" s="14"/>
      <c r="AM561" s="122"/>
      <c r="AN561" s="47"/>
      <c r="AO561" s="47"/>
      <c r="AP561" s="47"/>
      <c r="AQ561" s="47"/>
      <c r="AR561" s="51">
        <v>0</v>
      </c>
      <c r="AS561" s="51">
        <v>0</v>
      </c>
    </row>
    <row r="562" ht="195" customHeight="1" hidden="1">
      <c r="A562" t="s" s="130">
        <v>1586</v>
      </c>
      <c r="B562" t="s" s="52">
        <v>576</v>
      </c>
      <c r="C562" t="s" s="130">
        <v>790</v>
      </c>
      <c r="D562" t="s" s="209">
        <v>791</v>
      </c>
      <c r="E562" t="s" s="217">
        <v>1587</v>
      </c>
      <c r="F562" t="s" s="210">
        <v>714</v>
      </c>
      <c r="G562" s="211"/>
      <c r="H562" s="42">
        <f>SUM(J562,N562)</f>
        <v>1220</v>
      </c>
      <c r="I562" s="207">
        <f>SUM(Q562,S562,U562,W562,Y562,AA562,AC562,AE562,AG562,AI562,AK562,AM562,AO562,AQ562,AS562)</f>
        <v>1082</v>
      </c>
      <c r="J562" s="43">
        <f>SUM(P562,R562,T562,V562,X562,Z562,AB562,AD562,AF562,AH562,AJ562,AL562,AN562,AP562,AR562)</f>
        <v>1220</v>
      </c>
      <c r="K562" s="44"/>
      <c r="L562" s="6"/>
      <c r="M562" s="6"/>
      <c r="N562" s="14"/>
      <c r="O562" s="122"/>
      <c r="P562" s="27">
        <v>1000</v>
      </c>
      <c r="Q562" s="27">
        <v>840</v>
      </c>
      <c r="R562" s="51">
        <v>50</v>
      </c>
      <c r="S562" s="51">
        <v>116</v>
      </c>
      <c r="T562" s="51">
        <v>120</v>
      </c>
      <c r="U562" s="51">
        <v>90</v>
      </c>
      <c r="V562" s="51">
        <v>50</v>
      </c>
      <c r="W562" s="51">
        <v>36</v>
      </c>
      <c r="X562" s="51">
        <v>0</v>
      </c>
      <c r="Y562" s="51">
        <v>0</v>
      </c>
      <c r="Z562" s="48">
        <v>0</v>
      </c>
      <c r="AA562" s="48">
        <v>0</v>
      </c>
      <c r="AB562" s="48">
        <v>0</v>
      </c>
      <c r="AC562" s="48">
        <v>0</v>
      </c>
      <c r="AD562" s="55">
        <v>0</v>
      </c>
      <c r="AE562" s="213">
        <v>0</v>
      </c>
      <c r="AF562" s="212">
        <v>0</v>
      </c>
      <c r="AG562" s="121">
        <v>0</v>
      </c>
      <c r="AH562" s="51">
        <v>0</v>
      </c>
      <c r="AI562" s="51">
        <v>0</v>
      </c>
      <c r="AJ562" s="51">
        <v>0</v>
      </c>
      <c r="AK562" s="51">
        <v>0</v>
      </c>
      <c r="AL562" s="14"/>
      <c r="AM562" s="122"/>
      <c r="AN562" s="51">
        <v>0</v>
      </c>
      <c r="AO562" s="51">
        <v>0</v>
      </c>
      <c r="AP562" s="51">
        <v>0</v>
      </c>
      <c r="AQ562" s="47"/>
      <c r="AR562" s="51">
        <v>0</v>
      </c>
      <c r="AS562" s="51">
        <v>0</v>
      </c>
    </row>
    <row r="563" ht="204.75" customHeight="1" hidden="1">
      <c r="A563" t="s" s="130">
        <v>1588</v>
      </c>
      <c r="B563" t="s" s="52">
        <v>577</v>
      </c>
      <c r="C563" t="s" s="130">
        <v>790</v>
      </c>
      <c r="D563" t="s" s="209">
        <v>791</v>
      </c>
      <c r="E563" t="s" s="306">
        <v>1589</v>
      </c>
      <c r="F563" t="s" s="210">
        <v>714</v>
      </c>
      <c r="G563" s="211"/>
      <c r="H563" s="42">
        <f>SUM(J563,N563)</f>
        <v>884</v>
      </c>
      <c r="I563" s="207">
        <f>SUM(Q563,S563,U563,W563,Y563,AA563,AC563,AE563,AG563,AI563,AK563,AM563,AO563,AQ563,AS563)</f>
        <v>795</v>
      </c>
      <c r="J563" s="43">
        <f>SUM(P563,R563,T563,V563,X563,Z563,AB563,AD563,AF563,AH563,AJ563,AL563,AN563,AP563,AR563)</f>
        <v>884</v>
      </c>
      <c r="K563" s="44"/>
      <c r="L563" s="6"/>
      <c r="M563" s="6"/>
      <c r="N563" s="14"/>
      <c r="O563" s="122"/>
      <c r="P563" s="27">
        <v>500</v>
      </c>
      <c r="Q563" s="27">
        <v>441</v>
      </c>
      <c r="R563" s="51">
        <v>24</v>
      </c>
      <c r="S563" s="51">
        <v>48</v>
      </c>
      <c r="T563" s="51">
        <v>200</v>
      </c>
      <c r="U563" s="51">
        <v>167</v>
      </c>
      <c r="V563" s="51">
        <v>160</v>
      </c>
      <c r="W563" s="51">
        <v>139</v>
      </c>
      <c r="X563" s="51">
        <v>0</v>
      </c>
      <c r="Y563" s="51">
        <v>0</v>
      </c>
      <c r="Z563" s="48">
        <v>0</v>
      </c>
      <c r="AA563" s="48">
        <v>0</v>
      </c>
      <c r="AB563" s="48">
        <v>0</v>
      </c>
      <c r="AC563" s="48">
        <v>0</v>
      </c>
      <c r="AD563" s="55">
        <v>0</v>
      </c>
      <c r="AE563" s="213">
        <v>0</v>
      </c>
      <c r="AF563" s="212">
        <v>0</v>
      </c>
      <c r="AG563" s="121">
        <v>0</v>
      </c>
      <c r="AH563" s="51">
        <v>0</v>
      </c>
      <c r="AI563" s="51">
        <v>0</v>
      </c>
      <c r="AJ563" s="51">
        <v>0</v>
      </c>
      <c r="AK563" s="51">
        <v>0</v>
      </c>
      <c r="AL563" s="14"/>
      <c r="AM563" s="122"/>
      <c r="AN563" s="51">
        <v>0</v>
      </c>
      <c r="AO563" s="51">
        <v>0</v>
      </c>
      <c r="AP563" s="51">
        <v>0</v>
      </c>
      <c r="AQ563" s="47"/>
      <c r="AR563" s="51">
        <v>0</v>
      </c>
      <c r="AS563" s="51">
        <v>0</v>
      </c>
    </row>
    <row r="564" ht="94.5" customHeight="1" hidden="1">
      <c r="A564" t="s" s="130">
        <v>1590</v>
      </c>
      <c r="B564" t="s" s="52">
        <v>578</v>
      </c>
      <c r="C564" t="s" s="130">
        <v>1591</v>
      </c>
      <c r="D564" t="s" s="209">
        <v>791</v>
      </c>
      <c r="E564" s="280">
        <v>1161</v>
      </c>
      <c r="F564" t="s" s="210">
        <v>720</v>
      </c>
      <c r="G564" s="211"/>
      <c r="H564" s="42">
        <f>SUM(J564,N564)</f>
        <v>0</v>
      </c>
      <c r="I564" s="207">
        <f>SUM(Q564,S564,U564,W564,Y564,AA564,AC564,AE564,AG564,AI564,AK564,AM564,AO564,AQ564,AS564)</f>
        <v>0</v>
      </c>
      <c r="J564" s="43">
        <f>SUM(P564,R564,T564,V564,X564,Z564,AB564,AD564,AF564,AH564,AJ564,AL564,AN564,AP564,AR564)</f>
        <v>0</v>
      </c>
      <c r="K564" s="44"/>
      <c r="L564" s="6"/>
      <c r="M564" s="6"/>
      <c r="N564" s="14"/>
      <c r="O564" s="122"/>
      <c r="P564" s="27">
        <v>0</v>
      </c>
      <c r="Q564" s="27">
        <v>0</v>
      </c>
      <c r="R564" s="51">
        <v>0</v>
      </c>
      <c r="S564" s="51">
        <v>0</v>
      </c>
      <c r="T564" s="51">
        <v>0</v>
      </c>
      <c r="U564" s="51">
        <v>0</v>
      </c>
      <c r="V564" s="47"/>
      <c r="W564" s="47"/>
      <c r="X564" s="51">
        <v>0</v>
      </c>
      <c r="Y564" s="51">
        <v>0</v>
      </c>
      <c r="Z564" s="48">
        <v>0</v>
      </c>
      <c r="AA564" s="48">
        <v>0</v>
      </c>
      <c r="AB564" s="48">
        <v>0</v>
      </c>
      <c r="AC564" s="48">
        <v>0</v>
      </c>
      <c r="AD564" s="55">
        <v>0</v>
      </c>
      <c r="AE564" s="213">
        <v>0</v>
      </c>
      <c r="AF564" s="212">
        <v>0</v>
      </c>
      <c r="AG564" s="121">
        <v>0</v>
      </c>
      <c r="AH564" s="51">
        <v>0</v>
      </c>
      <c r="AI564" s="51">
        <v>0</v>
      </c>
      <c r="AJ564" s="51">
        <v>0</v>
      </c>
      <c r="AK564" s="51">
        <v>0</v>
      </c>
      <c r="AL564" s="14"/>
      <c r="AM564" s="122"/>
      <c r="AN564" s="51">
        <v>0</v>
      </c>
      <c r="AO564" s="51">
        <v>0</v>
      </c>
      <c r="AP564" s="51">
        <v>0</v>
      </c>
      <c r="AQ564" s="47"/>
      <c r="AR564" s="51">
        <v>0</v>
      </c>
      <c r="AS564" s="51">
        <v>0</v>
      </c>
    </row>
    <row r="565" ht="31.5" customHeight="1" hidden="1">
      <c r="A565" t="s" s="88">
        <v>1592</v>
      </c>
      <c r="B565" t="s" s="88">
        <v>579</v>
      </c>
      <c r="C565" s="228"/>
      <c r="D565" s="228"/>
      <c r="E565" s="189"/>
      <c r="F565" s="182">
        <v>0</v>
      </c>
      <c r="G565" s="183"/>
      <c r="H565" s="42">
        <f>SUM(J565,N565)</f>
        <v>0</v>
      </c>
      <c r="I565" s="207">
        <f>SUM(Q565,S565,U565,W565,Y565,AA565,AC565,AE565,AG565,AI565,AK565,AM565,AO565,AQ565,AS565)</f>
        <v>0</v>
      </c>
      <c r="J565" s="43">
        <f>SUM(P565,R565,T565,V565,X565,Z565,AB565,AD565,AF565,AH565,AJ565,AL565,AN565,AP565,AR565)</f>
        <v>0</v>
      </c>
      <c r="K565" s="44"/>
      <c r="L565" s="6"/>
      <c r="M565" s="6"/>
      <c r="N565" s="14"/>
      <c r="O565" s="122"/>
      <c r="P565" s="46"/>
      <c r="Q565" s="46"/>
      <c r="R565" s="47"/>
      <c r="S565" s="47"/>
      <c r="T565" s="47"/>
      <c r="U565" s="47"/>
      <c r="V565" s="47"/>
      <c r="W565" s="47"/>
      <c r="X565" s="47"/>
      <c r="Y565" s="47"/>
      <c r="Z565" s="48">
        <v>0</v>
      </c>
      <c r="AA565" s="48">
        <v>0</v>
      </c>
      <c r="AB565" s="49"/>
      <c r="AC565" s="49"/>
      <c r="AD565" s="50"/>
      <c r="AE565" s="50"/>
      <c r="AF565" s="14"/>
      <c r="AG565" s="122"/>
      <c r="AH565" s="51">
        <v>0</v>
      </c>
      <c r="AI565" s="51">
        <v>0</v>
      </c>
      <c r="AJ565" s="47"/>
      <c r="AK565" s="47"/>
      <c r="AL565" s="14"/>
      <c r="AM565" s="122"/>
      <c r="AN565" s="47"/>
      <c r="AO565" s="47"/>
      <c r="AP565" s="47"/>
      <c r="AQ565" s="47"/>
      <c r="AR565" s="51">
        <v>0</v>
      </c>
      <c r="AS565" s="51">
        <v>0</v>
      </c>
    </row>
    <row r="566" ht="117" customHeight="1" hidden="1">
      <c r="A566" t="s" s="130">
        <v>1593</v>
      </c>
      <c r="B566" t="s" s="52">
        <v>580</v>
      </c>
      <c r="C566" t="s" s="130">
        <v>830</v>
      </c>
      <c r="D566" t="s" s="209">
        <v>717</v>
      </c>
      <c r="E566" t="s" s="217">
        <v>1594</v>
      </c>
      <c r="F566" t="s" s="210">
        <v>714</v>
      </c>
      <c r="G566" s="211"/>
      <c r="H566" s="42">
        <f>SUM(J566,N566)</f>
        <v>5590</v>
      </c>
      <c r="I566" s="207">
        <f>SUM(Q566,S566,U566,W566,Y566,AA566,AC566,AE566,AG566,AI566,AK566,AM566,AO566,AQ566,AS566)</f>
        <v>5195</v>
      </c>
      <c r="J566" s="43">
        <f>SUM(P566,R566,T566,V566,X566,Z566,AB566,AD566,AF566,AH566,AJ566,AL566,AN566,AP566,AR566)</f>
        <v>5590</v>
      </c>
      <c r="K566" s="44"/>
      <c r="L566" s="6"/>
      <c r="M566" s="6"/>
      <c r="N566" s="14"/>
      <c r="O566" s="122"/>
      <c r="P566" s="27">
        <v>2000</v>
      </c>
      <c r="Q566" s="27">
        <v>2165</v>
      </c>
      <c r="R566" s="51">
        <v>750</v>
      </c>
      <c r="S566" s="51">
        <v>730</v>
      </c>
      <c r="T566" s="51">
        <v>1440</v>
      </c>
      <c r="U566" s="51">
        <v>1200</v>
      </c>
      <c r="V566" s="51">
        <v>1400</v>
      </c>
      <c r="W566" s="51">
        <v>1100</v>
      </c>
      <c r="X566" s="51">
        <v>0</v>
      </c>
      <c r="Y566" s="51">
        <v>0</v>
      </c>
      <c r="Z566" s="48">
        <v>0</v>
      </c>
      <c r="AA566" s="48">
        <v>0</v>
      </c>
      <c r="AB566" s="48">
        <v>0</v>
      </c>
      <c r="AC566" s="48">
        <v>0</v>
      </c>
      <c r="AD566" s="55">
        <v>0</v>
      </c>
      <c r="AE566" s="213">
        <v>0</v>
      </c>
      <c r="AF566" s="212">
        <v>0</v>
      </c>
      <c r="AG566" s="121">
        <v>0</v>
      </c>
      <c r="AH566" s="51">
        <v>0</v>
      </c>
      <c r="AI566" s="51">
        <v>0</v>
      </c>
      <c r="AJ566" s="51">
        <v>0</v>
      </c>
      <c r="AK566" s="51">
        <v>0</v>
      </c>
      <c r="AL566" s="14"/>
      <c r="AM566" s="122"/>
      <c r="AN566" s="51">
        <v>0</v>
      </c>
      <c r="AO566" s="51">
        <v>0</v>
      </c>
      <c r="AP566" s="51">
        <v>0</v>
      </c>
      <c r="AQ566" s="47"/>
      <c r="AR566" s="51">
        <v>0</v>
      </c>
      <c r="AS566" s="51">
        <v>0</v>
      </c>
    </row>
    <row r="567" ht="110.25" customHeight="1" hidden="1">
      <c r="A567" t="s" s="130">
        <v>1595</v>
      </c>
      <c r="B567" t="s" s="52">
        <v>581</v>
      </c>
      <c r="C567" t="s" s="130">
        <v>830</v>
      </c>
      <c r="D567" t="s" s="209">
        <v>717</v>
      </c>
      <c r="E567" t="s" s="236">
        <v>1596</v>
      </c>
      <c r="F567" t="s" s="210">
        <v>714</v>
      </c>
      <c r="G567" s="211"/>
      <c r="H567" s="42">
        <f>SUM(J567,N567)</f>
        <v>3460</v>
      </c>
      <c r="I567" s="207">
        <f>SUM(Q567,S567,U567,W567,Y567,AA567,AC567,AE567,AG567,AI567,AK567,AM567,AO567,AQ567,AS567)</f>
        <v>730</v>
      </c>
      <c r="J567" s="43">
        <f>SUM(P567,R567,T567,V567,X567,Z567,AB567,AD567,AF567,AH567,AJ567,AL567,AN567,AP567,AR567)</f>
        <v>3460</v>
      </c>
      <c r="K567" s="44"/>
      <c r="L567" s="6"/>
      <c r="M567" s="6"/>
      <c r="N567" s="14"/>
      <c r="O567" s="122"/>
      <c r="P567" s="27">
        <v>2000</v>
      </c>
      <c r="Q567" s="27">
        <v>0</v>
      </c>
      <c r="R567" s="51">
        <v>260</v>
      </c>
      <c r="S567" s="51">
        <v>240</v>
      </c>
      <c r="T567" s="51">
        <v>1200</v>
      </c>
      <c r="U567" s="51">
        <v>490</v>
      </c>
      <c r="V567" s="47"/>
      <c r="W567" s="47"/>
      <c r="X567" s="51">
        <v>0</v>
      </c>
      <c r="Y567" s="51">
        <v>0</v>
      </c>
      <c r="Z567" s="48">
        <v>0</v>
      </c>
      <c r="AA567" s="48">
        <v>0</v>
      </c>
      <c r="AB567" s="48">
        <v>0</v>
      </c>
      <c r="AC567" s="48">
        <v>0</v>
      </c>
      <c r="AD567" s="55">
        <v>0</v>
      </c>
      <c r="AE567" s="213">
        <v>0</v>
      </c>
      <c r="AF567" s="212">
        <v>0</v>
      </c>
      <c r="AG567" s="121">
        <v>0</v>
      </c>
      <c r="AH567" s="51">
        <v>0</v>
      </c>
      <c r="AI567" s="51">
        <v>0</v>
      </c>
      <c r="AJ567" s="51">
        <v>0</v>
      </c>
      <c r="AK567" s="51">
        <v>0</v>
      </c>
      <c r="AL567" s="14"/>
      <c r="AM567" s="122"/>
      <c r="AN567" s="51">
        <v>0</v>
      </c>
      <c r="AO567" s="51">
        <v>0</v>
      </c>
      <c r="AP567" s="51">
        <v>0</v>
      </c>
      <c r="AQ567" s="47"/>
      <c r="AR567" s="51">
        <v>0</v>
      </c>
      <c r="AS567" s="51">
        <v>0</v>
      </c>
    </row>
    <row r="568" ht="47.25" customHeight="1" hidden="1">
      <c r="A568" t="s" s="130">
        <v>1597</v>
      </c>
      <c r="B568" t="s" s="52">
        <v>582</v>
      </c>
      <c r="C568" t="s" s="130">
        <v>782</v>
      </c>
      <c r="D568" t="s" s="209">
        <v>717</v>
      </c>
      <c r="E568" s="189"/>
      <c r="F568" t="s" s="210">
        <v>714</v>
      </c>
      <c r="G568" s="211"/>
      <c r="H568" s="42">
        <f>SUM(J568,N568)</f>
        <v>550</v>
      </c>
      <c r="I568" s="207">
        <f>SUM(Q568,S568,U568,W568,Y568,AA568,AC568,AE568,AG568,AI568,AK568,AM568,AO568,AQ568,AS568)</f>
        <v>150</v>
      </c>
      <c r="J568" s="43">
        <f>SUM(P568,R568,T568,V568,X568,Z568,AB568,AD568,AF568,AH568,AJ568,AL568,AN568,AP568,AR568)</f>
        <v>550</v>
      </c>
      <c r="K568" s="44"/>
      <c r="L568" s="6"/>
      <c r="M568" s="6"/>
      <c r="N568" s="14"/>
      <c r="O568" s="122"/>
      <c r="P568" s="27">
        <v>50</v>
      </c>
      <c r="Q568" s="27">
        <v>0</v>
      </c>
      <c r="R568" s="51">
        <v>100</v>
      </c>
      <c r="S568" s="51">
        <v>100</v>
      </c>
      <c r="T568" s="51">
        <v>100</v>
      </c>
      <c r="U568" s="51">
        <v>0</v>
      </c>
      <c r="V568" s="51">
        <v>300</v>
      </c>
      <c r="W568" s="51">
        <v>50</v>
      </c>
      <c r="X568" s="51">
        <v>0</v>
      </c>
      <c r="Y568" s="51">
        <v>0</v>
      </c>
      <c r="Z568" s="48">
        <v>0</v>
      </c>
      <c r="AA568" s="48">
        <v>0</v>
      </c>
      <c r="AB568" s="48">
        <v>0</v>
      </c>
      <c r="AC568" s="48">
        <v>0</v>
      </c>
      <c r="AD568" s="55">
        <v>0</v>
      </c>
      <c r="AE568" s="213">
        <v>0</v>
      </c>
      <c r="AF568" s="212">
        <v>0</v>
      </c>
      <c r="AG568" s="121">
        <v>0</v>
      </c>
      <c r="AH568" s="51">
        <v>0</v>
      </c>
      <c r="AI568" s="51">
        <v>0</v>
      </c>
      <c r="AJ568" s="51">
        <v>0</v>
      </c>
      <c r="AK568" s="51">
        <v>0</v>
      </c>
      <c r="AL568" s="14"/>
      <c r="AM568" s="122"/>
      <c r="AN568" s="51">
        <v>0</v>
      </c>
      <c r="AO568" s="51">
        <v>0</v>
      </c>
      <c r="AP568" s="51">
        <v>0</v>
      </c>
      <c r="AQ568" s="47"/>
      <c r="AR568" s="51">
        <v>0</v>
      </c>
      <c r="AS568" s="51">
        <v>0</v>
      </c>
    </row>
    <row r="569" ht="19.5" customHeight="1" hidden="1">
      <c r="A569" t="s" s="88">
        <v>1598</v>
      </c>
      <c r="B569" t="s" s="67">
        <v>583</v>
      </c>
      <c r="C569" s="228"/>
      <c r="D569" s="228"/>
      <c r="E569" s="189"/>
      <c r="F569" s="182">
        <v>0</v>
      </c>
      <c r="G569" s="183"/>
      <c r="H569" s="42">
        <f>SUM(J569,N569)</f>
        <v>0</v>
      </c>
      <c r="I569" s="207">
        <f>SUM(Q569,S569,U569,W569,Y569,AA569,AC569,AE569,AG569,AI569,AK569,AM569,AO569,AQ569,AS569)</f>
        <v>0</v>
      </c>
      <c r="J569" s="43">
        <f>SUM(P569,R569,T569,V569,X569,Z569,AB569,AD569,AF569,AH569,AJ569,AL569,AN569,AP569,AR569)</f>
        <v>0</v>
      </c>
      <c r="K569" s="44"/>
      <c r="L569" s="6"/>
      <c r="M569" s="6"/>
      <c r="N569" s="14"/>
      <c r="O569" s="122"/>
      <c r="P569" s="46"/>
      <c r="Q569" s="46"/>
      <c r="R569" s="47"/>
      <c r="S569" s="47"/>
      <c r="T569" s="47"/>
      <c r="U569" s="47"/>
      <c r="V569" s="47"/>
      <c r="W569" s="47"/>
      <c r="X569" s="47"/>
      <c r="Y569" s="47"/>
      <c r="Z569" s="48">
        <v>0</v>
      </c>
      <c r="AA569" s="48">
        <v>0</v>
      </c>
      <c r="AB569" s="49"/>
      <c r="AC569" s="49"/>
      <c r="AD569" s="50"/>
      <c r="AE569" s="50"/>
      <c r="AF569" s="14"/>
      <c r="AG569" s="122"/>
      <c r="AH569" s="51">
        <v>0</v>
      </c>
      <c r="AI569" s="51">
        <v>0</v>
      </c>
      <c r="AJ569" s="47"/>
      <c r="AK569" s="47"/>
      <c r="AL569" s="14"/>
      <c r="AM569" s="122"/>
      <c r="AN569" s="47"/>
      <c r="AO569" s="47"/>
      <c r="AP569" s="47"/>
      <c r="AQ569" s="47"/>
      <c r="AR569" s="51">
        <v>0</v>
      </c>
      <c r="AS569" s="51">
        <v>0</v>
      </c>
    </row>
    <row r="570" ht="31.5" customHeight="1" hidden="1">
      <c r="A570" t="s" s="130">
        <v>1599</v>
      </c>
      <c r="B570" t="s" s="52">
        <v>584</v>
      </c>
      <c r="C570" t="s" s="130">
        <v>782</v>
      </c>
      <c r="D570" t="s" s="209">
        <v>717</v>
      </c>
      <c r="E570" s="280">
        <v>1181</v>
      </c>
      <c r="F570" t="s" s="210">
        <v>714</v>
      </c>
      <c r="G570" s="211"/>
      <c r="H570" s="42">
        <f>SUM(J570,N570)</f>
        <v>5750</v>
      </c>
      <c r="I570" s="207">
        <f>SUM(Q570,S570,U570,W570,Y570,AA570,AC570,AE570,AG570,AI570,AK570,AM570,AO570,AQ570,AS570)</f>
        <v>3623</v>
      </c>
      <c r="J570" s="43">
        <f>SUM(P570,R570,T570,V570,X570,Z570,AB570,AD570,AF570,AH570,AJ570,AL570,AN570,AP570,AR570)</f>
        <v>5750</v>
      </c>
      <c r="K570" s="44"/>
      <c r="L570" s="6"/>
      <c r="M570" s="6"/>
      <c r="N570" s="14"/>
      <c r="O570" s="122"/>
      <c r="P570" s="27">
        <v>5000</v>
      </c>
      <c r="Q570" s="27">
        <v>3200</v>
      </c>
      <c r="R570" s="51">
        <v>250</v>
      </c>
      <c r="S570" s="51">
        <v>50</v>
      </c>
      <c r="T570" s="51">
        <v>350</v>
      </c>
      <c r="U570" s="51">
        <v>260</v>
      </c>
      <c r="V570" s="51">
        <v>150</v>
      </c>
      <c r="W570" s="51">
        <v>113</v>
      </c>
      <c r="X570" s="51">
        <v>0</v>
      </c>
      <c r="Y570" s="51">
        <v>0</v>
      </c>
      <c r="Z570" s="48">
        <v>0</v>
      </c>
      <c r="AA570" s="48">
        <v>0</v>
      </c>
      <c r="AB570" s="48">
        <v>0</v>
      </c>
      <c r="AC570" s="48">
        <v>0</v>
      </c>
      <c r="AD570" s="55">
        <v>0</v>
      </c>
      <c r="AE570" s="213">
        <v>0</v>
      </c>
      <c r="AF570" s="212">
        <v>0</v>
      </c>
      <c r="AG570" s="121">
        <v>0</v>
      </c>
      <c r="AH570" s="51">
        <v>0</v>
      </c>
      <c r="AI570" s="51">
        <v>0</v>
      </c>
      <c r="AJ570" s="51">
        <v>0</v>
      </c>
      <c r="AK570" s="51">
        <v>0</v>
      </c>
      <c r="AL570" s="14"/>
      <c r="AM570" s="122"/>
      <c r="AN570" s="51">
        <v>0</v>
      </c>
      <c r="AO570" s="51">
        <v>0</v>
      </c>
      <c r="AP570" s="51">
        <v>0</v>
      </c>
      <c r="AQ570" s="47"/>
      <c r="AR570" s="51">
        <v>0</v>
      </c>
      <c r="AS570" s="51">
        <v>0</v>
      </c>
    </row>
    <row r="571" ht="47.25" customHeight="1" hidden="1">
      <c r="A571" t="s" s="130">
        <v>1600</v>
      </c>
      <c r="B571" t="s" s="52">
        <v>585</v>
      </c>
      <c r="C571" t="s" s="130">
        <v>782</v>
      </c>
      <c r="D571" t="s" s="209">
        <v>717</v>
      </c>
      <c r="E571" s="280">
        <v>1202</v>
      </c>
      <c r="F571" t="s" s="210">
        <v>714</v>
      </c>
      <c r="G571" s="211"/>
      <c r="H571" s="42">
        <f>SUM(J571,N571)</f>
        <v>10100</v>
      </c>
      <c r="I571" s="207">
        <f>SUM(Q571,S571,U571,W571,Y571,AA571,AC571,AE571,AG571,AI571,AK571,AM571,AO571,AQ571,AS571)</f>
        <v>2260</v>
      </c>
      <c r="J571" s="43">
        <f>SUM(P571,R571,T571,V571,X571,Z571,AB571,AD571,AF571,AH571,AJ571,AL571,AN571,AP571,AR571)</f>
        <v>10100</v>
      </c>
      <c r="K571" s="44"/>
      <c r="L571" s="6"/>
      <c r="M571" s="6"/>
      <c r="N571" s="14"/>
      <c r="O571" s="122"/>
      <c r="P571" s="27">
        <v>3000</v>
      </c>
      <c r="Q571" s="27">
        <v>2230</v>
      </c>
      <c r="R571" s="51">
        <v>0</v>
      </c>
      <c r="S571" s="51">
        <v>0</v>
      </c>
      <c r="T571" s="51">
        <v>3000</v>
      </c>
      <c r="U571" s="51">
        <v>0</v>
      </c>
      <c r="V571" s="51">
        <v>4000</v>
      </c>
      <c r="W571" s="51">
        <v>30</v>
      </c>
      <c r="X571" s="51">
        <v>100</v>
      </c>
      <c r="Y571" s="51">
        <v>0</v>
      </c>
      <c r="Z571" s="48">
        <v>0</v>
      </c>
      <c r="AA571" s="48">
        <v>0</v>
      </c>
      <c r="AB571" s="48">
        <v>0</v>
      </c>
      <c r="AC571" s="48">
        <v>0</v>
      </c>
      <c r="AD571" s="55">
        <v>0</v>
      </c>
      <c r="AE571" s="213">
        <v>0</v>
      </c>
      <c r="AF571" s="212">
        <v>0</v>
      </c>
      <c r="AG571" s="121">
        <v>0</v>
      </c>
      <c r="AH571" s="51">
        <v>0</v>
      </c>
      <c r="AI571" s="51">
        <v>0</v>
      </c>
      <c r="AJ571" s="47"/>
      <c r="AK571" s="51">
        <v>0</v>
      </c>
      <c r="AL571" s="14"/>
      <c r="AM571" s="122"/>
      <c r="AN571" s="51">
        <v>0</v>
      </c>
      <c r="AO571" s="51">
        <v>0</v>
      </c>
      <c r="AP571" s="51">
        <v>0</v>
      </c>
      <c r="AQ571" s="47"/>
      <c r="AR571" s="51">
        <v>0</v>
      </c>
      <c r="AS571" s="51">
        <v>0</v>
      </c>
    </row>
    <row r="572" ht="31.5" customHeight="1" hidden="1">
      <c r="A572" t="s" s="130">
        <v>1601</v>
      </c>
      <c r="B572" t="s" s="52">
        <v>586</v>
      </c>
      <c r="C572" t="s" s="130">
        <v>800</v>
      </c>
      <c r="D572" t="s" s="209">
        <v>717</v>
      </c>
      <c r="E572" s="189"/>
      <c r="F572" t="s" s="210">
        <v>714</v>
      </c>
      <c r="G572" s="211"/>
      <c r="H572" s="42">
        <f>SUM(J572,N572)</f>
        <v>1050</v>
      </c>
      <c r="I572" s="207">
        <f>SUM(Q572,S572,U572,W572,Y572,AA572,AC572,AE572,AG572,AI572,AK572,AM572,AO572,AQ572,AS572)</f>
        <v>650</v>
      </c>
      <c r="J572" s="43">
        <f>SUM(P572,R572,T572,V572,X572,Z572,AB572,AD572,AF572,AH572,AJ572,AL572,AN572,AP572,AR572)</f>
        <v>1050</v>
      </c>
      <c r="K572" s="44"/>
      <c r="L572" s="6"/>
      <c r="M572" s="6"/>
      <c r="N572" s="14"/>
      <c r="O572" s="122"/>
      <c r="P572" s="27">
        <v>800</v>
      </c>
      <c r="Q572" s="27">
        <v>650</v>
      </c>
      <c r="R572" s="51">
        <v>50</v>
      </c>
      <c r="S572" s="51">
        <v>0</v>
      </c>
      <c r="T572" s="51">
        <v>200</v>
      </c>
      <c r="U572" s="51">
        <v>0</v>
      </c>
      <c r="V572" s="47"/>
      <c r="W572" s="47"/>
      <c r="X572" s="51">
        <v>0</v>
      </c>
      <c r="Y572" s="51">
        <v>0</v>
      </c>
      <c r="Z572" s="48">
        <v>0</v>
      </c>
      <c r="AA572" s="48">
        <v>0</v>
      </c>
      <c r="AB572" s="48">
        <v>0</v>
      </c>
      <c r="AC572" s="48">
        <v>0</v>
      </c>
      <c r="AD572" s="55">
        <v>0</v>
      </c>
      <c r="AE572" s="213">
        <v>0</v>
      </c>
      <c r="AF572" s="212">
        <v>0</v>
      </c>
      <c r="AG572" s="121">
        <v>0</v>
      </c>
      <c r="AH572" s="51">
        <v>0</v>
      </c>
      <c r="AI572" s="51">
        <v>0</v>
      </c>
      <c r="AJ572" s="51">
        <v>0</v>
      </c>
      <c r="AK572" s="51">
        <v>0</v>
      </c>
      <c r="AL572" s="14"/>
      <c r="AM572" s="122"/>
      <c r="AN572" s="51">
        <v>0</v>
      </c>
      <c r="AO572" s="51">
        <v>0</v>
      </c>
      <c r="AP572" s="51">
        <v>0</v>
      </c>
      <c r="AQ572" s="47"/>
      <c r="AR572" s="51">
        <v>0</v>
      </c>
      <c r="AS572" s="51">
        <v>0</v>
      </c>
    </row>
    <row r="573" ht="19.5" customHeight="1" hidden="1">
      <c r="A573" t="s" s="88">
        <v>1602</v>
      </c>
      <c r="B573" t="s" s="67">
        <v>587</v>
      </c>
      <c r="C573" s="228"/>
      <c r="D573" s="228"/>
      <c r="E573" s="189"/>
      <c r="F573" s="182">
        <v>0</v>
      </c>
      <c r="G573" s="183"/>
      <c r="H573" s="42">
        <f>SUM(J573,N573)</f>
        <v>0</v>
      </c>
      <c r="I573" s="207">
        <f>SUM(Q573,S573,U573,W573,Y573,AA573,AC573,AE573,AG573,AI573,AK573,AM573,AO573,AQ573,AS573)</f>
        <v>0</v>
      </c>
      <c r="J573" s="43">
        <f>SUM(P573,R573,T573,V573,X573,Z573,AB573,AD573,AF573,AH573,AJ573,AL573,AN573,AP573,AR573)</f>
        <v>0</v>
      </c>
      <c r="K573" s="44"/>
      <c r="L573" s="6"/>
      <c r="M573" s="6"/>
      <c r="N573" s="14"/>
      <c r="O573" s="15"/>
      <c r="P573" s="186"/>
      <c r="Q573" s="76"/>
      <c r="R573" s="47"/>
      <c r="S573" s="47"/>
      <c r="T573" s="47"/>
      <c r="U573" s="47"/>
      <c r="V573" s="47"/>
      <c r="W573" s="47"/>
      <c r="X573" s="47"/>
      <c r="Y573" s="47"/>
      <c r="Z573" s="48">
        <v>0</v>
      </c>
      <c r="AA573" s="48">
        <v>0</v>
      </c>
      <c r="AB573" s="49"/>
      <c r="AC573" s="49"/>
      <c r="AD573" s="50"/>
      <c r="AE573" s="50"/>
      <c r="AF573" s="14"/>
      <c r="AG573" s="122"/>
      <c r="AH573" s="51">
        <v>0</v>
      </c>
      <c r="AI573" s="51">
        <v>0</v>
      </c>
      <c r="AJ573" s="47"/>
      <c r="AK573" s="47"/>
      <c r="AL573" s="14"/>
      <c r="AM573" s="122"/>
      <c r="AN573" s="47"/>
      <c r="AO573" s="47"/>
      <c r="AP573" s="47"/>
      <c r="AQ573" s="47"/>
      <c r="AR573" s="51">
        <v>0</v>
      </c>
      <c r="AS573" s="51">
        <v>0</v>
      </c>
    </row>
    <row r="574" ht="117" customHeight="1" hidden="1">
      <c r="A574" t="s" s="130">
        <v>1603</v>
      </c>
      <c r="B574" t="s" s="52">
        <v>588</v>
      </c>
      <c r="C574" t="s" s="130">
        <v>800</v>
      </c>
      <c r="D574" t="s" s="209">
        <v>717</v>
      </c>
      <c r="E574" t="s" s="217">
        <v>1604</v>
      </c>
      <c r="F574" t="s" s="210">
        <v>714</v>
      </c>
      <c r="G574" t="s" s="232">
        <v>883</v>
      </c>
      <c r="H574" s="42">
        <f>SUM(J574,N574)</f>
        <v>5269</v>
      </c>
      <c r="I574" s="207">
        <f>SUM(Q574,S574,U574,W574,Y574,AA574,AC574,AE574,AG574,AI574,AK574,AM574,AO574,AQ574,AS574)</f>
        <v>2620</v>
      </c>
      <c r="J574" s="43">
        <f>SUM(P574,R574,T574,V574,X574,Z574,AB574,AD574,AF574,AH574,AJ574,AL574,AN574,AP574,AR574)</f>
        <v>5269</v>
      </c>
      <c r="K574" s="44"/>
      <c r="L574" s="6"/>
      <c r="M574" s="6"/>
      <c r="N574" s="14"/>
      <c r="O574" s="122"/>
      <c r="P574" s="27">
        <v>2000</v>
      </c>
      <c r="Q574" s="27">
        <v>1116</v>
      </c>
      <c r="R574" s="51">
        <v>350</v>
      </c>
      <c r="S574" s="51">
        <v>340</v>
      </c>
      <c r="T574" s="51">
        <v>150</v>
      </c>
      <c r="U574" s="51">
        <v>60</v>
      </c>
      <c r="V574" s="51">
        <v>300</v>
      </c>
      <c r="W574" s="51">
        <v>96</v>
      </c>
      <c r="X574" s="51">
        <v>150</v>
      </c>
      <c r="Y574" s="51">
        <v>50</v>
      </c>
      <c r="Z574" s="48">
        <v>200</v>
      </c>
      <c r="AA574" s="48">
        <v>150</v>
      </c>
      <c r="AB574" s="48">
        <v>1214</v>
      </c>
      <c r="AC574" s="48">
        <v>424</v>
      </c>
      <c r="AD574" s="55">
        <v>463</v>
      </c>
      <c r="AE574" s="213">
        <v>138</v>
      </c>
      <c r="AF574" s="212">
        <v>35</v>
      </c>
      <c r="AG574" s="121">
        <v>20</v>
      </c>
      <c r="AH574" s="51">
        <v>407</v>
      </c>
      <c r="AI574" s="51">
        <v>226</v>
      </c>
      <c r="AJ574" s="51">
        <v>0</v>
      </c>
      <c r="AK574" s="51">
        <v>0</v>
      </c>
      <c r="AL574" s="14"/>
      <c r="AM574" s="122"/>
      <c r="AN574" s="51">
        <v>0</v>
      </c>
      <c r="AO574" s="51">
        <v>0</v>
      </c>
      <c r="AP574" s="51">
        <v>0</v>
      </c>
      <c r="AQ574" s="47"/>
      <c r="AR574" s="51">
        <v>0</v>
      </c>
      <c r="AS574" s="51">
        <v>0</v>
      </c>
    </row>
    <row r="575" ht="78" customHeight="1" hidden="1">
      <c r="A575" t="s" s="59">
        <v>1605</v>
      </c>
      <c r="B575" t="s" s="21">
        <v>589</v>
      </c>
      <c r="C575" t="s" s="59">
        <v>1149</v>
      </c>
      <c r="D575" t="s" s="190">
        <v>791</v>
      </c>
      <c r="E575" t="s" s="216">
        <v>1606</v>
      </c>
      <c r="F575" t="s" s="192">
        <v>714</v>
      </c>
      <c r="G575" s="193"/>
      <c r="H575" s="194">
        <f>SUM(J575,N575)</f>
        <v>31723</v>
      </c>
      <c r="I575" s="195">
        <f>SUM(Q575,S575,U575,W575,Y575,AA575,AC575,AE575,AG575,AI575,AK575,AM575,AO575,AQ575,AS575)</f>
        <v>3692</v>
      </c>
      <c r="J575" s="23">
        <f>SUM(P575,R575,T575,V575,X575,Z575,AB575,AD575,AF575,AH575,AJ575,AL575,AN575,AP575,AR575)</f>
        <v>31723</v>
      </c>
      <c r="K575" s="36"/>
      <c r="L575" s="196"/>
      <c r="M575" s="196"/>
      <c r="N575" s="196"/>
      <c r="O575" s="197"/>
      <c r="P575" s="27">
        <v>20000</v>
      </c>
      <c r="Q575" s="27">
        <v>299</v>
      </c>
      <c r="R575" s="28">
        <v>360</v>
      </c>
      <c r="S575" s="28">
        <v>0</v>
      </c>
      <c r="T575" s="28">
        <v>1000</v>
      </c>
      <c r="U575" s="28">
        <v>498</v>
      </c>
      <c r="V575" s="28">
        <v>600</v>
      </c>
      <c r="W575" s="28">
        <v>0</v>
      </c>
      <c r="X575" s="28">
        <v>250</v>
      </c>
      <c r="Y575" s="28">
        <v>250</v>
      </c>
      <c r="Z575" s="30">
        <v>2500</v>
      </c>
      <c r="AA575" s="30">
        <v>1450</v>
      </c>
      <c r="AB575" s="30">
        <v>2403</v>
      </c>
      <c r="AC575" s="30">
        <v>231</v>
      </c>
      <c r="AD575" s="30">
        <v>1500</v>
      </c>
      <c r="AE575" s="30">
        <v>219</v>
      </c>
      <c r="AF575" s="198">
        <v>650</v>
      </c>
      <c r="AG575" s="206">
        <v>150</v>
      </c>
      <c r="AH575" s="28">
        <v>2160</v>
      </c>
      <c r="AI575" s="28">
        <v>595</v>
      </c>
      <c r="AJ575" s="28">
        <v>0</v>
      </c>
      <c r="AK575" s="28">
        <v>0</v>
      </c>
      <c r="AL575" s="202"/>
      <c r="AM575" s="197"/>
      <c r="AN575" s="28">
        <v>0</v>
      </c>
      <c r="AO575" s="28">
        <v>0</v>
      </c>
      <c r="AP575" s="28">
        <v>0</v>
      </c>
      <c r="AQ575" s="87"/>
      <c r="AR575" s="28">
        <v>300</v>
      </c>
      <c r="AS575" s="28">
        <v>0</v>
      </c>
    </row>
    <row r="576" ht="173.25" customHeight="1" hidden="1">
      <c r="A576" t="s" s="130">
        <v>1607</v>
      </c>
      <c r="B576" t="s" s="52">
        <v>590</v>
      </c>
      <c r="C576" s="208"/>
      <c r="D576" t="s" s="209">
        <v>717</v>
      </c>
      <c r="E576" t="s" s="217">
        <v>1608</v>
      </c>
      <c r="F576" t="s" s="210">
        <v>714</v>
      </c>
      <c r="G576" s="211"/>
      <c r="H576" s="42">
        <f>SUM(J576,N576)</f>
        <v>13850</v>
      </c>
      <c r="I576" s="207">
        <f>SUM(Q576,S576,U576,W576,Y576,AA576,AC576,AE576,AG576,AI576,AK576,AM576,AO576,AQ576,AS576)</f>
        <v>5121</v>
      </c>
      <c r="J576" s="43">
        <f>SUM(P576,R576,T576,V576,X576,Z576,AB576,AD576,AF576,AH576,AJ576,AL576,AN576,AP576,AR576)</f>
        <v>13850</v>
      </c>
      <c r="K576" s="44"/>
      <c r="L576" s="6"/>
      <c r="M576" s="6"/>
      <c r="N576" s="14"/>
      <c r="O576" s="122"/>
      <c r="P576" s="27">
        <v>2000</v>
      </c>
      <c r="Q576" s="27">
        <v>1111</v>
      </c>
      <c r="R576" s="51">
        <v>10000</v>
      </c>
      <c r="S576" s="51">
        <v>3060</v>
      </c>
      <c r="T576" s="51">
        <v>500</v>
      </c>
      <c r="U576" s="51">
        <v>150</v>
      </c>
      <c r="V576" s="51">
        <v>1350</v>
      </c>
      <c r="W576" s="51">
        <v>800</v>
      </c>
      <c r="X576" s="51">
        <v>0</v>
      </c>
      <c r="Y576" s="51">
        <v>0</v>
      </c>
      <c r="Z576" s="48">
        <v>0</v>
      </c>
      <c r="AA576" s="48">
        <v>0</v>
      </c>
      <c r="AB576" s="48">
        <v>0</v>
      </c>
      <c r="AC576" s="48">
        <v>0</v>
      </c>
      <c r="AD576" s="55">
        <v>0</v>
      </c>
      <c r="AE576" s="213">
        <v>0</v>
      </c>
      <c r="AF576" s="212">
        <v>0</v>
      </c>
      <c r="AG576" s="121">
        <v>0</v>
      </c>
      <c r="AH576" s="51">
        <v>0</v>
      </c>
      <c r="AI576" s="51">
        <v>0</v>
      </c>
      <c r="AJ576" s="51">
        <v>0</v>
      </c>
      <c r="AK576" s="51">
        <v>0</v>
      </c>
      <c r="AL576" s="14"/>
      <c r="AM576" s="122"/>
      <c r="AN576" s="51">
        <v>0</v>
      </c>
      <c r="AO576" s="51">
        <v>0</v>
      </c>
      <c r="AP576" s="51">
        <v>0</v>
      </c>
      <c r="AQ576" s="47"/>
      <c r="AR576" s="51">
        <v>0</v>
      </c>
      <c r="AS576" s="51">
        <v>0</v>
      </c>
    </row>
    <row r="577" ht="97.5" customHeight="1" hidden="1">
      <c r="A577" t="s" s="220">
        <v>1609</v>
      </c>
      <c r="B577" t="s" s="130">
        <v>591</v>
      </c>
      <c r="C577" t="s" s="220">
        <v>782</v>
      </c>
      <c r="D577" t="s" s="233">
        <v>717</v>
      </c>
      <c r="E577" t="s" s="217">
        <v>1610</v>
      </c>
      <c r="F577" t="s" s="210">
        <v>714</v>
      </c>
      <c r="G577" t="s" s="232">
        <v>883</v>
      </c>
      <c r="H577" s="42">
        <f>SUM(J577,N577)</f>
        <v>18900</v>
      </c>
      <c r="I577" s="207">
        <f>SUM(Q577,S577,U577,W577,Y577,AA577,AC577,AE577,AG577,AI577,AK577,AM577,AO577,AQ577,AS577)</f>
        <v>11977</v>
      </c>
      <c r="J577" s="43">
        <f>SUM(P577,R577,T577,V577,X577,Z577,AB577,AD577,AF577,AH577,AJ577,AL577,AN577,AP577,AR577)</f>
        <v>18800</v>
      </c>
      <c r="K577" s="44"/>
      <c r="L577" s="6"/>
      <c r="M577" s="6"/>
      <c r="N577" s="212">
        <v>100</v>
      </c>
      <c r="O577" s="122"/>
      <c r="P577" s="27">
        <v>10000</v>
      </c>
      <c r="Q577" s="27">
        <v>3890</v>
      </c>
      <c r="R577" s="51">
        <v>1100</v>
      </c>
      <c r="S577" s="51">
        <v>1035</v>
      </c>
      <c r="T577" s="51">
        <v>2800</v>
      </c>
      <c r="U577" s="51">
        <v>2776</v>
      </c>
      <c r="V577" s="51">
        <v>2400</v>
      </c>
      <c r="W577" s="51">
        <v>2390</v>
      </c>
      <c r="X577" s="51">
        <v>2500</v>
      </c>
      <c r="Y577" s="51">
        <v>1886</v>
      </c>
      <c r="Z577" s="48">
        <v>0</v>
      </c>
      <c r="AA577" s="48">
        <v>0</v>
      </c>
      <c r="AB577" s="48">
        <v>0</v>
      </c>
      <c r="AC577" s="48">
        <v>0</v>
      </c>
      <c r="AD577" s="55">
        <v>0</v>
      </c>
      <c r="AE577" s="213">
        <v>0</v>
      </c>
      <c r="AF577" s="212">
        <v>0</v>
      </c>
      <c r="AG577" s="121">
        <v>0</v>
      </c>
      <c r="AH577" s="51">
        <v>0</v>
      </c>
      <c r="AI577" s="51">
        <v>0</v>
      </c>
      <c r="AJ577" s="51">
        <v>0</v>
      </c>
      <c r="AK577" s="51">
        <v>0</v>
      </c>
      <c r="AL577" s="14"/>
      <c r="AM577" s="122"/>
      <c r="AN577" s="51">
        <v>0</v>
      </c>
      <c r="AO577" s="51">
        <v>0</v>
      </c>
      <c r="AP577" s="51">
        <v>0</v>
      </c>
      <c r="AQ577" s="47"/>
      <c r="AR577" s="51">
        <v>0</v>
      </c>
      <c r="AS577" s="51">
        <v>0</v>
      </c>
    </row>
    <row r="578" ht="63" customHeight="1" hidden="1">
      <c r="A578" t="s" s="214">
        <v>1611</v>
      </c>
      <c r="B578" t="s" s="59">
        <v>592</v>
      </c>
      <c r="C578" t="s" s="59">
        <v>1612</v>
      </c>
      <c r="D578" t="s" s="190">
        <v>717</v>
      </c>
      <c r="E578" s="307">
        <v>1204</v>
      </c>
      <c r="F578" t="s" s="192">
        <v>714</v>
      </c>
      <c r="G578" s="193"/>
      <c r="H578" s="194">
        <f>SUM(J578,N578)</f>
        <v>104910</v>
      </c>
      <c r="I578" s="195">
        <f>SUM(Q578,S578,U578,W578,Y578,AA578,AC578,AE578,AG578,AI578,AK578,AM578,AO578,AQ578,AS578)</f>
        <v>81368</v>
      </c>
      <c r="J578" s="23">
        <f>SUM(P578,R578,T578,V578,X578,Z578,AB578,AD578,AF578,AH578,AJ578,AL578,AN578,AP578,AR578)</f>
        <v>104910</v>
      </c>
      <c r="K578" s="36"/>
      <c r="L578" s="196"/>
      <c r="M578" s="196"/>
      <c r="N578" s="196"/>
      <c r="O578" s="197"/>
      <c r="P578" s="27">
        <v>2000</v>
      </c>
      <c r="Q578" s="27">
        <v>1450</v>
      </c>
      <c r="R578" s="28">
        <v>10</v>
      </c>
      <c r="S578" s="28">
        <v>0</v>
      </c>
      <c r="T578" s="28">
        <v>7000</v>
      </c>
      <c r="U578" s="28">
        <v>5600</v>
      </c>
      <c r="V578" s="28">
        <v>10000</v>
      </c>
      <c r="W578" s="28">
        <v>9800</v>
      </c>
      <c r="X578" s="28">
        <v>4500</v>
      </c>
      <c r="Y578" s="28">
        <v>4100</v>
      </c>
      <c r="Z578" s="30">
        <v>20900</v>
      </c>
      <c r="AA578" s="30">
        <v>13750</v>
      </c>
      <c r="AB578" s="30">
        <v>7000</v>
      </c>
      <c r="AC578" s="30">
        <v>4786</v>
      </c>
      <c r="AD578" s="30">
        <v>15500</v>
      </c>
      <c r="AE578" s="30">
        <v>9751</v>
      </c>
      <c r="AF578" s="198">
        <v>3000</v>
      </c>
      <c r="AG578" s="206">
        <v>1300</v>
      </c>
      <c r="AH578" s="28">
        <v>4000</v>
      </c>
      <c r="AI578" s="28">
        <v>3285</v>
      </c>
      <c r="AJ578" s="28">
        <v>0</v>
      </c>
      <c r="AK578" s="28">
        <v>0</v>
      </c>
      <c r="AL578" s="202"/>
      <c r="AM578" s="197"/>
      <c r="AN578" s="28">
        <v>0</v>
      </c>
      <c r="AO578" s="28">
        <v>0</v>
      </c>
      <c r="AP578" s="28">
        <v>0</v>
      </c>
      <c r="AQ578" s="87"/>
      <c r="AR578" s="28">
        <v>31000</v>
      </c>
      <c r="AS578" s="28">
        <v>27546</v>
      </c>
    </row>
    <row r="579" ht="47.25" customHeight="1" hidden="1">
      <c r="A579" t="s" s="220">
        <v>1613</v>
      </c>
      <c r="B579" t="s" s="130">
        <v>593</v>
      </c>
      <c r="C579" t="s" s="130">
        <v>1612</v>
      </c>
      <c r="D579" t="s" s="209">
        <v>717</v>
      </c>
      <c r="E579" t="s" s="217">
        <v>1614</v>
      </c>
      <c r="F579" t="s" s="210">
        <v>714</v>
      </c>
      <c r="G579" s="211"/>
      <c r="H579" s="42">
        <f>SUM(J579,N579)</f>
        <v>10605</v>
      </c>
      <c r="I579" s="207">
        <f>SUM(Q579,S579,U579,W579,Y579,AA579,AC579,AE579,AG579,AI579,AK579,AM579,AO579,AQ579,AS579)</f>
        <v>4613</v>
      </c>
      <c r="J579" s="43">
        <f>SUM(P579,R579,T579,V579,X579,Z579,AB579,AD579,AF579,AH579,AJ579,AL579,AN579,AP579,AR579)</f>
        <v>10605</v>
      </c>
      <c r="K579" s="44"/>
      <c r="L579" s="6"/>
      <c r="M579" s="6"/>
      <c r="N579" s="14"/>
      <c r="O579" s="122"/>
      <c r="P579" s="27">
        <v>0</v>
      </c>
      <c r="Q579" s="27">
        <v>0</v>
      </c>
      <c r="R579" s="51">
        <v>25</v>
      </c>
      <c r="S579" s="51">
        <v>10</v>
      </c>
      <c r="T579" s="51">
        <v>1000</v>
      </c>
      <c r="U579" s="51">
        <v>0</v>
      </c>
      <c r="V579" s="51">
        <v>2000</v>
      </c>
      <c r="W579" s="51">
        <v>0</v>
      </c>
      <c r="X579" s="51">
        <v>0</v>
      </c>
      <c r="Y579" s="51">
        <v>0</v>
      </c>
      <c r="Z579" s="48">
        <v>0</v>
      </c>
      <c r="AA579" s="48">
        <v>0</v>
      </c>
      <c r="AB579" s="48">
        <v>930</v>
      </c>
      <c r="AC579" s="48">
        <v>168</v>
      </c>
      <c r="AD579" s="55">
        <v>150</v>
      </c>
      <c r="AE579" s="213">
        <v>0</v>
      </c>
      <c r="AF579" s="212">
        <v>0</v>
      </c>
      <c r="AG579" s="121">
        <v>0</v>
      </c>
      <c r="AH579" s="51">
        <v>6500</v>
      </c>
      <c r="AI579" s="51">
        <v>4435</v>
      </c>
      <c r="AJ579" s="51">
        <v>0</v>
      </c>
      <c r="AK579" s="51">
        <v>0</v>
      </c>
      <c r="AL579" s="14"/>
      <c r="AM579" s="122"/>
      <c r="AN579" s="51">
        <v>0</v>
      </c>
      <c r="AO579" s="51">
        <v>0</v>
      </c>
      <c r="AP579" s="51">
        <v>0</v>
      </c>
      <c r="AQ579" s="47"/>
      <c r="AR579" s="51">
        <v>0</v>
      </c>
      <c r="AS579" s="51">
        <v>0</v>
      </c>
    </row>
    <row r="580" ht="47.25" customHeight="1" hidden="1">
      <c r="A580" t="s" s="220">
        <v>1615</v>
      </c>
      <c r="B580" t="s" s="52">
        <v>594</v>
      </c>
      <c r="C580" t="s" s="220">
        <v>800</v>
      </c>
      <c r="D580" t="s" s="233">
        <v>717</v>
      </c>
      <c r="E580" t="s" s="217">
        <v>1616</v>
      </c>
      <c r="F580" t="s" s="210">
        <v>714</v>
      </c>
      <c r="G580" s="211"/>
      <c r="H580" s="42">
        <f>SUM(J580,N580)</f>
        <v>100</v>
      </c>
      <c r="I580" s="207">
        <f>SUM(Q580,S580,U580,W580,Y580,AA580,AC580,AE580,AG580,AI580,AK580,AM580,AO580,AQ580,AS580)</f>
        <v>0</v>
      </c>
      <c r="J580" s="43">
        <f>SUM(P580,R580,T580,V580,X580,Z580,AB580,AD580,AF580,AH580,AJ580,AL580,AN580,AP580,AR580)</f>
        <v>100</v>
      </c>
      <c r="K580" s="44"/>
      <c r="L580" s="6"/>
      <c r="M580" s="6"/>
      <c r="N580" s="14"/>
      <c r="O580" s="122"/>
      <c r="P580" s="27">
        <v>0</v>
      </c>
      <c r="Q580" s="27">
        <v>0</v>
      </c>
      <c r="R580" s="51">
        <v>0</v>
      </c>
      <c r="S580" s="51">
        <v>0</v>
      </c>
      <c r="T580" s="51">
        <v>0</v>
      </c>
      <c r="U580" s="51">
        <v>0</v>
      </c>
      <c r="V580" s="51">
        <v>100</v>
      </c>
      <c r="W580" s="51">
        <v>0</v>
      </c>
      <c r="X580" s="51">
        <v>0</v>
      </c>
      <c r="Y580" s="51">
        <v>0</v>
      </c>
      <c r="Z580" s="48">
        <v>0</v>
      </c>
      <c r="AA580" s="48">
        <v>0</v>
      </c>
      <c r="AB580" s="48">
        <v>0</v>
      </c>
      <c r="AC580" s="48">
        <v>0</v>
      </c>
      <c r="AD580" s="55">
        <v>0</v>
      </c>
      <c r="AE580" s="213">
        <v>0</v>
      </c>
      <c r="AF580" s="212">
        <v>0</v>
      </c>
      <c r="AG580" s="121">
        <v>0</v>
      </c>
      <c r="AH580" s="51">
        <v>0</v>
      </c>
      <c r="AI580" s="51">
        <v>0</v>
      </c>
      <c r="AJ580" s="51">
        <v>0</v>
      </c>
      <c r="AK580" s="51">
        <v>0</v>
      </c>
      <c r="AL580" s="14"/>
      <c r="AM580" s="122"/>
      <c r="AN580" s="51">
        <v>0</v>
      </c>
      <c r="AO580" s="51">
        <v>0</v>
      </c>
      <c r="AP580" s="51">
        <v>0</v>
      </c>
      <c r="AQ580" s="47"/>
      <c r="AR580" s="51">
        <v>0</v>
      </c>
      <c r="AS580" s="51">
        <v>0</v>
      </c>
    </row>
    <row r="581" ht="31.5" customHeight="1" hidden="1">
      <c r="A581" t="s" s="88">
        <v>1617</v>
      </c>
      <c r="B581" t="s" s="67">
        <v>595</v>
      </c>
      <c r="C581" s="250"/>
      <c r="D581" s="250"/>
      <c r="E581" s="189"/>
      <c r="F581" s="182">
        <v>0</v>
      </c>
      <c r="G581" s="183"/>
      <c r="H581" s="42">
        <f>SUM(J581,N581)</f>
        <v>0</v>
      </c>
      <c r="I581" s="207">
        <f>SUM(Q581,S581,U581,W581,Y581,AA581,AC581,AE581,AG581,AI581,AK581,AM581,AO581,AQ581,AS581)</f>
        <v>0</v>
      </c>
      <c r="J581" s="43">
        <f>SUM(P581,R581,T581,V581,X581,Z581,AB581,AD581,AF581,AH581,AJ581,AL581,AN581,AP581,AR581)</f>
        <v>0</v>
      </c>
      <c r="K581" s="44"/>
      <c r="L581" s="6"/>
      <c r="M581" s="6"/>
      <c r="N581" s="14"/>
      <c r="O581" s="122"/>
      <c r="P581" s="46"/>
      <c r="Q581" s="46"/>
      <c r="R581" s="47"/>
      <c r="S581" s="47"/>
      <c r="T581" s="47"/>
      <c r="U581" s="47"/>
      <c r="V581" s="47"/>
      <c r="W581" s="47"/>
      <c r="X581" s="47"/>
      <c r="Y581" s="47"/>
      <c r="Z581" s="48">
        <v>0</v>
      </c>
      <c r="AA581" s="48">
        <v>0</v>
      </c>
      <c r="AB581" s="49"/>
      <c r="AC581" s="49"/>
      <c r="AD581" s="50"/>
      <c r="AE581" s="50"/>
      <c r="AF581" s="14"/>
      <c r="AG581" s="122"/>
      <c r="AH581" s="51">
        <v>0</v>
      </c>
      <c r="AI581" s="51">
        <v>0</v>
      </c>
      <c r="AJ581" s="47"/>
      <c r="AK581" s="47"/>
      <c r="AL581" s="14"/>
      <c r="AM581" s="122"/>
      <c r="AN581" s="47"/>
      <c r="AO581" s="47"/>
      <c r="AP581" s="47"/>
      <c r="AQ581" s="47"/>
      <c r="AR581" s="51">
        <v>0</v>
      </c>
      <c r="AS581" s="51">
        <v>0</v>
      </c>
    </row>
    <row r="582" ht="47.25" customHeight="1" hidden="1">
      <c r="A582" t="s" s="130">
        <v>1618</v>
      </c>
      <c r="B582" t="s" s="52">
        <v>596</v>
      </c>
      <c r="C582" t="s" s="130">
        <v>1031</v>
      </c>
      <c r="D582" t="s" s="209">
        <v>717</v>
      </c>
      <c r="E582" t="s" s="217">
        <v>1363</v>
      </c>
      <c r="F582" t="s" s="210">
        <v>714</v>
      </c>
      <c r="G582" s="211"/>
      <c r="H582" s="42">
        <f>SUM(J582,N582)</f>
        <v>0</v>
      </c>
      <c r="I582" s="207">
        <f>SUM(Q582,S582,U582,W582,Y582,AA582,AC582,AE582,AG582,AI582,AK582,AM582,AO582,AQ582,AS582)</f>
        <v>0</v>
      </c>
      <c r="J582" s="43">
        <f>SUM(P582,R582,T582,V582,X582,Z582,AB582,AD582,AF582,AH582,AJ582,AL582,AN582,AP582,AR582)</f>
        <v>0</v>
      </c>
      <c r="K582" s="44"/>
      <c r="L582" s="6"/>
      <c r="M582" s="6"/>
      <c r="N582" s="14"/>
      <c r="O582" s="122"/>
      <c r="P582" s="27">
        <v>0</v>
      </c>
      <c r="Q582" s="27">
        <v>0</v>
      </c>
      <c r="R582" s="51">
        <v>0</v>
      </c>
      <c r="S582" s="51">
        <v>0</v>
      </c>
      <c r="T582" s="51">
        <v>0</v>
      </c>
      <c r="U582" s="51">
        <v>0</v>
      </c>
      <c r="V582" s="51">
        <v>0</v>
      </c>
      <c r="W582" s="51">
        <v>0</v>
      </c>
      <c r="X582" s="51">
        <v>0</v>
      </c>
      <c r="Y582" s="51">
        <v>0</v>
      </c>
      <c r="Z582" s="48">
        <v>0</v>
      </c>
      <c r="AA582" s="48">
        <v>0</v>
      </c>
      <c r="AB582" s="48">
        <v>0</v>
      </c>
      <c r="AC582" s="48">
        <v>0</v>
      </c>
      <c r="AD582" s="55">
        <v>0</v>
      </c>
      <c r="AE582" s="213">
        <v>0</v>
      </c>
      <c r="AF582" s="212">
        <v>0</v>
      </c>
      <c r="AG582" s="121">
        <v>0</v>
      </c>
      <c r="AH582" s="51">
        <v>0</v>
      </c>
      <c r="AI582" s="51">
        <v>0</v>
      </c>
      <c r="AJ582" s="51">
        <v>0</v>
      </c>
      <c r="AK582" s="51">
        <v>0</v>
      </c>
      <c r="AL582" s="14"/>
      <c r="AM582" s="122"/>
      <c r="AN582" s="51">
        <v>0</v>
      </c>
      <c r="AO582" s="51">
        <v>0</v>
      </c>
      <c r="AP582" s="51">
        <v>0</v>
      </c>
      <c r="AQ582" s="47"/>
      <c r="AR582" s="51">
        <v>0</v>
      </c>
      <c r="AS582" s="51">
        <v>0</v>
      </c>
    </row>
    <row r="583" ht="47.25" customHeight="1" hidden="1">
      <c r="A583" t="s" s="130">
        <v>1619</v>
      </c>
      <c r="B583" t="s" s="52">
        <v>597</v>
      </c>
      <c r="C583" t="s" s="220">
        <v>782</v>
      </c>
      <c r="D583" t="s" s="233">
        <v>717</v>
      </c>
      <c r="E583" s="189"/>
      <c r="F583" t="s" s="210">
        <v>714</v>
      </c>
      <c r="G583" s="211"/>
      <c r="H583" s="42">
        <f>SUM(J583,N583)</f>
        <v>0</v>
      </c>
      <c r="I583" s="207">
        <f>SUM(Q583,S583,U583,W583,Y583,AA583,AC583,AE583,AG583,AI583,AK583,AM583,AO583,AQ583,AS583)</f>
        <v>0</v>
      </c>
      <c r="J583" s="43">
        <f>SUM(P583,R583,T583,V583,X583,Z583,AB583,AD583,AF583,AH583,AJ583,AL583,AN583,AP583,AR583)</f>
        <v>0</v>
      </c>
      <c r="K583" s="44"/>
      <c r="L583" s="6"/>
      <c r="M583" s="6"/>
      <c r="N583" s="14"/>
      <c r="O583" s="122"/>
      <c r="P583" s="27">
        <v>0</v>
      </c>
      <c r="Q583" s="27">
        <v>0</v>
      </c>
      <c r="R583" s="51">
        <v>0</v>
      </c>
      <c r="S583" s="51">
        <v>0</v>
      </c>
      <c r="T583" s="51">
        <v>0</v>
      </c>
      <c r="U583" s="51">
        <v>0</v>
      </c>
      <c r="V583" s="51">
        <v>0</v>
      </c>
      <c r="W583" s="51">
        <v>0</v>
      </c>
      <c r="X583" s="51">
        <v>0</v>
      </c>
      <c r="Y583" s="51">
        <v>0</v>
      </c>
      <c r="Z583" s="48">
        <v>0</v>
      </c>
      <c r="AA583" s="48">
        <v>0</v>
      </c>
      <c r="AB583" s="48">
        <v>0</v>
      </c>
      <c r="AC583" s="48">
        <v>0</v>
      </c>
      <c r="AD583" s="55">
        <v>0</v>
      </c>
      <c r="AE583" s="213">
        <v>0</v>
      </c>
      <c r="AF583" s="212">
        <v>0</v>
      </c>
      <c r="AG583" s="121">
        <v>0</v>
      </c>
      <c r="AH583" s="51">
        <v>0</v>
      </c>
      <c r="AI583" s="51">
        <v>0</v>
      </c>
      <c r="AJ583" s="51">
        <v>0</v>
      </c>
      <c r="AK583" s="51">
        <v>0</v>
      </c>
      <c r="AL583" s="14"/>
      <c r="AM583" s="122"/>
      <c r="AN583" s="51">
        <v>0</v>
      </c>
      <c r="AO583" s="51">
        <v>0</v>
      </c>
      <c r="AP583" s="51">
        <v>0</v>
      </c>
      <c r="AQ583" s="47"/>
      <c r="AR583" s="51">
        <v>0</v>
      </c>
      <c r="AS583" s="51">
        <v>0</v>
      </c>
    </row>
    <row r="584" ht="204.75" customHeight="1" hidden="1">
      <c r="A584" t="s" s="59">
        <v>1620</v>
      </c>
      <c r="B584" t="s" s="21">
        <v>598</v>
      </c>
      <c r="C584" t="s" s="214">
        <v>782</v>
      </c>
      <c r="D584" t="s" s="254">
        <v>717</v>
      </c>
      <c r="E584" t="s" s="216">
        <v>1621</v>
      </c>
      <c r="F584" t="s" s="192">
        <v>714</v>
      </c>
      <c r="G584" t="s" s="235">
        <v>883</v>
      </c>
      <c r="H584" s="194">
        <f>SUM(J584,N584)</f>
        <v>9390</v>
      </c>
      <c r="I584" s="195">
        <f>SUM(Q584,S584,U584,W584,Y584,AA584,AC584,AE584,AG584,AI584,AK584,AM584,AO584,AQ584,AS584)</f>
        <v>7352</v>
      </c>
      <c r="J584" s="23">
        <f>SUM(P584,R584,T584,V584,X584,Z584,AB584,AD584,AF584,AH584,AJ584,AL584,AN584,AP584,AR584)</f>
        <v>9340</v>
      </c>
      <c r="K584" s="36"/>
      <c r="L584" s="196"/>
      <c r="M584" s="196"/>
      <c r="N584" s="199">
        <v>50</v>
      </c>
      <c r="O584" s="197"/>
      <c r="P584" s="27">
        <v>5000</v>
      </c>
      <c r="Q584" s="27">
        <v>4223</v>
      </c>
      <c r="R584" s="28">
        <v>1200</v>
      </c>
      <c r="S584" s="28">
        <v>1060</v>
      </c>
      <c r="T584" s="28">
        <v>1200</v>
      </c>
      <c r="U584" s="28">
        <v>810</v>
      </c>
      <c r="V584" s="28">
        <v>1200</v>
      </c>
      <c r="W584" s="28">
        <v>700</v>
      </c>
      <c r="X584" s="28">
        <v>400</v>
      </c>
      <c r="Y584" s="28">
        <v>375</v>
      </c>
      <c r="Z584" s="30">
        <v>200</v>
      </c>
      <c r="AA584" s="30">
        <v>150</v>
      </c>
      <c r="AB584" s="30">
        <v>49</v>
      </c>
      <c r="AC584" s="30">
        <v>26</v>
      </c>
      <c r="AD584" s="30">
        <v>85</v>
      </c>
      <c r="AE584" s="30">
        <v>8</v>
      </c>
      <c r="AF584" s="198">
        <v>0</v>
      </c>
      <c r="AG584" s="206">
        <v>0</v>
      </c>
      <c r="AH584" s="28">
        <v>0</v>
      </c>
      <c r="AI584" s="28">
        <v>0</v>
      </c>
      <c r="AJ584" s="28">
        <v>0</v>
      </c>
      <c r="AK584" s="28">
        <v>0</v>
      </c>
      <c r="AL584" s="202"/>
      <c r="AM584" s="197"/>
      <c r="AN584" s="28">
        <v>0</v>
      </c>
      <c r="AO584" s="28">
        <v>0</v>
      </c>
      <c r="AP584" s="28">
        <v>1</v>
      </c>
      <c r="AQ584" s="28">
        <v>0</v>
      </c>
      <c r="AR584" s="28">
        <v>5</v>
      </c>
      <c r="AS584" s="28">
        <v>0</v>
      </c>
    </row>
    <row r="585" ht="78" customHeight="1" hidden="1">
      <c r="A585" t="s" s="103">
        <v>1622</v>
      </c>
      <c r="B585" t="s" s="10">
        <v>599</v>
      </c>
      <c r="C585" t="s" s="218">
        <v>782</v>
      </c>
      <c r="D585" t="s" s="248">
        <v>717</v>
      </c>
      <c r="E585" t="s" s="129">
        <v>1623</v>
      </c>
      <c r="F585" t="s" s="101">
        <v>714</v>
      </c>
      <c r="G585" s="203"/>
      <c r="H585" s="204">
        <f>SUM(J585,N585)</f>
        <v>26901</v>
      </c>
      <c r="I585" s="205">
        <f>SUM(Q585,S585,U585,W585,Y585,AA585,AC585,AE585,AG585,AI585,AK585,AM585,AO585,AQ585,AS585)</f>
        <v>17023</v>
      </c>
      <c r="J585" s="35">
        <f>SUM(P585,R585,T585,V585,X585,Z585,AB585,AD585,AF585,AH585,AJ585,AL585,AN585,AP585,AR585)</f>
        <v>26851</v>
      </c>
      <c r="K585" s="36"/>
      <c r="L585" s="196"/>
      <c r="M585" s="196"/>
      <c r="N585" s="199">
        <v>50</v>
      </c>
      <c r="O585" s="197"/>
      <c r="P585" s="27">
        <v>20000</v>
      </c>
      <c r="Q585" s="27">
        <v>10668</v>
      </c>
      <c r="R585" s="38">
        <v>2000</v>
      </c>
      <c r="S585" s="38">
        <v>1955</v>
      </c>
      <c r="T585" s="38">
        <v>2400</v>
      </c>
      <c r="U585" s="38">
        <v>2055</v>
      </c>
      <c r="V585" s="38">
        <v>2400</v>
      </c>
      <c r="W585" s="38">
        <v>2300</v>
      </c>
      <c r="X585" s="38">
        <v>50</v>
      </c>
      <c r="Y585" s="38">
        <v>45</v>
      </c>
      <c r="Z585" s="40">
        <v>0</v>
      </c>
      <c r="AA585" s="40">
        <v>0</v>
      </c>
      <c r="AB585" s="40">
        <v>0</v>
      </c>
      <c r="AC585" s="40">
        <v>0</v>
      </c>
      <c r="AD585" s="40">
        <v>0</v>
      </c>
      <c r="AE585" s="40">
        <v>0</v>
      </c>
      <c r="AF585" s="198">
        <v>0</v>
      </c>
      <c r="AG585" s="206">
        <v>0</v>
      </c>
      <c r="AH585" s="38">
        <v>0</v>
      </c>
      <c r="AI585" s="38">
        <v>0</v>
      </c>
      <c r="AJ585" s="38">
        <v>0</v>
      </c>
      <c r="AK585" s="38">
        <v>0</v>
      </c>
      <c r="AL585" s="202"/>
      <c r="AM585" s="197"/>
      <c r="AN585" s="38">
        <v>0</v>
      </c>
      <c r="AO585" s="38">
        <v>0</v>
      </c>
      <c r="AP585" s="38">
        <v>1</v>
      </c>
      <c r="AQ585" s="38">
        <v>0</v>
      </c>
      <c r="AR585" s="38">
        <v>0</v>
      </c>
      <c r="AS585" s="38">
        <v>0</v>
      </c>
    </row>
    <row r="586" ht="31.5" customHeight="1" hidden="1">
      <c r="A586" t="s" s="83">
        <v>1624</v>
      </c>
      <c r="B586" t="s" s="67">
        <v>600</v>
      </c>
      <c r="C586" s="250"/>
      <c r="D586" s="250"/>
      <c r="E586" s="189"/>
      <c r="F586" s="182">
        <v>0</v>
      </c>
      <c r="G586" s="183"/>
      <c r="H586" s="42">
        <f>SUM(J586,N586)</f>
        <v>0</v>
      </c>
      <c r="I586" s="207">
        <f>SUM(Q586,S586,U586,W586,Y586,AA586,AC586,AE586,AG586,AI586,AK586,AM586,AO586,AQ586,AS586)</f>
        <v>0</v>
      </c>
      <c r="J586" s="43">
        <f>SUM(P586,R586,T586,V586,X586,Z586,AB586,AD586,AF586,AH586,AJ586,AL586,AN586,AP586,AR586)</f>
        <v>0</v>
      </c>
      <c r="K586" s="44"/>
      <c r="L586" s="6"/>
      <c r="M586" s="6"/>
      <c r="N586" s="14"/>
      <c r="O586" s="15"/>
      <c r="P586" s="186"/>
      <c r="Q586" s="76"/>
      <c r="R586" s="47"/>
      <c r="S586" s="47"/>
      <c r="T586" s="47"/>
      <c r="U586" s="47"/>
      <c r="V586" s="47"/>
      <c r="W586" s="47"/>
      <c r="X586" s="47"/>
      <c r="Y586" s="47"/>
      <c r="Z586" s="48">
        <v>0</v>
      </c>
      <c r="AA586" s="48">
        <v>0</v>
      </c>
      <c r="AB586" s="49"/>
      <c r="AC586" s="49"/>
      <c r="AD586" s="50"/>
      <c r="AE586" s="50"/>
      <c r="AF586" s="14"/>
      <c r="AG586" s="122"/>
      <c r="AH586" s="51">
        <v>0</v>
      </c>
      <c r="AI586" s="51">
        <v>0</v>
      </c>
      <c r="AJ586" s="47"/>
      <c r="AK586" s="47"/>
      <c r="AL586" s="14"/>
      <c r="AM586" s="122"/>
      <c r="AN586" s="47"/>
      <c r="AO586" s="47"/>
      <c r="AP586" s="47"/>
      <c r="AQ586" s="47"/>
      <c r="AR586" s="51">
        <v>0</v>
      </c>
      <c r="AS586" s="51">
        <v>0</v>
      </c>
    </row>
    <row r="587" ht="19.5" customHeight="1" hidden="1">
      <c r="A587" t="s" s="83">
        <v>1625</v>
      </c>
      <c r="B587" t="s" s="82">
        <v>601</v>
      </c>
      <c r="C587" s="250"/>
      <c r="D587" s="250"/>
      <c r="E587" s="189"/>
      <c r="F587" s="182">
        <v>0</v>
      </c>
      <c r="G587" s="183"/>
      <c r="H587" s="42">
        <f>SUM(J587,N587)</f>
        <v>0</v>
      </c>
      <c r="I587" s="207">
        <f>SUM(Q587,S587,U587,W587,Y587,AA587,AC587,AE587,AG587,AI587,AK587,AM587,AO587,AQ587,AS587)</f>
        <v>0</v>
      </c>
      <c r="J587" s="43">
        <f>SUM(P587,R587,T587,V587,X587,Z587,AB587,AD587,AF587,AH587,AJ587,AL587,AN587,AP587,AR587)</f>
        <v>0</v>
      </c>
      <c r="K587" s="44"/>
      <c r="L587" s="6"/>
      <c r="M587" s="6"/>
      <c r="N587" s="14"/>
      <c r="O587" s="15"/>
      <c r="P587" s="186"/>
      <c r="Q587" s="76"/>
      <c r="R587" s="47"/>
      <c r="S587" s="47"/>
      <c r="T587" s="47"/>
      <c r="U587" s="47"/>
      <c r="V587" s="47"/>
      <c r="W587" s="47"/>
      <c r="X587" s="47"/>
      <c r="Y587" s="47"/>
      <c r="Z587" s="48">
        <v>0</v>
      </c>
      <c r="AA587" s="48">
        <v>0</v>
      </c>
      <c r="AB587" s="49"/>
      <c r="AC587" s="49"/>
      <c r="AD587" s="50"/>
      <c r="AE587" s="50"/>
      <c r="AF587" s="14"/>
      <c r="AG587" s="122"/>
      <c r="AH587" s="51">
        <v>0</v>
      </c>
      <c r="AI587" s="51">
        <v>0</v>
      </c>
      <c r="AJ587" s="47"/>
      <c r="AK587" s="47"/>
      <c r="AL587" s="14"/>
      <c r="AM587" s="122"/>
      <c r="AN587" s="47"/>
      <c r="AO587" s="47"/>
      <c r="AP587" s="47"/>
      <c r="AQ587" s="47"/>
      <c r="AR587" s="51">
        <v>0</v>
      </c>
      <c r="AS587" s="51">
        <v>0</v>
      </c>
    </row>
    <row r="588" ht="47.25" customHeight="1" hidden="1">
      <c r="A588" t="s" s="130">
        <v>1626</v>
      </c>
      <c r="B588" t="s" s="52">
        <v>602</v>
      </c>
      <c r="C588" t="s" s="220">
        <v>782</v>
      </c>
      <c r="D588" t="s" s="233">
        <v>717</v>
      </c>
      <c r="E588" t="s" s="217">
        <v>1627</v>
      </c>
      <c r="F588" t="s" s="210">
        <v>714</v>
      </c>
      <c r="G588" t="s" s="232">
        <v>1628</v>
      </c>
      <c r="H588" s="42">
        <f>SUM(J588,N588)</f>
        <v>6650</v>
      </c>
      <c r="I588" s="207">
        <f>SUM(Q588,S588,U588,W588,Y588,AA588,AC588,AE588,AG588,AI588,AK588,AM588,AO588,AQ588,AS588)</f>
        <v>868</v>
      </c>
      <c r="J588" s="43">
        <f>SUM(P588,R588,T588,V588,X588,Z588,AB588,AD588,AF588,AH588,AJ588,AL588,AN588,AP588,AR588)</f>
        <v>6650</v>
      </c>
      <c r="K588" s="44"/>
      <c r="L588" s="6"/>
      <c r="M588" s="6"/>
      <c r="N588" s="14"/>
      <c r="O588" s="122"/>
      <c r="P588" s="27">
        <v>5000</v>
      </c>
      <c r="Q588" s="27">
        <v>768</v>
      </c>
      <c r="R588" s="51">
        <v>1000</v>
      </c>
      <c r="S588" s="51">
        <v>100</v>
      </c>
      <c r="T588" s="51">
        <v>250</v>
      </c>
      <c r="U588" s="51">
        <v>0</v>
      </c>
      <c r="V588" s="51">
        <v>400</v>
      </c>
      <c r="W588" s="51">
        <v>0</v>
      </c>
      <c r="X588" s="51">
        <v>0</v>
      </c>
      <c r="Y588" s="51">
        <v>0</v>
      </c>
      <c r="Z588" s="48">
        <v>0</v>
      </c>
      <c r="AA588" s="48">
        <v>0</v>
      </c>
      <c r="AB588" s="48">
        <v>0</v>
      </c>
      <c r="AC588" s="48">
        <v>0</v>
      </c>
      <c r="AD588" s="55">
        <v>0</v>
      </c>
      <c r="AE588" s="213">
        <v>0</v>
      </c>
      <c r="AF588" s="212">
        <v>0</v>
      </c>
      <c r="AG588" s="121">
        <v>0</v>
      </c>
      <c r="AH588" s="51">
        <v>0</v>
      </c>
      <c r="AI588" s="51">
        <v>0</v>
      </c>
      <c r="AJ588" s="51">
        <v>0</v>
      </c>
      <c r="AK588" s="51">
        <v>0</v>
      </c>
      <c r="AL588" s="14"/>
      <c r="AM588" s="122"/>
      <c r="AN588" s="51">
        <v>0</v>
      </c>
      <c r="AO588" s="51">
        <v>0</v>
      </c>
      <c r="AP588" s="51">
        <v>0</v>
      </c>
      <c r="AQ588" s="47"/>
      <c r="AR588" s="51">
        <v>0</v>
      </c>
      <c r="AS588" s="51">
        <v>0</v>
      </c>
    </row>
    <row r="589" ht="19.5" customHeight="1" hidden="1">
      <c r="A589" t="s" s="83">
        <v>1629</v>
      </c>
      <c r="B589" t="s" s="82">
        <v>603</v>
      </c>
      <c r="C589" s="250"/>
      <c r="D589" s="250"/>
      <c r="E589" s="189"/>
      <c r="F589" s="182">
        <v>0</v>
      </c>
      <c r="G589" s="183"/>
      <c r="H589" s="42">
        <f>SUM(J589,N589)</f>
        <v>0</v>
      </c>
      <c r="I589" s="207">
        <f>SUM(Q589,S589,U589,W589,Y589,AA589,AC589,AE589,AG589,AI589,AK589,AM589,AO589,AQ589,AS589)</f>
        <v>0</v>
      </c>
      <c r="J589" s="43">
        <f>SUM(P589,R589,T589,V589,X589,Z589,AB589,AD589,AF589,AH589,AJ589,AL589,AN589,AP589,AR589)</f>
        <v>0</v>
      </c>
      <c r="K589" s="44"/>
      <c r="L589" s="6"/>
      <c r="M589" s="6"/>
      <c r="N589" s="14"/>
      <c r="O589" s="15"/>
      <c r="P589" s="186"/>
      <c r="Q589" s="76"/>
      <c r="R589" s="47"/>
      <c r="S589" s="47"/>
      <c r="T589" s="47"/>
      <c r="U589" s="47"/>
      <c r="V589" s="47"/>
      <c r="W589" s="47"/>
      <c r="X589" s="47"/>
      <c r="Y589" s="47"/>
      <c r="Z589" s="48">
        <v>0</v>
      </c>
      <c r="AA589" s="48">
        <v>0</v>
      </c>
      <c r="AB589" s="49"/>
      <c r="AC589" s="49"/>
      <c r="AD589" s="50"/>
      <c r="AE589" s="50"/>
      <c r="AF589" s="14"/>
      <c r="AG589" s="122"/>
      <c r="AH589" s="51">
        <v>0</v>
      </c>
      <c r="AI589" s="51">
        <v>0</v>
      </c>
      <c r="AJ589" s="47"/>
      <c r="AK589" s="47"/>
      <c r="AL589" s="14"/>
      <c r="AM589" s="122"/>
      <c r="AN589" s="47"/>
      <c r="AO589" s="47"/>
      <c r="AP589" s="47"/>
      <c r="AQ589" s="47"/>
      <c r="AR589" s="51">
        <v>0</v>
      </c>
      <c r="AS589" s="51">
        <v>0</v>
      </c>
    </row>
    <row r="590" ht="47.25" customHeight="1" hidden="1">
      <c r="A590" t="s" s="88">
        <v>1630</v>
      </c>
      <c r="B590" t="s" s="67">
        <v>604</v>
      </c>
      <c r="C590" s="228"/>
      <c r="D590" s="228"/>
      <c r="E590" s="189"/>
      <c r="F590" s="182">
        <v>0</v>
      </c>
      <c r="G590" s="183"/>
      <c r="H590" s="42">
        <f>SUM(J590,N590)</f>
        <v>0</v>
      </c>
      <c r="I590" s="207">
        <f>SUM(Q590,S590,U590,W590,Y590,AA590,AC590,AE590,AG590,AI590,AK590,AM590,AO590,AQ590,AS590)</f>
        <v>0</v>
      </c>
      <c r="J590" s="43">
        <f>SUM(P590,R590,T590,V590,X590,Z590,AB590,AD590,AF590,AH590,AJ590,AL590,AN590,AP590,AR590)</f>
        <v>0</v>
      </c>
      <c r="K590" s="44"/>
      <c r="L590" s="6"/>
      <c r="M590" s="6"/>
      <c r="N590" s="14"/>
      <c r="O590" s="15"/>
      <c r="P590" s="186"/>
      <c r="Q590" s="76"/>
      <c r="R590" s="47"/>
      <c r="S590" s="47"/>
      <c r="T590" s="47"/>
      <c r="U590" s="47"/>
      <c r="V590" s="47"/>
      <c r="W590" s="47"/>
      <c r="X590" s="47"/>
      <c r="Y590" s="47"/>
      <c r="Z590" s="48">
        <v>0</v>
      </c>
      <c r="AA590" s="48">
        <v>0</v>
      </c>
      <c r="AB590" s="49"/>
      <c r="AC590" s="49"/>
      <c r="AD590" s="50"/>
      <c r="AE590" s="50"/>
      <c r="AF590" s="14"/>
      <c r="AG590" s="122"/>
      <c r="AH590" s="51">
        <v>0</v>
      </c>
      <c r="AI590" s="51">
        <v>0</v>
      </c>
      <c r="AJ590" s="47"/>
      <c r="AK590" s="47"/>
      <c r="AL590" s="14"/>
      <c r="AM590" s="122"/>
      <c r="AN590" s="47"/>
      <c r="AO590" s="47"/>
      <c r="AP590" s="47"/>
      <c r="AQ590" s="47"/>
      <c r="AR590" s="51">
        <v>0</v>
      </c>
      <c r="AS590" s="51">
        <v>0</v>
      </c>
    </row>
    <row r="591" ht="283.5" customHeight="1" hidden="1">
      <c r="A591" t="s" s="308">
        <v>1631</v>
      </c>
      <c r="B591" t="s" s="132">
        <v>605</v>
      </c>
      <c r="C591" t="s" s="132">
        <v>800</v>
      </c>
      <c r="D591" t="s" s="217">
        <v>717</v>
      </c>
      <c r="E591" t="s" s="217">
        <v>1632</v>
      </c>
      <c r="F591" t="s" s="308">
        <v>714</v>
      </c>
      <c r="G591" s="309"/>
      <c r="H591" s="42">
        <f>SUM(J591,N591)</f>
        <v>0</v>
      </c>
      <c r="I591" s="207">
        <f>SUM(Q591,S591,U591,W591,Y591,AA591,AC591,AE591,AG591,AI591,AK591,AM591,AO591,AQ591,AS591)</f>
        <v>0</v>
      </c>
      <c r="J591" s="43">
        <f>SUM(P591,R591,T591,V591,X591,Z591,AB591,AD591,AF591,AH591,AJ591,AL591,AN591,AP591,AR591)</f>
        <v>0</v>
      </c>
      <c r="K591" s="44"/>
      <c r="L591" s="6"/>
      <c r="M591" s="6"/>
      <c r="N591" s="14"/>
      <c r="O591" s="122"/>
      <c r="P591" s="27">
        <v>0</v>
      </c>
      <c r="Q591" s="27">
        <v>0</v>
      </c>
      <c r="R591" s="51">
        <v>0</v>
      </c>
      <c r="S591" s="51">
        <v>0</v>
      </c>
      <c r="T591" s="51">
        <v>0</v>
      </c>
      <c r="U591" s="51">
        <v>0</v>
      </c>
      <c r="V591" s="51">
        <v>0</v>
      </c>
      <c r="W591" s="51">
        <v>0</v>
      </c>
      <c r="X591" s="51">
        <v>0</v>
      </c>
      <c r="Y591" s="51">
        <v>0</v>
      </c>
      <c r="Z591" s="48">
        <v>0</v>
      </c>
      <c r="AA591" s="48">
        <v>0</v>
      </c>
      <c r="AB591" s="48">
        <v>0</v>
      </c>
      <c r="AC591" s="48">
        <v>0</v>
      </c>
      <c r="AD591" s="55">
        <v>0</v>
      </c>
      <c r="AE591" s="213">
        <v>0</v>
      </c>
      <c r="AF591" s="212">
        <v>0</v>
      </c>
      <c r="AG591" s="121">
        <v>0</v>
      </c>
      <c r="AH591" s="51">
        <v>0</v>
      </c>
      <c r="AI591" s="51">
        <v>0</v>
      </c>
      <c r="AJ591" s="51">
        <v>0</v>
      </c>
      <c r="AK591" s="51">
        <v>0</v>
      </c>
      <c r="AL591" s="14"/>
      <c r="AM591" s="122"/>
      <c r="AN591" s="51">
        <v>0</v>
      </c>
      <c r="AO591" s="51">
        <v>0</v>
      </c>
      <c r="AP591" s="51">
        <v>0</v>
      </c>
      <c r="AQ591" s="47"/>
      <c r="AR591" s="47"/>
      <c r="AS591" s="47"/>
    </row>
    <row r="592" ht="220.5" customHeight="1" hidden="1">
      <c r="A592" t="s" s="132">
        <v>1633</v>
      </c>
      <c r="B592" t="s" s="132">
        <v>606</v>
      </c>
      <c r="C592" t="s" s="132">
        <v>800</v>
      </c>
      <c r="D592" t="s" s="217">
        <v>717</v>
      </c>
      <c r="E592" t="s" s="217">
        <v>1634</v>
      </c>
      <c r="F592" t="s" s="308">
        <v>714</v>
      </c>
      <c r="G592" s="309"/>
      <c r="H592" s="42">
        <f>SUM(J592,N592)</f>
        <v>0</v>
      </c>
      <c r="I592" s="207">
        <f>SUM(Q592,S592,U592,W592,Y592,AA592,AC592,AE592,AG592,AI592,AK592,AM592,AO592,AQ592,AS592)</f>
        <v>0</v>
      </c>
      <c r="J592" s="43">
        <f>SUM(P592,R592,T592,V592,X592,Z592,AB592,AD592,AF592,AH592,AJ592,AL592,AN592,AP592,AR592)</f>
        <v>0</v>
      </c>
      <c r="K592" s="44"/>
      <c r="L592" s="6"/>
      <c r="M592" s="6"/>
      <c r="N592" s="14"/>
      <c r="O592" s="122"/>
      <c r="P592" s="27">
        <v>0</v>
      </c>
      <c r="Q592" s="27">
        <v>0</v>
      </c>
      <c r="R592" s="51">
        <v>0</v>
      </c>
      <c r="S592" s="51">
        <v>0</v>
      </c>
      <c r="T592" s="51">
        <v>0</v>
      </c>
      <c r="U592" s="51">
        <v>0</v>
      </c>
      <c r="V592" s="51">
        <v>0</v>
      </c>
      <c r="W592" s="51">
        <v>0</v>
      </c>
      <c r="X592" s="51">
        <v>0</v>
      </c>
      <c r="Y592" s="51">
        <v>0</v>
      </c>
      <c r="Z592" s="48">
        <v>0</v>
      </c>
      <c r="AA592" s="48">
        <v>0</v>
      </c>
      <c r="AB592" s="48">
        <v>0</v>
      </c>
      <c r="AC592" s="48">
        <v>0</v>
      </c>
      <c r="AD592" s="55">
        <v>0</v>
      </c>
      <c r="AE592" s="213">
        <v>0</v>
      </c>
      <c r="AF592" s="212">
        <v>0</v>
      </c>
      <c r="AG592" s="122"/>
      <c r="AH592" s="51">
        <v>0</v>
      </c>
      <c r="AI592" s="51">
        <v>0</v>
      </c>
      <c r="AJ592" s="51">
        <v>0</v>
      </c>
      <c r="AK592" s="51">
        <v>0</v>
      </c>
      <c r="AL592" s="14"/>
      <c r="AM592" s="122"/>
      <c r="AN592" s="51">
        <v>0</v>
      </c>
      <c r="AO592" s="51">
        <v>0</v>
      </c>
      <c r="AP592" s="51">
        <v>0</v>
      </c>
      <c r="AQ592" s="47"/>
      <c r="AR592" s="51">
        <v>0</v>
      </c>
      <c r="AS592" s="51">
        <v>0</v>
      </c>
    </row>
    <row r="593" ht="220.5" customHeight="1" hidden="1">
      <c r="A593" t="s" s="132">
        <v>1635</v>
      </c>
      <c r="B593" t="s" s="132">
        <v>607</v>
      </c>
      <c r="C593" s="310"/>
      <c r="D593" t="s" s="217">
        <v>717</v>
      </c>
      <c r="E593" t="s" s="217">
        <v>1636</v>
      </c>
      <c r="F593" t="s" s="308">
        <v>714</v>
      </c>
      <c r="G593" s="309"/>
      <c r="H593" s="42">
        <f>SUM(J593,N593)</f>
        <v>0</v>
      </c>
      <c r="I593" s="207">
        <f>SUM(Q593,S593,U593,W593,Y593,AA593,AC593,AE593,AG593,AI593,AK593,AM593,AO593,AQ593,AS593)</f>
        <v>0</v>
      </c>
      <c r="J593" s="43">
        <f>SUM(P593,R593,T593,V593,X593,Z593,AB593,AD593,AF593,AH593,AJ593,AL593,AN593,AP593,AR593)</f>
        <v>0</v>
      </c>
      <c r="K593" s="44"/>
      <c r="L593" s="6"/>
      <c r="M593" s="6"/>
      <c r="N593" s="14"/>
      <c r="O593" s="122"/>
      <c r="P593" s="46"/>
      <c r="Q593" s="46"/>
      <c r="R593" s="51">
        <v>0</v>
      </c>
      <c r="S593" s="51">
        <v>0</v>
      </c>
      <c r="T593" s="51">
        <v>0</v>
      </c>
      <c r="U593" s="51">
        <v>0</v>
      </c>
      <c r="V593" s="51">
        <v>0</v>
      </c>
      <c r="W593" s="51">
        <v>0</v>
      </c>
      <c r="X593" s="51">
        <v>0</v>
      </c>
      <c r="Y593" s="51">
        <v>0</v>
      </c>
      <c r="Z593" s="48">
        <v>0</v>
      </c>
      <c r="AA593" s="48">
        <v>0</v>
      </c>
      <c r="AB593" s="48">
        <v>0</v>
      </c>
      <c r="AC593" s="48">
        <v>0</v>
      </c>
      <c r="AD593" s="55">
        <v>0</v>
      </c>
      <c r="AE593" s="213">
        <v>0</v>
      </c>
      <c r="AF593" s="212">
        <v>0</v>
      </c>
      <c r="AG593" s="121">
        <v>0</v>
      </c>
      <c r="AH593" s="51">
        <v>0</v>
      </c>
      <c r="AI593" s="51">
        <v>0</v>
      </c>
      <c r="AJ593" s="51">
        <v>0</v>
      </c>
      <c r="AK593" s="51">
        <v>0</v>
      </c>
      <c r="AL593" s="14"/>
      <c r="AM593" s="122"/>
      <c r="AN593" s="51">
        <v>0</v>
      </c>
      <c r="AO593" s="51">
        <v>0</v>
      </c>
      <c r="AP593" s="51">
        <v>0</v>
      </c>
      <c r="AQ593" s="47"/>
      <c r="AR593" s="51">
        <v>0</v>
      </c>
      <c r="AS593" s="51">
        <v>0</v>
      </c>
    </row>
    <row r="594" ht="315" customHeight="1" hidden="1">
      <c r="A594" t="s" s="132">
        <v>1637</v>
      </c>
      <c r="B594" t="s" s="132">
        <v>608</v>
      </c>
      <c r="C594" t="s" s="132">
        <v>1638</v>
      </c>
      <c r="D594" t="s" s="217">
        <v>717</v>
      </c>
      <c r="E594" t="s" s="217">
        <v>1639</v>
      </c>
      <c r="F594" t="s" s="308">
        <v>714</v>
      </c>
      <c r="G594" s="309"/>
      <c r="H594" s="42">
        <f>SUM(J594,N594)</f>
        <v>0</v>
      </c>
      <c r="I594" s="207">
        <f>SUM(Q594,S594,U594,W594,Y594,AA594,AC594,AE594,AG594,AI594,AK594,AM594,AO594,AQ594,AS594)</f>
        <v>0</v>
      </c>
      <c r="J594" s="43">
        <f>SUM(P594,R594,T594,V594,X594,Z594,AB594,AD594,AF594,AH594,AJ594,AL594,AN594,AP594,AR594)</f>
        <v>0</v>
      </c>
      <c r="K594" s="44"/>
      <c r="L594" s="6"/>
      <c r="M594" s="6"/>
      <c r="N594" s="14"/>
      <c r="O594" s="122"/>
      <c r="P594" s="27">
        <v>0</v>
      </c>
      <c r="Q594" s="27">
        <v>0</v>
      </c>
      <c r="R594" s="51">
        <v>0</v>
      </c>
      <c r="S594" s="51">
        <v>0</v>
      </c>
      <c r="T594" s="51">
        <v>0</v>
      </c>
      <c r="U594" s="51">
        <v>0</v>
      </c>
      <c r="V594" s="51">
        <v>0</v>
      </c>
      <c r="W594" s="51">
        <v>0</v>
      </c>
      <c r="X594" s="51">
        <v>0</v>
      </c>
      <c r="Y594" s="51">
        <v>0</v>
      </c>
      <c r="Z594" s="48">
        <v>0</v>
      </c>
      <c r="AA594" s="49"/>
      <c r="AB594" s="48">
        <v>0</v>
      </c>
      <c r="AC594" s="48">
        <v>0</v>
      </c>
      <c r="AD594" s="55">
        <v>0</v>
      </c>
      <c r="AE594" s="213">
        <v>0</v>
      </c>
      <c r="AF594" s="212">
        <v>0</v>
      </c>
      <c r="AG594" s="121">
        <v>0</v>
      </c>
      <c r="AH594" s="51">
        <v>0</v>
      </c>
      <c r="AI594" s="51">
        <v>0</v>
      </c>
      <c r="AJ594" s="51">
        <v>0</v>
      </c>
      <c r="AK594" s="51">
        <v>0</v>
      </c>
      <c r="AL594" s="14"/>
      <c r="AM594" s="122"/>
      <c r="AN594" s="51">
        <v>0</v>
      </c>
      <c r="AO594" s="51">
        <v>0</v>
      </c>
      <c r="AP594" s="51">
        <v>0</v>
      </c>
      <c r="AQ594" s="47"/>
      <c r="AR594" s="47"/>
      <c r="AS594" s="47"/>
    </row>
    <row r="595" ht="141.75" customHeight="1" hidden="1">
      <c r="A595" t="s" s="132">
        <v>1640</v>
      </c>
      <c r="B595" t="s" s="133">
        <v>609</v>
      </c>
      <c r="C595" t="s" s="132">
        <v>800</v>
      </c>
      <c r="D595" t="s" s="217">
        <v>717</v>
      </c>
      <c r="E595" t="s" s="132">
        <v>1641</v>
      </c>
      <c r="F595" t="s" s="308">
        <v>714</v>
      </c>
      <c r="G595" s="309"/>
      <c r="H595" s="42">
        <f>SUM(J595,N595)</f>
        <v>0</v>
      </c>
      <c r="I595" s="207">
        <f>SUM(Q595,S595,U595,W595,Y595,AA595,AC595,AE595,AG595,AI595,AK595,AM595,AO595,AQ595,AS595)</f>
        <v>0</v>
      </c>
      <c r="J595" s="43">
        <f>SUM(P595,R595,T595,V595,X595,Z595,AB595,AD595,AF595,AH595,AJ595,AL595,AN595,AP595,AR595)</f>
        <v>0</v>
      </c>
      <c r="K595" s="44"/>
      <c r="L595" s="6"/>
      <c r="M595" s="6"/>
      <c r="N595" s="14"/>
      <c r="O595" s="122"/>
      <c r="P595" s="27">
        <v>0</v>
      </c>
      <c r="Q595" s="27">
        <v>0</v>
      </c>
      <c r="R595" s="51">
        <v>0</v>
      </c>
      <c r="S595" s="51">
        <v>0</v>
      </c>
      <c r="T595" s="51">
        <v>0</v>
      </c>
      <c r="U595" s="51">
        <v>0</v>
      </c>
      <c r="V595" s="51">
        <v>0</v>
      </c>
      <c r="W595" s="51">
        <v>0</v>
      </c>
      <c r="X595" s="51">
        <v>0</v>
      </c>
      <c r="Y595" s="51">
        <v>0</v>
      </c>
      <c r="Z595" s="48">
        <v>0</v>
      </c>
      <c r="AA595" s="48">
        <v>0</v>
      </c>
      <c r="AB595" s="48">
        <v>0</v>
      </c>
      <c r="AC595" s="48">
        <v>0</v>
      </c>
      <c r="AD595" s="55">
        <v>0</v>
      </c>
      <c r="AE595" s="213">
        <v>0</v>
      </c>
      <c r="AF595" s="212">
        <v>0</v>
      </c>
      <c r="AG595" s="121">
        <v>0</v>
      </c>
      <c r="AH595" s="51">
        <v>0</v>
      </c>
      <c r="AI595" s="51">
        <v>0</v>
      </c>
      <c r="AJ595" s="51">
        <v>0</v>
      </c>
      <c r="AK595" s="51">
        <v>0</v>
      </c>
      <c r="AL595" s="14"/>
      <c r="AM595" s="122"/>
      <c r="AN595" s="51">
        <v>0</v>
      </c>
      <c r="AO595" s="51">
        <v>0</v>
      </c>
      <c r="AP595" s="51">
        <v>0</v>
      </c>
      <c r="AQ595" s="47"/>
      <c r="AR595" s="51">
        <v>0</v>
      </c>
      <c r="AS595" s="51">
        <v>0</v>
      </c>
    </row>
    <row r="596" ht="141.75" customHeight="1" hidden="1">
      <c r="A596" t="s" s="132">
        <v>1642</v>
      </c>
      <c r="B596" t="s" s="134">
        <v>610</v>
      </c>
      <c r="C596" t="s" s="132">
        <v>1643</v>
      </c>
      <c r="D596" t="s" s="217">
        <v>713</v>
      </c>
      <c r="E596" t="s" s="217">
        <v>1644</v>
      </c>
      <c r="F596" t="s" s="308">
        <v>714</v>
      </c>
      <c r="G596" s="309"/>
      <c r="H596" s="42">
        <f>SUM(J596,N596)</f>
        <v>0</v>
      </c>
      <c r="I596" s="207">
        <f>SUM(Q596,S596,U596,W596,Y596,AA596,AC596,AE596,AG596,AI596,AK596,AM596,AO596,AQ596,AS596)</f>
        <v>0</v>
      </c>
      <c r="J596" s="43">
        <f>SUM(P596,R596,T596,V596,X596,Z596,AB596,AD596,AF596,AH596,AJ596,AL596,AN596,AP596,AR596)</f>
        <v>0</v>
      </c>
      <c r="K596" s="44"/>
      <c r="L596" s="6"/>
      <c r="M596" s="6"/>
      <c r="N596" s="14"/>
      <c r="O596" s="122"/>
      <c r="P596" s="27">
        <v>0</v>
      </c>
      <c r="Q596" s="27">
        <v>0</v>
      </c>
      <c r="R596" s="51">
        <v>0</v>
      </c>
      <c r="S596" s="51">
        <v>0</v>
      </c>
      <c r="T596" s="51">
        <v>0</v>
      </c>
      <c r="U596" s="51">
        <v>0</v>
      </c>
      <c r="V596" s="51">
        <v>0</v>
      </c>
      <c r="W596" s="51">
        <v>0</v>
      </c>
      <c r="X596" s="51">
        <v>0</v>
      </c>
      <c r="Y596" s="51">
        <v>0</v>
      </c>
      <c r="Z596" s="48">
        <v>0</v>
      </c>
      <c r="AA596" s="48">
        <v>0</v>
      </c>
      <c r="AB596" s="48">
        <v>0</v>
      </c>
      <c r="AC596" s="48">
        <v>0</v>
      </c>
      <c r="AD596" s="55">
        <v>0</v>
      </c>
      <c r="AE596" s="213">
        <v>0</v>
      </c>
      <c r="AF596" s="212">
        <v>0</v>
      </c>
      <c r="AG596" s="121">
        <v>0</v>
      </c>
      <c r="AH596" s="51">
        <v>0</v>
      </c>
      <c r="AI596" s="51">
        <v>0</v>
      </c>
      <c r="AJ596" s="51">
        <v>0</v>
      </c>
      <c r="AK596" s="51">
        <v>0</v>
      </c>
      <c r="AL596" s="14"/>
      <c r="AM596" s="122"/>
      <c r="AN596" s="51">
        <v>0</v>
      </c>
      <c r="AO596" s="51">
        <v>0</v>
      </c>
      <c r="AP596" s="51">
        <v>0</v>
      </c>
      <c r="AQ596" s="47"/>
      <c r="AR596" s="51">
        <v>0</v>
      </c>
      <c r="AS596" s="51">
        <v>0</v>
      </c>
    </row>
    <row r="597" ht="19.5" customHeight="1" hidden="1">
      <c r="A597" s="311">
        <v>16</v>
      </c>
      <c r="B597" t="s" s="135">
        <v>611</v>
      </c>
      <c r="C597" s="312"/>
      <c r="D597" s="312"/>
      <c r="E597" s="189"/>
      <c r="F597" s="182">
        <v>0</v>
      </c>
      <c r="G597" s="183"/>
      <c r="H597" s="42">
        <f>SUM(J597,N597)</f>
        <v>0</v>
      </c>
      <c r="I597" s="207">
        <f>SUM(Q597,S597,U597,W597,Y597,AA597,AC597,AE597,AG597,AI597,AK597,AM597,AO597,AQ597,AS597)</f>
        <v>0</v>
      </c>
      <c r="J597" s="43">
        <f>SUM(P597,R597,T597,V597,X597,Z597,AB597,AD597,AF597,AH597,AJ597,AL597,AN597,AP597,AR597)</f>
        <v>0</v>
      </c>
      <c r="K597" s="44"/>
      <c r="L597" s="6"/>
      <c r="M597" s="6"/>
      <c r="N597" s="14"/>
      <c r="O597" s="122"/>
      <c r="P597" s="46"/>
      <c r="Q597" s="46"/>
      <c r="R597" s="47"/>
      <c r="S597" s="47"/>
      <c r="T597" s="47"/>
      <c r="U597" s="47"/>
      <c r="V597" s="47"/>
      <c r="W597" s="47"/>
      <c r="X597" s="47"/>
      <c r="Y597" s="47"/>
      <c r="Z597" s="48">
        <v>0</v>
      </c>
      <c r="AA597" s="48">
        <v>0</v>
      </c>
      <c r="AB597" s="49"/>
      <c r="AC597" s="49"/>
      <c r="AD597" s="50"/>
      <c r="AE597" s="50"/>
      <c r="AF597" s="14"/>
      <c r="AG597" s="122"/>
      <c r="AH597" s="51">
        <v>0</v>
      </c>
      <c r="AI597" s="51">
        <v>0</v>
      </c>
      <c r="AJ597" s="47"/>
      <c r="AK597" s="47"/>
      <c r="AL597" s="14"/>
      <c r="AM597" s="122"/>
      <c r="AN597" s="47"/>
      <c r="AO597" s="47"/>
      <c r="AP597" s="47"/>
      <c r="AQ597" s="47"/>
      <c r="AR597" s="51">
        <v>0</v>
      </c>
      <c r="AS597" s="51">
        <v>0</v>
      </c>
    </row>
    <row r="598" ht="58.5" customHeight="1" hidden="1">
      <c r="A598" t="s" s="313">
        <v>1645</v>
      </c>
      <c r="B598" t="s" s="136">
        <v>612</v>
      </c>
      <c r="C598" s="314"/>
      <c r="D598" s="314"/>
      <c r="E598" t="s" s="217">
        <v>1646</v>
      </c>
      <c r="F598" s="182">
        <v>0</v>
      </c>
      <c r="G598" s="183"/>
      <c r="H598" s="42">
        <f>SUM(J598,N598)</f>
        <v>0</v>
      </c>
      <c r="I598" s="207">
        <f>SUM(Q598,S598,U598,W598,Y598,AA598,AC598,AE598,AG598,AI598,AK598,AM598,AO598,AQ598,AS598)</f>
        <v>0</v>
      </c>
      <c r="J598" s="43">
        <f>SUM(P598,R598,T598,V598,X598,Z598,AB598,AD598,AF598,AH598,AJ598,AL598,AN598,AP598,AR598)</f>
        <v>0</v>
      </c>
      <c r="K598" s="44"/>
      <c r="L598" s="6"/>
      <c r="M598" s="6"/>
      <c r="N598" s="14"/>
      <c r="O598" s="122"/>
      <c r="P598" s="46"/>
      <c r="Q598" s="46"/>
      <c r="R598" s="47"/>
      <c r="S598" s="47"/>
      <c r="T598" s="47"/>
      <c r="U598" s="47"/>
      <c r="V598" s="47"/>
      <c r="W598" s="47"/>
      <c r="X598" s="47"/>
      <c r="Y598" s="47"/>
      <c r="Z598" s="48">
        <v>0</v>
      </c>
      <c r="AA598" s="48">
        <v>0</v>
      </c>
      <c r="AB598" s="49"/>
      <c r="AC598" s="49"/>
      <c r="AD598" s="50"/>
      <c r="AE598" s="50"/>
      <c r="AF598" s="14"/>
      <c r="AG598" s="122"/>
      <c r="AH598" s="51">
        <v>0</v>
      </c>
      <c r="AI598" s="51">
        <v>0</v>
      </c>
      <c r="AJ598" s="47"/>
      <c r="AK598" s="47"/>
      <c r="AL598" s="14"/>
      <c r="AM598" s="122"/>
      <c r="AN598" s="47"/>
      <c r="AO598" s="47"/>
      <c r="AP598" s="47"/>
      <c r="AQ598" s="47"/>
      <c r="AR598" s="51">
        <v>0</v>
      </c>
      <c r="AS598" s="51">
        <v>0</v>
      </c>
    </row>
    <row r="599" ht="175.5" customHeight="1">
      <c r="A599" t="s" s="315">
        <v>1647</v>
      </c>
      <c r="B599" t="s" s="137">
        <v>613</v>
      </c>
      <c r="C599" t="s" s="315">
        <v>800</v>
      </c>
      <c r="D599" t="s" s="316">
        <v>1648</v>
      </c>
      <c r="E599" t="s" s="217">
        <v>1649</v>
      </c>
      <c r="F599" t="s" s="210">
        <v>714</v>
      </c>
      <c r="G599" s="211"/>
      <c r="H599" s="42">
        <f>SUM(J599,N599)</f>
        <v>15000</v>
      </c>
      <c r="I599" s="207">
        <f>SUM(Q599,S599,U599,W599,Y599,AA599,AC599,AE599,AG599,AI599,AK599,AM599,AO599,AQ599,AS599)</f>
        <v>13605</v>
      </c>
      <c r="J599" s="43">
        <f>SUM(P599,R599,T599,V599,X599,Z599,AB599,AD599,AF599,AH599,AJ599,AL599,AN599,AP599,AR599)</f>
        <v>15000</v>
      </c>
      <c r="K599" s="44"/>
      <c r="L599" s="6"/>
      <c r="M599" s="6"/>
      <c r="N599" s="14"/>
      <c r="O599" s="122"/>
      <c r="P599" s="27">
        <v>0</v>
      </c>
      <c r="Q599" s="27">
        <v>0</v>
      </c>
      <c r="R599" s="51">
        <v>0</v>
      </c>
      <c r="S599" s="51">
        <v>0</v>
      </c>
      <c r="T599" s="51">
        <v>0</v>
      </c>
      <c r="U599" s="51">
        <v>0</v>
      </c>
      <c r="V599" s="51">
        <v>0</v>
      </c>
      <c r="W599" s="51">
        <v>0</v>
      </c>
      <c r="X599" s="51">
        <v>0</v>
      </c>
      <c r="Y599" s="51">
        <v>0</v>
      </c>
      <c r="Z599" s="48">
        <v>0</v>
      </c>
      <c r="AA599" s="48">
        <v>0</v>
      </c>
      <c r="AB599" s="48">
        <v>0</v>
      </c>
      <c r="AC599" s="48">
        <v>0</v>
      </c>
      <c r="AD599" s="55">
        <v>0</v>
      </c>
      <c r="AE599" s="213">
        <v>0</v>
      </c>
      <c r="AF599" s="212">
        <v>0</v>
      </c>
      <c r="AG599" s="121">
        <v>0</v>
      </c>
      <c r="AH599" s="51">
        <v>15000</v>
      </c>
      <c r="AI599" s="51">
        <v>13605</v>
      </c>
      <c r="AJ599" s="51">
        <v>0</v>
      </c>
      <c r="AK599" s="51">
        <v>0</v>
      </c>
      <c r="AL599" s="14"/>
      <c r="AM599" s="122"/>
      <c r="AN599" s="51">
        <v>0</v>
      </c>
      <c r="AO599" s="51">
        <v>0</v>
      </c>
      <c r="AP599" s="51">
        <v>0</v>
      </c>
      <c r="AQ599" s="47"/>
      <c r="AR599" s="51">
        <v>0</v>
      </c>
      <c r="AS599" s="51">
        <v>0</v>
      </c>
    </row>
    <row r="600" ht="97.5" customHeight="1">
      <c r="A600" t="s" s="315">
        <v>1650</v>
      </c>
      <c r="B600" t="s" s="137">
        <v>614</v>
      </c>
      <c r="C600" t="s" s="315">
        <v>800</v>
      </c>
      <c r="D600" t="s" s="316">
        <v>1648</v>
      </c>
      <c r="E600" t="s" s="217">
        <v>1651</v>
      </c>
      <c r="F600" t="s" s="210">
        <v>714</v>
      </c>
      <c r="G600" s="211"/>
      <c r="H600" s="42">
        <f>SUM(J600,N600)</f>
        <v>1500</v>
      </c>
      <c r="I600" s="207">
        <f>SUM(Q600,S600,U600,W600,Y600,AA600,AC600,AE600,AG600,AI600,AK600,AM600,AO600,AQ600,AS600)</f>
        <v>1175</v>
      </c>
      <c r="J600" s="43">
        <f>SUM(P600,R600,T600,V600,X600,Z600,AB600,AD600,AF600,AH600,AJ600,AL600,AN600,AP600,AR600)</f>
        <v>1500</v>
      </c>
      <c r="K600" s="44"/>
      <c r="L600" s="6"/>
      <c r="M600" s="6"/>
      <c r="N600" s="14"/>
      <c r="O600" s="122"/>
      <c r="P600" s="27">
        <v>0</v>
      </c>
      <c r="Q600" s="27">
        <v>0</v>
      </c>
      <c r="R600" s="51">
        <v>0</v>
      </c>
      <c r="S600" s="51">
        <v>0</v>
      </c>
      <c r="T600" s="51">
        <v>0</v>
      </c>
      <c r="U600" s="51">
        <v>0</v>
      </c>
      <c r="V600" s="51">
        <v>0</v>
      </c>
      <c r="W600" s="51">
        <v>0</v>
      </c>
      <c r="X600" s="51">
        <v>0</v>
      </c>
      <c r="Y600" s="51">
        <v>0</v>
      </c>
      <c r="Z600" s="48">
        <v>0</v>
      </c>
      <c r="AA600" s="48">
        <v>0</v>
      </c>
      <c r="AB600" s="48">
        <v>0</v>
      </c>
      <c r="AC600" s="48">
        <v>0</v>
      </c>
      <c r="AD600" s="55">
        <v>0</v>
      </c>
      <c r="AE600" s="213">
        <v>0</v>
      </c>
      <c r="AF600" s="212">
        <v>0</v>
      </c>
      <c r="AG600" s="121">
        <v>0</v>
      </c>
      <c r="AH600" s="51">
        <v>1500</v>
      </c>
      <c r="AI600" s="51">
        <v>1175</v>
      </c>
      <c r="AJ600" s="51">
        <v>0</v>
      </c>
      <c r="AK600" s="51">
        <v>0</v>
      </c>
      <c r="AL600" s="14"/>
      <c r="AM600" s="122"/>
      <c r="AN600" s="51">
        <v>0</v>
      </c>
      <c r="AO600" s="51">
        <v>0</v>
      </c>
      <c r="AP600" s="51">
        <v>0</v>
      </c>
      <c r="AQ600" s="47"/>
      <c r="AR600" s="51">
        <v>0</v>
      </c>
      <c r="AS600" s="51">
        <v>0</v>
      </c>
    </row>
    <row r="601" ht="63" customHeight="1" hidden="1">
      <c r="A601" t="s" s="317">
        <v>1652</v>
      </c>
      <c r="B601" t="s" s="138">
        <v>615</v>
      </c>
      <c r="C601" t="s" s="317">
        <v>800</v>
      </c>
      <c r="D601" s="318"/>
      <c r="E601" t="s" s="302">
        <v>1653</v>
      </c>
      <c r="F601" t="s" s="210">
        <v>714</v>
      </c>
      <c r="G601" s="211"/>
      <c r="H601" s="42">
        <f>SUM(J601,N601)</f>
        <v>0</v>
      </c>
      <c r="I601" s="207">
        <f>SUM(Q601,S601,U601,W601,Y601,AA601,AC601,AE601,AG601,AI601,AK601,AM601,AO601,AQ601,AS601)</f>
        <v>0</v>
      </c>
      <c r="J601" s="43">
        <f>SUM(P601,R601,T601,V601,X601,Z601,AB601,AD601,AF601,AH601,AJ601,AL601,AN601,AP601,AR601)</f>
        <v>0</v>
      </c>
      <c r="K601" s="44"/>
      <c r="L601" s="6"/>
      <c r="M601" s="6"/>
      <c r="N601" s="14"/>
      <c r="O601" s="122"/>
      <c r="P601" s="27">
        <v>0</v>
      </c>
      <c r="Q601" s="27">
        <v>0</v>
      </c>
      <c r="R601" s="51">
        <v>0</v>
      </c>
      <c r="S601" s="51">
        <v>0</v>
      </c>
      <c r="T601" s="51">
        <v>0</v>
      </c>
      <c r="U601" s="51">
        <v>0</v>
      </c>
      <c r="V601" s="51">
        <v>0</v>
      </c>
      <c r="W601" s="51">
        <v>0</v>
      </c>
      <c r="X601" s="51">
        <v>0</v>
      </c>
      <c r="Y601" s="51">
        <v>0</v>
      </c>
      <c r="Z601" s="48">
        <v>0</v>
      </c>
      <c r="AA601" s="48">
        <v>0</v>
      </c>
      <c r="AB601" s="48">
        <v>0</v>
      </c>
      <c r="AC601" s="48">
        <v>0</v>
      </c>
      <c r="AD601" s="55">
        <v>0</v>
      </c>
      <c r="AE601" s="213">
        <v>0</v>
      </c>
      <c r="AF601" s="212">
        <v>0</v>
      </c>
      <c r="AG601" s="121">
        <v>0</v>
      </c>
      <c r="AH601" s="51">
        <v>0</v>
      </c>
      <c r="AI601" s="51">
        <v>0</v>
      </c>
      <c r="AJ601" s="47"/>
      <c r="AK601" s="47"/>
      <c r="AL601" s="14"/>
      <c r="AM601" s="122"/>
      <c r="AN601" s="51">
        <v>0</v>
      </c>
      <c r="AO601" s="51">
        <v>0</v>
      </c>
      <c r="AP601" s="51">
        <v>0</v>
      </c>
      <c r="AQ601" s="47"/>
      <c r="AR601" s="51">
        <v>0</v>
      </c>
      <c r="AS601" s="51">
        <v>0</v>
      </c>
    </row>
    <row r="602" ht="30" customHeight="1">
      <c r="A602" t="s" s="315">
        <v>1654</v>
      </c>
      <c r="B602" t="s" s="137">
        <v>616</v>
      </c>
      <c r="C602" t="s" s="315">
        <v>800</v>
      </c>
      <c r="D602" t="s" s="316">
        <v>1648</v>
      </c>
      <c r="E602" s="189"/>
      <c r="F602" t="s" s="210">
        <v>714</v>
      </c>
      <c r="G602" s="211"/>
      <c r="H602" s="42">
        <f>SUM(J602,N602)</f>
        <v>4000</v>
      </c>
      <c r="I602" s="207">
        <f>SUM(Q602,S602,U602,W602,Y602,AA602,AC602,AE602,AG602,AI602,AK602,AM602,AO602,AQ602,AS602)</f>
        <v>3640</v>
      </c>
      <c r="J602" s="43">
        <f>SUM(P602,R602,T602,V602,X602,Z602,AB602,AD602,AF602,AH602,AJ602,AL602,AN602,AP602,AR602)</f>
        <v>4000</v>
      </c>
      <c r="K602" s="44"/>
      <c r="L602" s="6"/>
      <c r="M602" s="6"/>
      <c r="N602" s="14"/>
      <c r="O602" s="122"/>
      <c r="P602" s="27">
        <v>0</v>
      </c>
      <c r="Q602" s="27">
        <v>0</v>
      </c>
      <c r="R602" s="51">
        <v>0</v>
      </c>
      <c r="S602" s="51">
        <v>0</v>
      </c>
      <c r="T602" s="51">
        <v>0</v>
      </c>
      <c r="U602" s="51">
        <v>0</v>
      </c>
      <c r="V602" s="51">
        <v>0</v>
      </c>
      <c r="W602" s="51">
        <v>0</v>
      </c>
      <c r="X602" s="51">
        <v>0</v>
      </c>
      <c r="Y602" s="51">
        <v>0</v>
      </c>
      <c r="Z602" s="48">
        <v>0</v>
      </c>
      <c r="AA602" s="48">
        <v>0</v>
      </c>
      <c r="AB602" s="48">
        <v>0</v>
      </c>
      <c r="AC602" s="48">
        <v>0</v>
      </c>
      <c r="AD602" s="55">
        <v>0</v>
      </c>
      <c r="AE602" s="213">
        <v>0</v>
      </c>
      <c r="AF602" s="212">
        <v>0</v>
      </c>
      <c r="AG602" s="121">
        <v>0</v>
      </c>
      <c r="AH602" s="51">
        <v>4000</v>
      </c>
      <c r="AI602" s="51">
        <v>3640</v>
      </c>
      <c r="AJ602" s="51">
        <v>0</v>
      </c>
      <c r="AK602" s="51">
        <v>0</v>
      </c>
      <c r="AL602" s="14"/>
      <c r="AM602" s="122"/>
      <c r="AN602" s="51">
        <v>0</v>
      </c>
      <c r="AO602" s="51">
        <v>0</v>
      </c>
      <c r="AP602" s="51">
        <v>0</v>
      </c>
      <c r="AQ602" s="47"/>
      <c r="AR602" s="51">
        <v>0</v>
      </c>
      <c r="AS602" s="51">
        <v>0</v>
      </c>
    </row>
    <row r="603" ht="30" customHeight="1">
      <c r="A603" t="s" s="315">
        <v>1655</v>
      </c>
      <c r="B603" t="s" s="137">
        <v>617</v>
      </c>
      <c r="C603" t="s" s="315">
        <v>800</v>
      </c>
      <c r="D603" t="s" s="316">
        <v>1648</v>
      </c>
      <c r="E603" s="189"/>
      <c r="F603" t="s" s="210">
        <v>714</v>
      </c>
      <c r="G603" s="211"/>
      <c r="H603" s="42">
        <f>SUM(J603,N603)</f>
        <v>650</v>
      </c>
      <c r="I603" s="207">
        <f>SUM(Q603,S603,U603,W603,Y603,AA603,AC603,AE603,AG603,AI603,AK603,AM603,AO603,AQ603,AS603)</f>
        <v>550</v>
      </c>
      <c r="J603" s="43">
        <f>SUM(P603,R603,T603,V603,X603,Z603,AB603,AD603,AF603,AH603,AJ603,AL603,AN603,AP603,AR603)</f>
        <v>650</v>
      </c>
      <c r="K603" s="44"/>
      <c r="L603" s="17"/>
      <c r="M603" s="17"/>
      <c r="N603" s="18"/>
      <c r="O603" s="319"/>
      <c r="P603" s="27">
        <v>0</v>
      </c>
      <c r="Q603" s="27">
        <v>0</v>
      </c>
      <c r="R603" s="51">
        <v>300</v>
      </c>
      <c r="S603" s="51">
        <v>200</v>
      </c>
      <c r="T603" s="51">
        <v>0</v>
      </c>
      <c r="U603" s="51">
        <v>0</v>
      </c>
      <c r="V603" s="51">
        <v>50</v>
      </c>
      <c r="W603" s="51">
        <v>110</v>
      </c>
      <c r="X603" s="51">
        <v>100</v>
      </c>
      <c r="Y603" s="51">
        <v>50</v>
      </c>
      <c r="Z603" s="48">
        <v>0</v>
      </c>
      <c r="AA603" s="48">
        <v>0</v>
      </c>
      <c r="AB603" s="48">
        <v>0</v>
      </c>
      <c r="AC603" s="48">
        <v>0</v>
      </c>
      <c r="AD603" s="55">
        <v>0</v>
      </c>
      <c r="AE603" s="213">
        <v>0</v>
      </c>
      <c r="AF603" s="320">
        <v>0</v>
      </c>
      <c r="AG603" s="144">
        <v>0</v>
      </c>
      <c r="AH603" s="51">
        <v>200</v>
      </c>
      <c r="AI603" s="51">
        <v>190</v>
      </c>
      <c r="AJ603" s="51">
        <v>0</v>
      </c>
      <c r="AK603" s="51">
        <v>0</v>
      </c>
      <c r="AL603" s="18"/>
      <c r="AM603" s="319"/>
      <c r="AN603" s="51">
        <v>0</v>
      </c>
      <c r="AO603" s="51">
        <v>0</v>
      </c>
      <c r="AP603" s="51">
        <v>0</v>
      </c>
      <c r="AQ603" s="47"/>
      <c r="AR603" s="51">
        <v>0</v>
      </c>
      <c r="AS603" s="51">
        <v>0</v>
      </c>
    </row>
    <row r="604" ht="45" customHeight="1">
      <c r="A604" t="s" s="321">
        <v>1656</v>
      </c>
      <c r="B604" t="s" s="139">
        <v>618</v>
      </c>
      <c r="C604" t="s" s="321">
        <v>800</v>
      </c>
      <c r="D604" t="s" s="322">
        <v>1648</v>
      </c>
      <c r="E604" t="s" s="216">
        <v>1657</v>
      </c>
      <c r="F604" t="s" s="192">
        <v>714</v>
      </c>
      <c r="G604" s="193"/>
      <c r="H604" s="194">
        <f>SUM(J604,N604)</f>
        <v>4890</v>
      </c>
      <c r="I604" s="195">
        <f>SUM(Q604,S604,U604,W604,Y604,AA604,AC604,AE604,AG604,AI604,AK604,AM604,AO604,AQ604,AS604)</f>
        <v>3465</v>
      </c>
      <c r="J604" s="23">
        <f>SUM(P604,R604,T604,V604,X604,Z604,AB604,AD604,AF604,AH604,AJ604,AL604,AN604,AP604,AR604)</f>
        <v>4860</v>
      </c>
      <c r="K604" s="36"/>
      <c r="L604" s="25"/>
      <c r="M604" s="25"/>
      <c r="N604" s="323">
        <v>30</v>
      </c>
      <c r="O604" s="26"/>
      <c r="P604" s="27">
        <v>3000</v>
      </c>
      <c r="Q604" s="27">
        <v>1930</v>
      </c>
      <c r="R604" s="28">
        <v>60</v>
      </c>
      <c r="S604" s="28">
        <v>30</v>
      </c>
      <c r="T604" s="28">
        <v>1200</v>
      </c>
      <c r="U604" s="28">
        <v>875</v>
      </c>
      <c r="V604" s="28">
        <v>500</v>
      </c>
      <c r="W604" s="28">
        <v>550</v>
      </c>
      <c r="X604" s="28">
        <v>100</v>
      </c>
      <c r="Y604" s="28">
        <v>80</v>
      </c>
      <c r="Z604" s="30">
        <v>0</v>
      </c>
      <c r="AA604" s="30">
        <v>0</v>
      </c>
      <c r="AB604" s="30">
        <v>0</v>
      </c>
      <c r="AC604" s="30">
        <v>0</v>
      </c>
      <c r="AD604" s="30">
        <v>0</v>
      </c>
      <c r="AE604" s="30">
        <v>0</v>
      </c>
      <c r="AF604" s="31">
        <v>0</v>
      </c>
      <c r="AG604" s="37">
        <v>0</v>
      </c>
      <c r="AH604" s="28">
        <v>0</v>
      </c>
      <c r="AI604" s="28">
        <v>0</v>
      </c>
      <c r="AJ604" s="28">
        <v>0</v>
      </c>
      <c r="AK604" s="28">
        <v>0</v>
      </c>
      <c r="AL604" s="106"/>
      <c r="AM604" s="26"/>
      <c r="AN604" s="28">
        <v>0</v>
      </c>
      <c r="AO604" s="28">
        <v>0</v>
      </c>
      <c r="AP604" s="28">
        <v>0</v>
      </c>
      <c r="AQ604" s="87"/>
      <c r="AR604" s="28">
        <v>0</v>
      </c>
      <c r="AS604" s="28">
        <v>0</v>
      </c>
    </row>
    <row r="605" ht="60" customHeight="1">
      <c r="A605" t="s" s="321">
        <v>1658</v>
      </c>
      <c r="B605" t="s" s="139">
        <v>619</v>
      </c>
      <c r="C605" t="s" s="321">
        <v>1659</v>
      </c>
      <c r="D605" t="s" s="324">
        <v>1648</v>
      </c>
      <c r="E605" t="s" s="325">
        <v>1660</v>
      </c>
      <c r="F605" t="s" s="192">
        <v>714</v>
      </c>
      <c r="G605" s="193"/>
      <c r="H605" s="194">
        <f>SUM(J605,N605)</f>
        <v>2572</v>
      </c>
      <c r="I605" s="195">
        <f>SUM(Q605,S605,U605,W605,Y605,AA605,AC605,AE605,AG605,AI605,AK605,AM605,AO605,AQ605,AS605)</f>
        <v>1204</v>
      </c>
      <c r="J605" s="23">
        <f>SUM(P605,R605,T605,V605,X605,Z605,AB605,AD605,AF605,AH605,AJ605,AL605,AN605,AP605,AR605)</f>
        <v>2542</v>
      </c>
      <c r="K605" s="36"/>
      <c r="L605" s="25"/>
      <c r="M605" s="25"/>
      <c r="N605" s="323">
        <v>30</v>
      </c>
      <c r="O605" s="26"/>
      <c r="P605" s="27">
        <v>1000</v>
      </c>
      <c r="Q605" s="27">
        <v>635</v>
      </c>
      <c r="R605" s="28">
        <v>30</v>
      </c>
      <c r="S605" s="28">
        <v>15</v>
      </c>
      <c r="T605" s="28">
        <v>1000</v>
      </c>
      <c r="U605" s="28">
        <v>322</v>
      </c>
      <c r="V605" s="28">
        <v>300</v>
      </c>
      <c r="W605" s="28">
        <v>205</v>
      </c>
      <c r="X605" s="28">
        <v>30</v>
      </c>
      <c r="Y605" s="28">
        <v>15</v>
      </c>
      <c r="Z605" s="30">
        <v>0</v>
      </c>
      <c r="AA605" s="30">
        <v>0</v>
      </c>
      <c r="AB605" s="30">
        <v>152</v>
      </c>
      <c r="AC605" s="30">
        <v>12</v>
      </c>
      <c r="AD605" s="30">
        <v>0</v>
      </c>
      <c r="AE605" s="30">
        <v>0</v>
      </c>
      <c r="AF605" s="31">
        <v>0</v>
      </c>
      <c r="AG605" s="37">
        <v>0</v>
      </c>
      <c r="AH605" s="28">
        <v>30</v>
      </c>
      <c r="AI605" s="28">
        <v>0</v>
      </c>
      <c r="AJ605" s="28">
        <v>0</v>
      </c>
      <c r="AK605" s="28">
        <v>0</v>
      </c>
      <c r="AL605" s="106"/>
      <c r="AM605" s="26"/>
      <c r="AN605" s="28">
        <v>0</v>
      </c>
      <c r="AO605" s="28">
        <v>0</v>
      </c>
      <c r="AP605" s="28">
        <v>0</v>
      </c>
      <c r="AQ605" s="87"/>
      <c r="AR605" s="28">
        <v>0</v>
      </c>
      <c r="AS605" s="28">
        <v>0</v>
      </c>
    </row>
    <row r="606" ht="60" customHeight="1">
      <c r="A606" t="s" s="315">
        <v>1661</v>
      </c>
      <c r="B606" t="s" s="137">
        <v>620</v>
      </c>
      <c r="C606" t="s" s="315">
        <v>1659</v>
      </c>
      <c r="D606" t="s" s="326">
        <v>1648</v>
      </c>
      <c r="E606" s="327"/>
      <c r="F606" t="s" s="210">
        <v>714</v>
      </c>
      <c r="G606" s="211"/>
      <c r="H606" s="42">
        <f>SUM(J606,N606)</f>
        <v>182</v>
      </c>
      <c r="I606" s="207">
        <f>SUM(Q606,S606,U606,W606,Y606,AA606,AC606,AE606,AG606,AI606,AK606,AM606,AO606,AQ606,AS606)</f>
        <v>28</v>
      </c>
      <c r="J606" s="43">
        <f>SUM(P606,R606,T606,V606,X606,Z606,AB606,AD606,AF606,AH606,AJ606,AL606,AN606,AP606,AR606)</f>
        <v>182</v>
      </c>
      <c r="K606" s="44"/>
      <c r="L606" s="33"/>
      <c r="M606" s="33"/>
      <c r="N606" s="104"/>
      <c r="O606" s="328"/>
      <c r="P606" s="27">
        <v>0</v>
      </c>
      <c r="Q606" s="27">
        <v>0</v>
      </c>
      <c r="R606" s="51">
        <v>30</v>
      </c>
      <c r="S606" s="51">
        <v>0</v>
      </c>
      <c r="T606" s="51">
        <v>0</v>
      </c>
      <c r="U606" s="51">
        <v>0</v>
      </c>
      <c r="V606" s="47"/>
      <c r="W606" s="47"/>
      <c r="X606" s="51">
        <v>0</v>
      </c>
      <c r="Y606" s="51">
        <v>0</v>
      </c>
      <c r="Z606" s="48">
        <v>0</v>
      </c>
      <c r="AA606" s="48">
        <v>0</v>
      </c>
      <c r="AB606" s="48">
        <v>152</v>
      </c>
      <c r="AC606" s="48">
        <v>28</v>
      </c>
      <c r="AD606" s="55">
        <v>0</v>
      </c>
      <c r="AE606" s="213">
        <v>0</v>
      </c>
      <c r="AF606" s="329">
        <v>0</v>
      </c>
      <c r="AG606" s="142">
        <v>0</v>
      </c>
      <c r="AH606" s="51">
        <v>0</v>
      </c>
      <c r="AI606" s="51">
        <v>0</v>
      </c>
      <c r="AJ606" s="51">
        <v>0</v>
      </c>
      <c r="AK606" s="51">
        <v>0</v>
      </c>
      <c r="AL606" s="104"/>
      <c r="AM606" s="328"/>
      <c r="AN606" s="51">
        <v>0</v>
      </c>
      <c r="AO606" s="51">
        <v>0</v>
      </c>
      <c r="AP606" s="51">
        <v>0</v>
      </c>
      <c r="AQ606" s="47"/>
      <c r="AR606" s="51">
        <v>0</v>
      </c>
      <c r="AS606" s="51">
        <v>0</v>
      </c>
    </row>
    <row r="607" ht="39" customHeight="1">
      <c r="A607" t="s" s="321">
        <v>1662</v>
      </c>
      <c r="B607" t="s" s="139">
        <v>621</v>
      </c>
      <c r="C607" t="s" s="321">
        <v>782</v>
      </c>
      <c r="D607" t="s" s="322">
        <v>1648</v>
      </c>
      <c r="E607" t="s" s="216">
        <v>1663</v>
      </c>
      <c r="F607" t="s" s="192">
        <v>714</v>
      </c>
      <c r="G607" s="193"/>
      <c r="H607" s="194">
        <f>SUM(J607,N607)</f>
        <v>19492</v>
      </c>
      <c r="I607" s="195">
        <f>SUM(Q607,S607,U607,W607,Y607,AA607,AC607,AE607,AG607,AI607,AK607,AM607,AO607,AQ607,AS607)</f>
        <v>3568</v>
      </c>
      <c r="J607" s="23">
        <f>SUM(P607,R607,T607,V607,X607,Z607,AB607,AD607,AF607,AH607,AJ607,AL607,AN607,AP607,AR607)</f>
        <v>19422</v>
      </c>
      <c r="K607" s="36"/>
      <c r="L607" s="25"/>
      <c r="M607" s="25"/>
      <c r="N607" s="323">
        <v>70</v>
      </c>
      <c r="O607" s="26"/>
      <c r="P607" s="27">
        <v>10000</v>
      </c>
      <c r="Q607" s="27">
        <v>1865</v>
      </c>
      <c r="R607" s="28">
        <v>70</v>
      </c>
      <c r="S607" s="28">
        <v>35</v>
      </c>
      <c r="T607" s="28">
        <v>7200</v>
      </c>
      <c r="U607" s="28">
        <v>1133</v>
      </c>
      <c r="V607" s="28">
        <v>800</v>
      </c>
      <c r="W607" s="28">
        <v>360</v>
      </c>
      <c r="X607" s="28">
        <v>1200</v>
      </c>
      <c r="Y607" s="28">
        <v>175</v>
      </c>
      <c r="Z607" s="140"/>
      <c r="AA607" s="30">
        <v>0</v>
      </c>
      <c r="AB607" s="30">
        <v>152</v>
      </c>
      <c r="AC607" s="30">
        <v>0</v>
      </c>
      <c r="AD607" s="30">
        <v>0</v>
      </c>
      <c r="AE607" s="30">
        <v>0</v>
      </c>
      <c r="AF607" s="31">
        <v>0</v>
      </c>
      <c r="AG607" s="37">
        <v>0</v>
      </c>
      <c r="AH607" s="28">
        <v>0</v>
      </c>
      <c r="AI607" s="28">
        <v>0</v>
      </c>
      <c r="AJ607" s="28">
        <v>0</v>
      </c>
      <c r="AK607" s="28">
        <v>0</v>
      </c>
      <c r="AL607" s="106"/>
      <c r="AM607" s="26"/>
      <c r="AN607" s="28">
        <v>0</v>
      </c>
      <c r="AO607" s="28">
        <v>0</v>
      </c>
      <c r="AP607" s="28">
        <v>0</v>
      </c>
      <c r="AQ607" s="87"/>
      <c r="AR607" s="28">
        <v>0</v>
      </c>
      <c r="AS607" s="28">
        <v>0</v>
      </c>
    </row>
    <row r="608" ht="19.5" customHeight="1">
      <c r="A608" t="s" s="315">
        <v>1664</v>
      </c>
      <c r="B608" t="s" s="137">
        <v>622</v>
      </c>
      <c r="C608" t="s" s="315">
        <v>782</v>
      </c>
      <c r="D608" t="s" s="322">
        <v>1648</v>
      </c>
      <c r="E608" s="189"/>
      <c r="F608" t="s" s="210">
        <v>714</v>
      </c>
      <c r="G608" s="211"/>
      <c r="H608" s="42">
        <f>SUM(J608,N608)</f>
        <v>22000</v>
      </c>
      <c r="I608" s="207">
        <f>SUM(Q608,S608,U608,W608,Y608,AA608,AC608,AE608,AG608,AI608,AK608,AM608,AO608,AQ608,AS608)</f>
        <v>11205</v>
      </c>
      <c r="J608" s="43">
        <f>SUM(P608,R608,T608,V608,X608,Z608,AB608,AD608,AF608,AH608,AJ608,AL608,AN608,AP608,AR608)</f>
        <v>22000</v>
      </c>
      <c r="K608" s="44"/>
      <c r="L608" s="45"/>
      <c r="M608" s="45"/>
      <c r="N608" s="119"/>
      <c r="O608" s="120"/>
      <c r="P608" s="27">
        <v>10000</v>
      </c>
      <c r="Q608" s="27">
        <v>1865</v>
      </c>
      <c r="R608" s="51">
        <v>0</v>
      </c>
      <c r="S608" s="51">
        <v>0</v>
      </c>
      <c r="T608" s="51">
        <v>0</v>
      </c>
      <c r="U608" s="51">
        <v>0</v>
      </c>
      <c r="V608" s="51">
        <v>0</v>
      </c>
      <c r="W608" s="51">
        <v>0</v>
      </c>
      <c r="X608" s="51">
        <v>0</v>
      </c>
      <c r="Y608" s="51">
        <v>0</v>
      </c>
      <c r="Z608" s="48">
        <v>0</v>
      </c>
      <c r="AA608" s="48">
        <v>0</v>
      </c>
      <c r="AB608" s="48">
        <v>0</v>
      </c>
      <c r="AC608" s="48">
        <v>0</v>
      </c>
      <c r="AD608" s="55">
        <v>0</v>
      </c>
      <c r="AE608" s="213">
        <v>0</v>
      </c>
      <c r="AF608" s="330">
        <v>0</v>
      </c>
      <c r="AG608" s="143">
        <v>0</v>
      </c>
      <c r="AH608" s="51">
        <v>12000</v>
      </c>
      <c r="AI608" s="51">
        <v>9340</v>
      </c>
      <c r="AJ608" s="51">
        <v>0</v>
      </c>
      <c r="AK608" s="51">
        <v>0</v>
      </c>
      <c r="AL608" s="119"/>
      <c r="AM608" s="120"/>
      <c r="AN608" s="51">
        <v>0</v>
      </c>
      <c r="AO608" s="51">
        <v>0</v>
      </c>
      <c r="AP608" s="51">
        <v>0</v>
      </c>
      <c r="AQ608" s="47"/>
      <c r="AR608" s="51">
        <v>0</v>
      </c>
      <c r="AS608" s="51">
        <v>0</v>
      </c>
    </row>
    <row r="609" ht="19.5" customHeight="1">
      <c r="A609" t="s" s="315">
        <v>1665</v>
      </c>
      <c r="B609" t="s" s="137">
        <v>623</v>
      </c>
      <c r="C609" t="s" s="315">
        <v>800</v>
      </c>
      <c r="D609" t="s" s="322">
        <v>1648</v>
      </c>
      <c r="E609" s="189"/>
      <c r="F609" t="s" s="210">
        <v>714</v>
      </c>
      <c r="G609" s="211"/>
      <c r="H609" s="42">
        <f>SUM(J609,N609)</f>
        <v>11010</v>
      </c>
      <c r="I609" s="207">
        <f>SUM(Q609,S609,U609,W609,Y609,AA609,AC609,AE609,AG609,AI609,AK609,AM609,AO609,AQ609,AS609)</f>
        <v>9340</v>
      </c>
      <c r="J609" s="43">
        <f>SUM(P609,R609,T609,V609,X609,Z609,AB609,AD609,AF609,AH609,AJ609,AL609,AN609,AP609,AR609)</f>
        <v>11010</v>
      </c>
      <c r="K609" s="44"/>
      <c r="L609" s="6"/>
      <c r="M609" s="6"/>
      <c r="N609" s="14"/>
      <c r="O609" s="122"/>
      <c r="P609" s="27">
        <v>0</v>
      </c>
      <c r="Q609" s="27">
        <v>0</v>
      </c>
      <c r="R609" s="51">
        <v>0</v>
      </c>
      <c r="S609" s="51">
        <v>0</v>
      </c>
      <c r="T609" s="51">
        <v>0</v>
      </c>
      <c r="U609" s="51">
        <v>0</v>
      </c>
      <c r="V609" s="51">
        <v>0</v>
      </c>
      <c r="W609" s="51">
        <v>0</v>
      </c>
      <c r="X609" s="51">
        <v>10</v>
      </c>
      <c r="Y609" s="51">
        <v>0</v>
      </c>
      <c r="Z609" s="48">
        <v>0</v>
      </c>
      <c r="AA609" s="48">
        <v>0</v>
      </c>
      <c r="AB609" s="48">
        <v>0</v>
      </c>
      <c r="AC609" s="48">
        <v>0</v>
      </c>
      <c r="AD609" s="55">
        <v>0</v>
      </c>
      <c r="AE609" s="213">
        <v>0</v>
      </c>
      <c r="AF609" s="212">
        <v>0</v>
      </c>
      <c r="AG609" s="121">
        <v>0</v>
      </c>
      <c r="AH609" s="51">
        <v>11000</v>
      </c>
      <c r="AI609" s="51">
        <v>9340</v>
      </c>
      <c r="AJ609" s="51">
        <v>0</v>
      </c>
      <c r="AK609" s="51">
        <v>0</v>
      </c>
      <c r="AL609" s="14"/>
      <c r="AM609" s="122"/>
      <c r="AN609" s="51">
        <v>0</v>
      </c>
      <c r="AO609" s="51">
        <v>0</v>
      </c>
      <c r="AP609" s="51">
        <v>0</v>
      </c>
      <c r="AQ609" s="47"/>
      <c r="AR609" s="51">
        <v>0</v>
      </c>
      <c r="AS609" s="51">
        <v>0</v>
      </c>
    </row>
    <row r="610" ht="39" customHeight="1">
      <c r="A610" t="s" s="315">
        <v>1666</v>
      </c>
      <c r="B610" t="s" s="137">
        <v>624</v>
      </c>
      <c r="C610" t="s" s="315">
        <v>782</v>
      </c>
      <c r="D610" t="s" s="322">
        <v>1648</v>
      </c>
      <c r="E610" t="s" s="217">
        <v>1667</v>
      </c>
      <c r="F610" t="s" s="210">
        <v>714</v>
      </c>
      <c r="G610" s="211"/>
      <c r="H610" s="42">
        <f>SUM(J610,N610)</f>
        <v>2192</v>
      </c>
      <c r="I610" s="207">
        <f>SUM(Q610,S610,U610,W610,Y610,AA610,AC610,AE610,AG610,AI610,AK610,AM610,AO610,AQ610,AS610)</f>
        <v>2495</v>
      </c>
      <c r="J610" s="43">
        <f>SUM(P610,R610,T610,V610,X610,Z610,AB610,AD610,AF610,AH610,AJ610,AL610,AN610,AP610,AR610)</f>
        <v>2192</v>
      </c>
      <c r="K610" s="44"/>
      <c r="L610" s="6"/>
      <c r="M610" s="6"/>
      <c r="N610" s="14"/>
      <c r="O610" s="122"/>
      <c r="P610" s="141">
        <v>300</v>
      </c>
      <c r="Q610" s="27">
        <v>870</v>
      </c>
      <c r="R610" s="51">
        <v>40</v>
      </c>
      <c r="S610" s="51">
        <v>35</v>
      </c>
      <c r="T610" s="51">
        <v>1100</v>
      </c>
      <c r="U610" s="51">
        <v>953</v>
      </c>
      <c r="V610" s="51">
        <v>500</v>
      </c>
      <c r="W610" s="51">
        <v>470</v>
      </c>
      <c r="X610" s="51">
        <v>200</v>
      </c>
      <c r="Y610" s="51">
        <v>155</v>
      </c>
      <c r="Z610" s="48">
        <v>0</v>
      </c>
      <c r="AA610" s="48">
        <v>0</v>
      </c>
      <c r="AB610" s="48">
        <v>52</v>
      </c>
      <c r="AC610" s="48">
        <v>12</v>
      </c>
      <c r="AD610" s="55">
        <v>0</v>
      </c>
      <c r="AE610" s="213">
        <v>0</v>
      </c>
      <c r="AF610" s="212">
        <v>0</v>
      </c>
      <c r="AG610" s="121">
        <v>0</v>
      </c>
      <c r="AH610" s="51">
        <v>0</v>
      </c>
      <c r="AI610" s="51">
        <v>0</v>
      </c>
      <c r="AJ610" s="51">
        <v>0</v>
      </c>
      <c r="AK610" s="51">
        <v>0</v>
      </c>
      <c r="AL610" s="14"/>
      <c r="AM610" s="122"/>
      <c r="AN610" s="51">
        <v>0</v>
      </c>
      <c r="AO610" s="51">
        <v>0</v>
      </c>
      <c r="AP610" s="51">
        <v>0</v>
      </c>
      <c r="AQ610" s="47"/>
      <c r="AR610" s="51">
        <v>0</v>
      </c>
      <c r="AS610" s="51">
        <v>0</v>
      </c>
    </row>
    <row r="611" ht="45" customHeight="1">
      <c r="A611" t="s" s="315">
        <v>1668</v>
      </c>
      <c r="B611" t="s" s="137">
        <v>625</v>
      </c>
      <c r="C611" t="s" s="315">
        <v>830</v>
      </c>
      <c r="D611" t="s" s="322">
        <v>1648</v>
      </c>
      <c r="E611" t="s" s="217">
        <v>1669</v>
      </c>
      <c r="F611" t="s" s="210">
        <v>714</v>
      </c>
      <c r="G611" s="211"/>
      <c r="H611" s="42">
        <f>SUM(J611,N611)</f>
        <v>327</v>
      </c>
      <c r="I611" s="207">
        <f>SUM(Q611,S611,U611,W611,Y611,AA611,AC611,AE611,AG611,AI611,AK611,AM611,AO611,AQ611,AS611)</f>
        <v>203</v>
      </c>
      <c r="J611" s="43">
        <f>SUM(P611,R611,T611,V611,X611,Z611,AB611,AD611,AF611,AH611,AJ611,AL611,AN611,AP611,AR611)</f>
        <v>327</v>
      </c>
      <c r="K611" s="44"/>
      <c r="L611" s="6"/>
      <c r="M611" s="6"/>
      <c r="N611" s="14"/>
      <c r="O611" s="122"/>
      <c r="P611" s="27">
        <v>100</v>
      </c>
      <c r="Q611" s="27">
        <v>67</v>
      </c>
      <c r="R611" s="51">
        <v>25</v>
      </c>
      <c r="S611" s="51">
        <v>20</v>
      </c>
      <c r="T611" s="51">
        <v>80</v>
      </c>
      <c r="U611" s="51">
        <v>69</v>
      </c>
      <c r="V611" s="51">
        <v>20</v>
      </c>
      <c r="W611" s="51">
        <v>25</v>
      </c>
      <c r="X611" s="51">
        <v>50</v>
      </c>
      <c r="Y611" s="51">
        <v>20</v>
      </c>
      <c r="Z611" s="48">
        <v>0</v>
      </c>
      <c r="AA611" s="48">
        <v>0</v>
      </c>
      <c r="AB611" s="48">
        <v>52</v>
      </c>
      <c r="AC611" s="48">
        <v>2</v>
      </c>
      <c r="AD611" s="55">
        <v>0</v>
      </c>
      <c r="AE611" s="213">
        <v>0</v>
      </c>
      <c r="AF611" s="212">
        <v>0</v>
      </c>
      <c r="AG611" s="121">
        <v>0</v>
      </c>
      <c r="AH611" s="51">
        <v>0</v>
      </c>
      <c r="AI611" s="51">
        <v>0</v>
      </c>
      <c r="AJ611" s="51">
        <v>0</v>
      </c>
      <c r="AK611" s="51">
        <v>0</v>
      </c>
      <c r="AL611" s="14"/>
      <c r="AM611" s="122"/>
      <c r="AN611" s="51">
        <v>0</v>
      </c>
      <c r="AO611" s="51">
        <v>0</v>
      </c>
      <c r="AP611" s="51">
        <v>0</v>
      </c>
      <c r="AQ611" s="47"/>
      <c r="AR611" s="51">
        <v>0</v>
      </c>
      <c r="AS611" s="51">
        <v>0</v>
      </c>
    </row>
    <row r="612" ht="39" customHeight="1" hidden="1">
      <c r="A612" t="s" s="315">
        <v>1670</v>
      </c>
      <c r="B612" t="s" s="137">
        <v>626</v>
      </c>
      <c r="C612" s="331"/>
      <c r="D612" s="331"/>
      <c r="E612" t="s" s="217">
        <v>1671</v>
      </c>
      <c r="F612" t="s" s="210">
        <v>714</v>
      </c>
      <c r="G612" s="211"/>
      <c r="H612" s="42">
        <f>SUM(J612,N612)</f>
        <v>10000</v>
      </c>
      <c r="I612" s="207">
        <f>SUM(Q612,S612,U612,W612,Y612,AA612,AC612,AE612,AG612,AI612,AK612,AM612,AO612,AQ612,AS612)</f>
        <v>9425</v>
      </c>
      <c r="J612" s="43">
        <f>SUM(P612,R612,T612,V612,X612,Z612,AB612,AD612,AF612,AH612,AJ612,AL612,AN612,AP612,AR612)</f>
        <v>10000</v>
      </c>
      <c r="K612" s="44"/>
      <c r="L612" s="6"/>
      <c r="M612" s="6"/>
      <c r="N612" s="14"/>
      <c r="O612" s="122"/>
      <c r="P612" s="27">
        <v>0</v>
      </c>
      <c r="Q612" s="27">
        <v>0</v>
      </c>
      <c r="R612" s="51">
        <v>0</v>
      </c>
      <c r="S612" s="51">
        <v>0</v>
      </c>
      <c r="T612" s="51">
        <v>0</v>
      </c>
      <c r="U612" s="51">
        <v>0</v>
      </c>
      <c r="V612" s="51">
        <v>0</v>
      </c>
      <c r="W612" s="51">
        <v>0</v>
      </c>
      <c r="X612" s="51">
        <v>0</v>
      </c>
      <c r="Y612" s="51">
        <v>0</v>
      </c>
      <c r="Z612" s="48">
        <v>0</v>
      </c>
      <c r="AA612" s="48">
        <v>0</v>
      </c>
      <c r="AB612" s="48">
        <v>0</v>
      </c>
      <c r="AC612" s="48">
        <v>0</v>
      </c>
      <c r="AD612" s="55">
        <v>0</v>
      </c>
      <c r="AE612" s="213">
        <v>0</v>
      </c>
      <c r="AF612" s="212">
        <v>0</v>
      </c>
      <c r="AG612" s="121">
        <v>0</v>
      </c>
      <c r="AH612" s="51">
        <v>10000</v>
      </c>
      <c r="AI612" s="51">
        <v>9425</v>
      </c>
      <c r="AJ612" s="51">
        <v>0</v>
      </c>
      <c r="AK612" s="51">
        <v>0</v>
      </c>
      <c r="AL612" s="14"/>
      <c r="AM612" s="122"/>
      <c r="AN612" s="51">
        <v>0</v>
      </c>
      <c r="AO612" s="51">
        <v>0</v>
      </c>
      <c r="AP612" s="51">
        <v>0</v>
      </c>
      <c r="AQ612" s="47"/>
      <c r="AR612" s="51">
        <v>0</v>
      </c>
      <c r="AS612" s="51">
        <v>0</v>
      </c>
    </row>
    <row r="613" ht="30" customHeight="1">
      <c r="A613" t="s" s="315">
        <v>1672</v>
      </c>
      <c r="B613" t="s" s="137">
        <v>627</v>
      </c>
      <c r="C613" t="s" s="315">
        <v>1659</v>
      </c>
      <c r="D613" t="s" s="316">
        <v>1648</v>
      </c>
      <c r="E613" s="189"/>
      <c r="F613" t="s" s="210">
        <v>714</v>
      </c>
      <c r="G613" s="211"/>
      <c r="H613" s="42">
        <f>SUM(J613,N613)</f>
        <v>1750</v>
      </c>
      <c r="I613" s="207">
        <f>SUM(Q613,S613,U613,W613,Y613,AA613,AC613,AE613,AG613,AI613,AK613,AM613,AO613,AQ613,AS613)</f>
        <v>1530</v>
      </c>
      <c r="J613" s="43">
        <f>SUM(P613,R613,T613,V613,X613,Z613,AB613,AD613,AF613,AH613,AJ613,AL613,AN613,AP613,AR613)</f>
        <v>1750</v>
      </c>
      <c r="K613" s="44"/>
      <c r="L613" s="6"/>
      <c r="M613" s="6"/>
      <c r="N613" s="14"/>
      <c r="O613" s="122"/>
      <c r="P613" s="27">
        <v>500</v>
      </c>
      <c r="Q613" s="27">
        <v>1050</v>
      </c>
      <c r="R613" s="51">
        <v>0</v>
      </c>
      <c r="S613" s="51">
        <v>0</v>
      </c>
      <c r="T613" s="51">
        <v>1000</v>
      </c>
      <c r="U613" s="51">
        <v>300</v>
      </c>
      <c r="V613" s="51">
        <v>50</v>
      </c>
      <c r="W613" s="51">
        <v>30</v>
      </c>
      <c r="X613" s="51">
        <v>200</v>
      </c>
      <c r="Y613" s="51">
        <v>150</v>
      </c>
      <c r="Z613" s="48">
        <v>0</v>
      </c>
      <c r="AA613" s="48">
        <v>0</v>
      </c>
      <c r="AB613" s="48">
        <v>0</v>
      </c>
      <c r="AC613" s="48">
        <v>0</v>
      </c>
      <c r="AD613" s="55">
        <v>0</v>
      </c>
      <c r="AE613" s="213">
        <v>0</v>
      </c>
      <c r="AF613" s="212">
        <v>0</v>
      </c>
      <c r="AG613" s="121">
        <v>0</v>
      </c>
      <c r="AH613" s="51">
        <v>0</v>
      </c>
      <c r="AI613" s="51">
        <v>0</v>
      </c>
      <c r="AJ613" s="51">
        <v>0</v>
      </c>
      <c r="AK613" s="51">
        <v>0</v>
      </c>
      <c r="AL613" s="14"/>
      <c r="AM613" s="122"/>
      <c r="AN613" s="51">
        <v>0</v>
      </c>
      <c r="AO613" s="51">
        <v>0</v>
      </c>
      <c r="AP613" s="51">
        <v>0</v>
      </c>
      <c r="AQ613" s="47"/>
      <c r="AR613" s="51">
        <v>0</v>
      </c>
      <c r="AS613" s="51">
        <v>0</v>
      </c>
    </row>
    <row r="614" ht="30" customHeight="1" hidden="1">
      <c r="A614" t="s" s="315">
        <v>1673</v>
      </c>
      <c r="B614" t="s" s="137">
        <v>628</v>
      </c>
      <c r="C614" s="331"/>
      <c r="D614" s="331"/>
      <c r="E614" s="189"/>
      <c r="F614" t="s" s="210">
        <v>714</v>
      </c>
      <c r="G614" s="211"/>
      <c r="H614" s="42">
        <f>SUM(J614,N614)</f>
        <v>30</v>
      </c>
      <c r="I614" s="207">
        <f>SUM(Q614,S614,U614,W614,Y614,AA614,AC614,AE614,AG614,AI614,AK614,AM614,AO614,AQ614,AS614)</f>
        <v>825</v>
      </c>
      <c r="J614" s="43">
        <f>SUM(P614,R614,T614,V614,X614,Z614,AB614,AD614,AF614,AH614,AJ614,AL614,AN614,AP614,AR614)</f>
        <v>30</v>
      </c>
      <c r="K614" s="44"/>
      <c r="L614" s="6"/>
      <c r="M614" s="6"/>
      <c r="N614" s="14"/>
      <c r="O614" s="122"/>
      <c r="P614" s="27">
        <v>0</v>
      </c>
      <c r="Q614" s="27">
        <v>820</v>
      </c>
      <c r="R614" s="51">
        <v>0</v>
      </c>
      <c r="S614" s="51">
        <v>0</v>
      </c>
      <c r="T614" s="51">
        <v>0</v>
      </c>
      <c r="U614" s="51">
        <v>0</v>
      </c>
      <c r="V614" s="51">
        <v>20</v>
      </c>
      <c r="W614" s="51">
        <v>0</v>
      </c>
      <c r="X614" s="51">
        <v>0</v>
      </c>
      <c r="Y614" s="51">
        <v>0</v>
      </c>
      <c r="Z614" s="48">
        <v>0</v>
      </c>
      <c r="AA614" s="48">
        <v>0</v>
      </c>
      <c r="AB614" s="48">
        <v>0</v>
      </c>
      <c r="AC614" s="48">
        <v>0</v>
      </c>
      <c r="AD614" s="55">
        <v>0</v>
      </c>
      <c r="AE614" s="213">
        <v>0</v>
      </c>
      <c r="AF614" s="212">
        <v>0</v>
      </c>
      <c r="AG614" s="121">
        <v>0</v>
      </c>
      <c r="AH614" s="51">
        <v>10</v>
      </c>
      <c r="AI614" s="51">
        <v>5</v>
      </c>
      <c r="AJ614" s="51">
        <v>0</v>
      </c>
      <c r="AK614" s="51">
        <v>0</v>
      </c>
      <c r="AL614" s="14"/>
      <c r="AM614" s="122"/>
      <c r="AN614" s="51">
        <v>0</v>
      </c>
      <c r="AO614" s="51">
        <v>0</v>
      </c>
      <c r="AP614" s="51">
        <v>0</v>
      </c>
      <c r="AQ614" s="47"/>
      <c r="AR614" s="51">
        <v>0</v>
      </c>
      <c r="AS614" s="51">
        <v>0</v>
      </c>
    </row>
    <row r="615" ht="45" customHeight="1">
      <c r="A615" t="s" s="315">
        <v>1674</v>
      </c>
      <c r="B615" t="s" s="137">
        <v>629</v>
      </c>
      <c r="C615" t="s" s="315">
        <v>800</v>
      </c>
      <c r="D615" t="s" s="316">
        <v>1648</v>
      </c>
      <c r="E615" s="189"/>
      <c r="F615" t="s" s="210">
        <v>714</v>
      </c>
      <c r="G615" s="211"/>
      <c r="H615" s="42">
        <f>SUM(J615,N615)</f>
        <v>2</v>
      </c>
      <c r="I615" s="207">
        <f>SUM(Q615,S615,U615,W615,Y615,AA615,AC615,AE615,AG615,AI615,AK615,AM615,AO615,AQ615,AS615)</f>
        <v>10</v>
      </c>
      <c r="J615" s="43">
        <f>SUM(P615,R615,T615,V615,X615,Z615,AB615,AD615,AF615,AH615,AJ615,AL615,AN615,AP615,AR615)</f>
        <v>2</v>
      </c>
      <c r="K615" s="44"/>
      <c r="L615" s="6"/>
      <c r="M615" s="6"/>
      <c r="N615" s="14"/>
      <c r="O615" s="122"/>
      <c r="P615" s="27">
        <v>0</v>
      </c>
      <c r="Q615" s="27">
        <v>0</v>
      </c>
      <c r="R615" s="51">
        <v>0</v>
      </c>
      <c r="S615" s="51">
        <v>0</v>
      </c>
      <c r="T615" s="51">
        <v>0</v>
      </c>
      <c r="U615" s="51">
        <v>0</v>
      </c>
      <c r="V615" s="51">
        <v>0</v>
      </c>
      <c r="W615" s="51">
        <v>10</v>
      </c>
      <c r="X615" s="51">
        <v>0</v>
      </c>
      <c r="Y615" s="51">
        <v>0</v>
      </c>
      <c r="Z615" s="48">
        <v>0</v>
      </c>
      <c r="AA615" s="48">
        <v>0</v>
      </c>
      <c r="AB615" s="48">
        <v>2</v>
      </c>
      <c r="AC615" s="48">
        <v>0</v>
      </c>
      <c r="AD615" s="55">
        <v>0</v>
      </c>
      <c r="AE615" s="213">
        <v>0</v>
      </c>
      <c r="AF615" s="212">
        <v>0</v>
      </c>
      <c r="AG615" s="121">
        <v>0</v>
      </c>
      <c r="AH615" s="51">
        <v>0</v>
      </c>
      <c r="AI615" s="51">
        <v>0</v>
      </c>
      <c r="AJ615" s="51">
        <v>0</v>
      </c>
      <c r="AK615" s="51">
        <v>0</v>
      </c>
      <c r="AL615" s="14"/>
      <c r="AM615" s="122"/>
      <c r="AN615" s="51">
        <v>0</v>
      </c>
      <c r="AO615" s="51">
        <v>0</v>
      </c>
      <c r="AP615" s="51">
        <v>0</v>
      </c>
      <c r="AQ615" s="47"/>
      <c r="AR615" s="51">
        <v>0</v>
      </c>
      <c r="AS615" s="51">
        <v>0</v>
      </c>
    </row>
    <row r="616" ht="75" customHeight="1">
      <c r="A616" t="s" s="315">
        <v>1675</v>
      </c>
      <c r="B616" t="s" s="137">
        <v>630</v>
      </c>
      <c r="C616" t="s" s="315">
        <v>800</v>
      </c>
      <c r="D616" t="s" s="332">
        <v>1648</v>
      </c>
      <c r="E616" t="s" s="266">
        <v>1676</v>
      </c>
      <c r="F616" t="s" s="210">
        <v>714</v>
      </c>
      <c r="G616" s="211"/>
      <c r="H616" s="42">
        <f>SUM(J616,N616)</f>
        <v>2</v>
      </c>
      <c r="I616" s="207">
        <f>SUM(Q616,S616,U616,W616,Y616,AA616,AC616,AE616,AG616,AI616,AK616,AM616,AO616,AQ616,AS616)</f>
        <v>0</v>
      </c>
      <c r="J616" s="43">
        <f>SUM(P616,R616,T616,V616,X616,Z616,AB616,AD616,AF616,AH616,AJ616,AL616,AN616,AP616,AR616)</f>
        <v>2</v>
      </c>
      <c r="K616" s="44"/>
      <c r="L616" s="6"/>
      <c r="M616" s="6"/>
      <c r="N616" s="14"/>
      <c r="O616" s="122"/>
      <c r="P616" s="27">
        <v>0</v>
      </c>
      <c r="Q616" s="27">
        <v>0</v>
      </c>
      <c r="R616" s="51">
        <v>0</v>
      </c>
      <c r="S616" s="51">
        <v>0</v>
      </c>
      <c r="T616" s="51">
        <v>0</v>
      </c>
      <c r="U616" s="51">
        <v>0</v>
      </c>
      <c r="V616" s="51">
        <v>0</v>
      </c>
      <c r="W616" s="51">
        <v>0</v>
      </c>
      <c r="X616" s="51">
        <v>0</v>
      </c>
      <c r="Y616" s="51">
        <v>0</v>
      </c>
      <c r="Z616" s="48">
        <v>0</v>
      </c>
      <c r="AA616" s="48">
        <v>0</v>
      </c>
      <c r="AB616" s="48">
        <v>2</v>
      </c>
      <c r="AC616" s="48">
        <v>0</v>
      </c>
      <c r="AD616" s="55">
        <v>0</v>
      </c>
      <c r="AE616" s="213">
        <v>0</v>
      </c>
      <c r="AF616" s="212">
        <v>0</v>
      </c>
      <c r="AG616" s="121">
        <v>0</v>
      </c>
      <c r="AH616" s="51">
        <v>0</v>
      </c>
      <c r="AI616" s="51">
        <v>0</v>
      </c>
      <c r="AJ616" s="51">
        <v>0</v>
      </c>
      <c r="AK616" s="51">
        <v>0</v>
      </c>
      <c r="AL616" s="14"/>
      <c r="AM616" s="122"/>
      <c r="AN616" s="51">
        <v>0</v>
      </c>
      <c r="AO616" s="51">
        <v>0</v>
      </c>
      <c r="AP616" s="51">
        <v>0</v>
      </c>
      <c r="AQ616" s="47"/>
      <c r="AR616" s="51">
        <v>0</v>
      </c>
      <c r="AS616" s="51">
        <v>0</v>
      </c>
    </row>
    <row r="617" ht="210" customHeight="1">
      <c r="A617" t="s" s="315">
        <v>1677</v>
      </c>
      <c r="B617" t="s" s="137">
        <v>631</v>
      </c>
      <c r="C617" t="s" s="315">
        <v>1240</v>
      </c>
      <c r="D617" t="s" s="333">
        <v>1648</v>
      </c>
      <c r="E617" s="268"/>
      <c r="F617" t="s" s="210">
        <v>714</v>
      </c>
      <c r="G617" s="211"/>
      <c r="H617" s="42">
        <f>SUM(J617,N617)</f>
        <v>52</v>
      </c>
      <c r="I617" s="207">
        <f>SUM(Q617,S617,U617,W617,Y617,AA617,AC617,AE617,AG617,AI617,AK617,AM617,AO617,AQ617,AS617)</f>
        <v>0</v>
      </c>
      <c r="J617" s="43">
        <f>SUM(P617,R617,T617,V617,X617,Z617,AB617,AD617,AF617,AH617,AJ617,AL617,AN617,AP617,AR617)</f>
        <v>52</v>
      </c>
      <c r="K617" s="44"/>
      <c r="L617" s="6"/>
      <c r="M617" s="6"/>
      <c r="N617" s="14"/>
      <c r="O617" s="122"/>
      <c r="P617" s="27">
        <v>0</v>
      </c>
      <c r="Q617" s="27">
        <v>0</v>
      </c>
      <c r="R617" s="51">
        <v>0</v>
      </c>
      <c r="S617" s="51">
        <v>0</v>
      </c>
      <c r="T617" s="51">
        <v>0</v>
      </c>
      <c r="U617" s="51">
        <v>0</v>
      </c>
      <c r="V617" s="51">
        <v>0</v>
      </c>
      <c r="W617" s="51">
        <v>0</v>
      </c>
      <c r="X617" s="51">
        <v>0</v>
      </c>
      <c r="Y617" s="51">
        <v>0</v>
      </c>
      <c r="Z617" s="48">
        <v>0</v>
      </c>
      <c r="AA617" s="48">
        <v>0</v>
      </c>
      <c r="AB617" s="48">
        <v>52</v>
      </c>
      <c r="AC617" s="48">
        <v>0</v>
      </c>
      <c r="AD617" s="55">
        <v>0</v>
      </c>
      <c r="AE617" s="213">
        <v>0</v>
      </c>
      <c r="AF617" s="212">
        <v>0</v>
      </c>
      <c r="AG617" s="121">
        <v>0</v>
      </c>
      <c r="AH617" s="51">
        <v>0</v>
      </c>
      <c r="AI617" s="51">
        <v>0</v>
      </c>
      <c r="AJ617" s="51">
        <v>0</v>
      </c>
      <c r="AK617" s="51">
        <v>0</v>
      </c>
      <c r="AL617" s="14"/>
      <c r="AM617" s="122"/>
      <c r="AN617" s="51">
        <v>0</v>
      </c>
      <c r="AO617" s="51">
        <v>0</v>
      </c>
      <c r="AP617" s="51">
        <v>0</v>
      </c>
      <c r="AQ617" s="47"/>
      <c r="AR617" s="51">
        <v>0</v>
      </c>
      <c r="AS617" s="51">
        <v>0</v>
      </c>
    </row>
    <row r="618" ht="30" customHeight="1">
      <c r="A618" t="s" s="315">
        <v>1678</v>
      </c>
      <c r="B618" t="s" s="137">
        <v>632</v>
      </c>
      <c r="C618" t="s" s="315">
        <v>800</v>
      </c>
      <c r="D618" t="s" s="316">
        <v>1648</v>
      </c>
      <c r="E618" s="189"/>
      <c r="F618" t="s" s="210">
        <v>714</v>
      </c>
      <c r="G618" s="211"/>
      <c r="H618" s="42">
        <f>SUM(J618,N618)</f>
        <v>7800</v>
      </c>
      <c r="I618" s="207">
        <f>SUM(Q618,S618,U618,W618,Y618,AA618,AC618,AE618,AG618,AI618,AK618,AM618,AO618,AQ618,AS618)</f>
        <v>6903</v>
      </c>
      <c r="J618" s="43">
        <f>SUM(P618,R618,T618,V618,X618,Z618,AB618,AD618,AF618,AH618,AJ618,AL618,AN618,AP618,AR618)</f>
        <v>7800</v>
      </c>
      <c r="K618" s="44"/>
      <c r="L618" s="6"/>
      <c r="M618" s="6"/>
      <c r="N618" s="14"/>
      <c r="O618" s="122"/>
      <c r="P618" s="27">
        <v>0</v>
      </c>
      <c r="Q618" s="27">
        <v>0</v>
      </c>
      <c r="R618" s="51">
        <v>2000</v>
      </c>
      <c r="S618" s="51">
        <v>1713</v>
      </c>
      <c r="T618" s="51">
        <v>0</v>
      </c>
      <c r="U618" s="51">
        <v>0</v>
      </c>
      <c r="V618" s="51">
        <v>5000</v>
      </c>
      <c r="W618" s="51">
        <v>4500</v>
      </c>
      <c r="X618" s="51">
        <v>0</v>
      </c>
      <c r="Y618" s="51">
        <v>0</v>
      </c>
      <c r="Z618" s="48">
        <v>0</v>
      </c>
      <c r="AA618" s="48">
        <v>0</v>
      </c>
      <c r="AB618" s="48">
        <v>0</v>
      </c>
      <c r="AC618" s="48">
        <v>0</v>
      </c>
      <c r="AD618" s="55">
        <v>0</v>
      </c>
      <c r="AE618" s="213">
        <v>0</v>
      </c>
      <c r="AF618" s="212">
        <v>0</v>
      </c>
      <c r="AG618" s="121">
        <v>0</v>
      </c>
      <c r="AH618" s="51">
        <v>800</v>
      </c>
      <c r="AI618" s="51">
        <v>690</v>
      </c>
      <c r="AJ618" s="51">
        <v>0</v>
      </c>
      <c r="AK618" s="51">
        <v>0</v>
      </c>
      <c r="AL618" s="14"/>
      <c r="AM618" s="122"/>
      <c r="AN618" s="51">
        <v>0</v>
      </c>
      <c r="AO618" s="51">
        <v>0</v>
      </c>
      <c r="AP618" s="51">
        <v>0</v>
      </c>
      <c r="AQ618" s="47"/>
      <c r="AR618" s="51">
        <v>0</v>
      </c>
      <c r="AS618" s="51">
        <v>0</v>
      </c>
    </row>
    <row r="619" ht="78.75" customHeight="1">
      <c r="A619" t="s" s="315">
        <v>1679</v>
      </c>
      <c r="B619" t="s" s="137">
        <v>633</v>
      </c>
      <c r="C619" t="s" s="315">
        <v>800</v>
      </c>
      <c r="D619" t="s" s="316">
        <v>1648</v>
      </c>
      <c r="E619" t="s" s="236">
        <v>1680</v>
      </c>
      <c r="F619" t="s" s="210">
        <v>714</v>
      </c>
      <c r="G619" s="211"/>
      <c r="H619" s="42">
        <f>SUM(J619,N619)</f>
        <v>5000</v>
      </c>
      <c r="I619" s="207">
        <f>SUM(Q619,S619,U619,W619,Y619,AA619,AC619,AE619,AG619,AI619,AK619,AM619,AO619,AQ619,AS619)</f>
        <v>4330</v>
      </c>
      <c r="J619" s="43">
        <f>SUM(P619,R619,T619,V619,X619,Z619,AB619,AD619,AF619,AH619,AJ619,AL619,AN619,AP619,AR619)</f>
        <v>5000</v>
      </c>
      <c r="K619" s="44"/>
      <c r="L619" s="6"/>
      <c r="M619" s="6"/>
      <c r="N619" s="14"/>
      <c r="O619" s="122"/>
      <c r="P619" s="27">
        <v>0</v>
      </c>
      <c r="Q619" s="27">
        <v>0</v>
      </c>
      <c r="R619" s="51">
        <v>0</v>
      </c>
      <c r="S619" s="51">
        <v>0</v>
      </c>
      <c r="T619" s="51">
        <v>0</v>
      </c>
      <c r="U619" s="51">
        <v>0</v>
      </c>
      <c r="V619" s="51">
        <v>0</v>
      </c>
      <c r="W619" s="51">
        <v>0</v>
      </c>
      <c r="X619" s="51">
        <v>0</v>
      </c>
      <c r="Y619" s="51">
        <v>0</v>
      </c>
      <c r="Z619" s="48">
        <v>0</v>
      </c>
      <c r="AA619" s="48">
        <v>0</v>
      </c>
      <c r="AB619" s="48">
        <v>0</v>
      </c>
      <c r="AC619" s="48">
        <v>0</v>
      </c>
      <c r="AD619" s="55">
        <v>0</v>
      </c>
      <c r="AE619" s="213">
        <v>0</v>
      </c>
      <c r="AF619" s="212">
        <v>0</v>
      </c>
      <c r="AG619" s="121">
        <v>0</v>
      </c>
      <c r="AH619" s="51">
        <v>5000</v>
      </c>
      <c r="AI619" s="51">
        <v>4330</v>
      </c>
      <c r="AJ619" s="51">
        <v>0</v>
      </c>
      <c r="AK619" s="51">
        <v>0</v>
      </c>
      <c r="AL619" s="14"/>
      <c r="AM619" s="122"/>
      <c r="AN619" s="51">
        <v>0</v>
      </c>
      <c r="AO619" s="51">
        <v>0</v>
      </c>
      <c r="AP619" s="51">
        <v>0</v>
      </c>
      <c r="AQ619" s="47"/>
      <c r="AR619" s="51">
        <v>0</v>
      </c>
      <c r="AS619" s="51">
        <v>0</v>
      </c>
    </row>
    <row r="620" ht="30" customHeight="1">
      <c r="A620" t="s" s="315">
        <v>1681</v>
      </c>
      <c r="B620" t="s" s="137">
        <v>634</v>
      </c>
      <c r="C620" t="s" s="315">
        <v>1659</v>
      </c>
      <c r="D620" t="s" s="316">
        <v>1648</v>
      </c>
      <c r="E620" s="189"/>
      <c r="F620" t="s" s="210">
        <v>714</v>
      </c>
      <c r="G620" s="211"/>
      <c r="H620" s="42">
        <f>SUM(J620,N620)</f>
        <v>2050</v>
      </c>
      <c r="I620" s="207">
        <f>SUM(Q620,S620,U620,W620,Y620,AA620,AC620,AE620,AG620,AI620,AK620,AM620,AO620,AQ620,AS620)</f>
        <v>1525</v>
      </c>
      <c r="J620" s="43">
        <f>SUM(P620,R620,T620,V620,X620,Z620,AB620,AD620,AF620,AH620,AJ620,AL620,AN620,AP620,AR620)</f>
        <v>2050</v>
      </c>
      <c r="K620" s="44"/>
      <c r="L620" s="6"/>
      <c r="M620" s="6"/>
      <c r="N620" s="14"/>
      <c r="O620" s="122"/>
      <c r="P620" s="27">
        <v>0</v>
      </c>
      <c r="Q620" s="27">
        <v>0</v>
      </c>
      <c r="R620" s="51">
        <v>0</v>
      </c>
      <c r="S620" s="51">
        <v>0</v>
      </c>
      <c r="T620" s="51">
        <v>0</v>
      </c>
      <c r="U620" s="51">
        <v>0</v>
      </c>
      <c r="V620" s="51">
        <v>50</v>
      </c>
      <c r="W620" s="51">
        <v>25</v>
      </c>
      <c r="X620" s="51">
        <v>0</v>
      </c>
      <c r="Y620" s="51">
        <v>0</v>
      </c>
      <c r="Z620" s="48">
        <v>0</v>
      </c>
      <c r="AA620" s="48">
        <v>0</v>
      </c>
      <c r="AB620" s="48">
        <v>0</v>
      </c>
      <c r="AC620" s="48">
        <v>0</v>
      </c>
      <c r="AD620" s="55">
        <v>0</v>
      </c>
      <c r="AE620" s="213">
        <v>0</v>
      </c>
      <c r="AF620" s="212">
        <v>0</v>
      </c>
      <c r="AG620" s="121">
        <v>0</v>
      </c>
      <c r="AH620" s="51">
        <v>2000</v>
      </c>
      <c r="AI620" s="51">
        <v>1500</v>
      </c>
      <c r="AJ620" s="51">
        <v>0</v>
      </c>
      <c r="AK620" s="51">
        <v>0</v>
      </c>
      <c r="AL620" s="14"/>
      <c r="AM620" s="122"/>
      <c r="AN620" s="51">
        <v>0</v>
      </c>
      <c r="AO620" s="51">
        <v>0</v>
      </c>
      <c r="AP620" s="51">
        <v>0</v>
      </c>
      <c r="AQ620" s="47"/>
      <c r="AR620" s="51">
        <v>0</v>
      </c>
      <c r="AS620" s="51">
        <v>0</v>
      </c>
    </row>
    <row r="621" ht="45" customHeight="1">
      <c r="A621" t="s" s="315">
        <v>1682</v>
      </c>
      <c r="B621" t="s" s="137">
        <v>635</v>
      </c>
      <c r="C621" t="s" s="334">
        <v>971</v>
      </c>
      <c r="D621" t="s" s="316">
        <v>1648</v>
      </c>
      <c r="E621" t="s" s="266">
        <v>1683</v>
      </c>
      <c r="F621" t="s" s="210">
        <v>714</v>
      </c>
      <c r="G621" s="211"/>
      <c r="H621" s="42">
        <f>SUM(J621,N621)</f>
        <v>4000</v>
      </c>
      <c r="I621" s="207">
        <f>SUM(Q621,S621,U621,W621,Y621,AA621,AC621,AE621,AG621,AI621,AK621,AM621,AO621,AQ621,AS621)</f>
        <v>3580</v>
      </c>
      <c r="J621" s="43">
        <f>SUM(P621,R621,T621,V621,X621,Z621,AB621,AD621,AF621,AH621,AJ621,AL621,AN621,AP621,AR621)</f>
        <v>4000</v>
      </c>
      <c r="K621" s="44"/>
      <c r="L621" s="6"/>
      <c r="M621" s="6"/>
      <c r="N621" s="14"/>
      <c r="O621" s="122"/>
      <c r="P621" s="27">
        <v>0</v>
      </c>
      <c r="Q621" s="27">
        <v>0</v>
      </c>
      <c r="R621" s="51">
        <v>0</v>
      </c>
      <c r="S621" s="51">
        <v>0</v>
      </c>
      <c r="T621" s="51">
        <v>0</v>
      </c>
      <c r="U621" s="51">
        <v>0</v>
      </c>
      <c r="V621" s="51">
        <v>0</v>
      </c>
      <c r="W621" s="51">
        <v>0</v>
      </c>
      <c r="X621" s="51">
        <v>0</v>
      </c>
      <c r="Y621" s="51">
        <v>0</v>
      </c>
      <c r="Z621" s="48">
        <v>0</v>
      </c>
      <c r="AA621" s="49"/>
      <c r="AB621" s="48">
        <v>0</v>
      </c>
      <c r="AC621" s="48">
        <v>0</v>
      </c>
      <c r="AD621" s="55">
        <v>0</v>
      </c>
      <c r="AE621" s="213">
        <v>0</v>
      </c>
      <c r="AF621" s="212">
        <v>0</v>
      </c>
      <c r="AG621" s="121">
        <v>0</v>
      </c>
      <c r="AH621" s="51">
        <v>4000</v>
      </c>
      <c r="AI621" s="51">
        <v>3580</v>
      </c>
      <c r="AJ621" s="51">
        <v>0</v>
      </c>
      <c r="AK621" s="51">
        <v>0</v>
      </c>
      <c r="AL621" s="14"/>
      <c r="AM621" s="122"/>
      <c r="AN621" s="51">
        <v>0</v>
      </c>
      <c r="AO621" s="51">
        <v>0</v>
      </c>
      <c r="AP621" s="51">
        <v>0</v>
      </c>
      <c r="AQ621" s="47"/>
      <c r="AR621" s="51">
        <v>0</v>
      </c>
      <c r="AS621" s="51">
        <v>0</v>
      </c>
    </row>
    <row r="622" ht="45" customHeight="1">
      <c r="A622" t="s" s="315">
        <v>1684</v>
      </c>
      <c r="B622" t="s" s="137">
        <v>636</v>
      </c>
      <c r="C622" t="s" s="334">
        <v>971</v>
      </c>
      <c r="D622" t="s" s="316">
        <v>1648</v>
      </c>
      <c r="E622" s="268"/>
      <c r="F622" t="s" s="210">
        <v>714</v>
      </c>
      <c r="G622" s="211"/>
      <c r="H622" s="42">
        <f>SUM(J622,N622)</f>
        <v>0</v>
      </c>
      <c r="I622" s="207">
        <f>SUM(Q622,S622,U622,W622,Y622,AA622,AC622,AE622,AG622,AI622,AK622,AM622,AO622,AQ622,AS622)</f>
        <v>0</v>
      </c>
      <c r="J622" s="43">
        <f>SUM(P622,R622,T622,V622,X622,Z622,AB622,AD622,AF622,AH622,AJ622,AL622,AN622,AP622,AR622)</f>
        <v>0</v>
      </c>
      <c r="K622" s="44"/>
      <c r="L622" s="6"/>
      <c r="M622" s="6"/>
      <c r="N622" s="14"/>
      <c r="O622" s="122"/>
      <c r="P622" s="27">
        <v>0</v>
      </c>
      <c r="Q622" s="27">
        <v>0</v>
      </c>
      <c r="R622" s="51">
        <v>0</v>
      </c>
      <c r="S622" s="51">
        <v>0</v>
      </c>
      <c r="T622" s="51">
        <v>0</v>
      </c>
      <c r="U622" s="51">
        <v>0</v>
      </c>
      <c r="V622" s="51">
        <v>0</v>
      </c>
      <c r="W622" s="51">
        <v>0</v>
      </c>
      <c r="X622" s="51">
        <v>0</v>
      </c>
      <c r="Y622" s="51">
        <v>0</v>
      </c>
      <c r="Z622" s="48">
        <v>0</v>
      </c>
      <c r="AA622" s="48">
        <v>0</v>
      </c>
      <c r="AB622" s="48">
        <v>0</v>
      </c>
      <c r="AC622" s="48">
        <v>0</v>
      </c>
      <c r="AD622" s="55">
        <v>0</v>
      </c>
      <c r="AE622" s="213">
        <v>0</v>
      </c>
      <c r="AF622" s="212">
        <v>0</v>
      </c>
      <c r="AG622" s="121">
        <v>0</v>
      </c>
      <c r="AH622" s="51">
        <v>0</v>
      </c>
      <c r="AI622" s="51">
        <v>0</v>
      </c>
      <c r="AJ622" s="51">
        <v>0</v>
      </c>
      <c r="AK622" s="51">
        <v>0</v>
      </c>
      <c r="AL622" s="14"/>
      <c r="AM622" s="122"/>
      <c r="AN622" s="51">
        <v>0</v>
      </c>
      <c r="AO622" s="51">
        <v>0</v>
      </c>
      <c r="AP622" s="51">
        <v>0</v>
      </c>
      <c r="AQ622" s="47"/>
      <c r="AR622" s="51">
        <v>0</v>
      </c>
      <c r="AS622" s="51">
        <v>0</v>
      </c>
    </row>
    <row r="623" ht="19.5" customHeight="1">
      <c r="A623" t="s" s="315">
        <v>1685</v>
      </c>
      <c r="B623" t="s" s="137">
        <v>637</v>
      </c>
      <c r="C623" s="335"/>
      <c r="D623" t="s" s="316">
        <v>1648</v>
      </c>
      <c r="E623" s="189"/>
      <c r="F623" t="s" s="210">
        <v>714</v>
      </c>
      <c r="G623" s="211"/>
      <c r="H623" s="42">
        <f>SUM(J623,N623)</f>
        <v>16000</v>
      </c>
      <c r="I623" s="207">
        <f>SUM(Q623,S623,U623,W623,Y623,AA623,AC623,AE623,AG623,AI623,AK623,AM623,AO623,AQ623,AS623)</f>
        <v>14530</v>
      </c>
      <c r="J623" s="43">
        <f>SUM(P623,R623,T623,V623,X623,Z623,AB623,AD623,AF623,AH623,AJ623,AL623,AN623,AP623,AR623)</f>
        <v>16000</v>
      </c>
      <c r="K623" s="44"/>
      <c r="L623" s="6"/>
      <c r="M623" s="6"/>
      <c r="N623" s="14"/>
      <c r="O623" s="122"/>
      <c r="P623" s="27">
        <v>0</v>
      </c>
      <c r="Q623" s="27">
        <v>0</v>
      </c>
      <c r="R623" s="51">
        <v>0</v>
      </c>
      <c r="S623" s="51">
        <v>0</v>
      </c>
      <c r="T623" s="51">
        <v>0</v>
      </c>
      <c r="U623" s="51">
        <v>0</v>
      </c>
      <c r="V623" s="51">
        <v>0</v>
      </c>
      <c r="W623" s="51">
        <v>0</v>
      </c>
      <c r="X623" s="51">
        <v>0</v>
      </c>
      <c r="Y623" s="51">
        <v>0</v>
      </c>
      <c r="Z623" s="48">
        <v>0</v>
      </c>
      <c r="AA623" s="48">
        <v>0</v>
      </c>
      <c r="AB623" s="48">
        <v>0</v>
      </c>
      <c r="AC623" s="48">
        <v>0</v>
      </c>
      <c r="AD623" s="55">
        <v>0</v>
      </c>
      <c r="AE623" s="213">
        <v>0</v>
      </c>
      <c r="AF623" s="212">
        <v>0</v>
      </c>
      <c r="AG623" s="121">
        <v>0</v>
      </c>
      <c r="AH623" s="51">
        <v>16000</v>
      </c>
      <c r="AI623" s="51">
        <v>14530</v>
      </c>
      <c r="AJ623" s="51">
        <v>0</v>
      </c>
      <c r="AK623" s="51">
        <v>0</v>
      </c>
      <c r="AL623" s="14"/>
      <c r="AM623" s="122"/>
      <c r="AN623" s="51">
        <v>0</v>
      </c>
      <c r="AO623" s="51">
        <v>0</v>
      </c>
      <c r="AP623" s="51">
        <v>0</v>
      </c>
      <c r="AQ623" s="47"/>
      <c r="AR623" s="51">
        <v>0</v>
      </c>
      <c r="AS623" s="51">
        <v>0</v>
      </c>
    </row>
    <row r="624" ht="30" customHeight="1">
      <c r="A624" t="s" s="315">
        <v>1686</v>
      </c>
      <c r="B624" t="s" s="137">
        <v>638</v>
      </c>
      <c r="C624" s="335"/>
      <c r="D624" t="s" s="316">
        <v>1648</v>
      </c>
      <c r="E624" s="189"/>
      <c r="F624" t="s" s="210">
        <v>714</v>
      </c>
      <c r="G624" s="211"/>
      <c r="H624" s="42">
        <f>SUM(J624,N624)</f>
        <v>8000</v>
      </c>
      <c r="I624" s="207">
        <f>SUM(Q624,S624,U624,W624,Y624,AA624,AC624,AE624,AG624,AI624,AK624,AM624,AO624,AQ624,AS624)</f>
        <v>7090</v>
      </c>
      <c r="J624" s="43">
        <f>SUM(P624,R624,T624,V624,X624,Z624,AB624,AD624,AF624,AH624,AJ624,AL624,AN624,AP624,AR624)</f>
        <v>8000</v>
      </c>
      <c r="K624" s="44"/>
      <c r="L624" s="6"/>
      <c r="M624" s="6"/>
      <c r="N624" s="14"/>
      <c r="O624" s="122"/>
      <c r="P624" s="27">
        <v>0</v>
      </c>
      <c r="Q624" s="27">
        <v>0</v>
      </c>
      <c r="R624" s="51">
        <v>0</v>
      </c>
      <c r="S624" s="51">
        <v>0</v>
      </c>
      <c r="T624" s="51">
        <v>0</v>
      </c>
      <c r="U624" s="51">
        <v>0</v>
      </c>
      <c r="V624" s="51">
        <v>0</v>
      </c>
      <c r="W624" s="51">
        <v>0</v>
      </c>
      <c r="X624" s="51">
        <v>0</v>
      </c>
      <c r="Y624" s="51">
        <v>0</v>
      </c>
      <c r="Z624" s="48">
        <v>0</v>
      </c>
      <c r="AA624" s="48">
        <v>0</v>
      </c>
      <c r="AB624" s="48">
        <v>0</v>
      </c>
      <c r="AC624" s="48">
        <v>0</v>
      </c>
      <c r="AD624" s="55">
        <v>0</v>
      </c>
      <c r="AE624" s="213">
        <v>0</v>
      </c>
      <c r="AF624" s="212">
        <v>0</v>
      </c>
      <c r="AG624" s="121">
        <v>0</v>
      </c>
      <c r="AH624" s="51">
        <v>8000</v>
      </c>
      <c r="AI624" s="51">
        <v>7090</v>
      </c>
      <c r="AJ624" s="51">
        <v>0</v>
      </c>
      <c r="AK624" s="51">
        <v>0</v>
      </c>
      <c r="AL624" s="14"/>
      <c r="AM624" s="122"/>
      <c r="AN624" s="51">
        <v>0</v>
      </c>
      <c r="AO624" s="51">
        <v>0</v>
      </c>
      <c r="AP624" s="51">
        <v>0</v>
      </c>
      <c r="AQ624" s="47"/>
      <c r="AR624" s="51">
        <v>0</v>
      </c>
      <c r="AS624" s="51">
        <v>0</v>
      </c>
    </row>
    <row r="625" ht="39" customHeight="1">
      <c r="A625" t="s" s="315">
        <v>1687</v>
      </c>
      <c r="B625" t="s" s="137">
        <v>639</v>
      </c>
      <c r="C625" t="s" s="334">
        <v>971</v>
      </c>
      <c r="D625" t="s" s="316">
        <v>1648</v>
      </c>
      <c r="E625" t="s" s="217">
        <v>1688</v>
      </c>
      <c r="F625" t="s" s="210">
        <v>714</v>
      </c>
      <c r="G625" s="211"/>
      <c r="H625" s="42">
        <f>SUM(J625,N625)</f>
        <v>32000</v>
      </c>
      <c r="I625" s="207">
        <f>SUM(Q625,S625,U625,W625,Y625,AA625,AC625,AE625,AG625,AI625,AK625,AM625,AO625,AQ625,AS625)</f>
        <v>29420</v>
      </c>
      <c r="J625" s="43">
        <f>SUM(P625,R625,T625,V625,X625,Z625,AB625,AD625,AF625,AH625,AJ625,AL625,AN625,AP625,AR625)</f>
        <v>32000</v>
      </c>
      <c r="K625" s="44"/>
      <c r="L625" s="6"/>
      <c r="M625" s="6"/>
      <c r="N625" s="14"/>
      <c r="O625" s="122"/>
      <c r="P625" s="27">
        <v>0</v>
      </c>
      <c r="Q625" s="27">
        <v>0</v>
      </c>
      <c r="R625" s="51">
        <v>0</v>
      </c>
      <c r="S625" s="51">
        <v>0</v>
      </c>
      <c r="T625" s="51">
        <v>0</v>
      </c>
      <c r="U625" s="51">
        <v>0</v>
      </c>
      <c r="V625" s="51">
        <v>0</v>
      </c>
      <c r="W625" s="51">
        <v>0</v>
      </c>
      <c r="X625" s="51">
        <v>0</v>
      </c>
      <c r="Y625" s="51">
        <v>0</v>
      </c>
      <c r="Z625" s="48">
        <v>0</v>
      </c>
      <c r="AA625" s="48">
        <v>0</v>
      </c>
      <c r="AB625" s="48">
        <v>0</v>
      </c>
      <c r="AC625" s="48">
        <v>0</v>
      </c>
      <c r="AD625" s="55">
        <v>0</v>
      </c>
      <c r="AE625" s="213">
        <v>0</v>
      </c>
      <c r="AF625" s="212">
        <v>0</v>
      </c>
      <c r="AG625" s="121">
        <v>0</v>
      </c>
      <c r="AH625" s="51">
        <v>32000</v>
      </c>
      <c r="AI625" s="51">
        <v>29420</v>
      </c>
      <c r="AJ625" s="51">
        <v>0</v>
      </c>
      <c r="AK625" s="51">
        <v>0</v>
      </c>
      <c r="AL625" s="14"/>
      <c r="AM625" s="122"/>
      <c r="AN625" s="51">
        <v>0</v>
      </c>
      <c r="AO625" s="51">
        <v>0</v>
      </c>
      <c r="AP625" s="51">
        <v>0</v>
      </c>
      <c r="AQ625" s="47"/>
      <c r="AR625" s="51">
        <v>0</v>
      </c>
      <c r="AS625" s="51">
        <v>0</v>
      </c>
    </row>
    <row r="626" ht="19.5" customHeight="1" hidden="1">
      <c r="A626" t="s" s="88">
        <v>1689</v>
      </c>
      <c r="B626" t="s" s="67">
        <v>640</v>
      </c>
      <c r="C626" s="228"/>
      <c r="D626" s="228"/>
      <c r="E626" s="189"/>
      <c r="F626" s="182">
        <v>0</v>
      </c>
      <c r="G626" s="183"/>
      <c r="H626" s="42">
        <f>SUM(J626,N626)</f>
        <v>0</v>
      </c>
      <c r="I626" s="207">
        <f>SUM(Q626,S626,U626,W626,Y626,AA626,AC626,AE626,AG626,AI626,AK626,AM626,AO626,AQ626,AS626)</f>
        <v>0</v>
      </c>
      <c r="J626" s="43">
        <f>SUM(P626,R626,T626,V626,X626,Z626,AB626,AD626,AF626,AH626,AJ626,AL626,AN626,AP626,AR626)</f>
        <v>0</v>
      </c>
      <c r="K626" s="44"/>
      <c r="L626" s="6"/>
      <c r="M626" s="6"/>
      <c r="N626" s="14"/>
      <c r="O626" s="122"/>
      <c r="P626" s="46"/>
      <c r="Q626" s="46"/>
      <c r="R626" s="47"/>
      <c r="S626" s="47"/>
      <c r="T626" s="47"/>
      <c r="U626" s="47"/>
      <c r="V626" s="47"/>
      <c r="W626" s="47"/>
      <c r="X626" s="47"/>
      <c r="Y626" s="47"/>
      <c r="Z626" s="48">
        <v>0</v>
      </c>
      <c r="AA626" s="48">
        <v>0</v>
      </c>
      <c r="AB626" s="49"/>
      <c r="AC626" s="49"/>
      <c r="AD626" s="50"/>
      <c r="AE626" s="50"/>
      <c r="AF626" s="14"/>
      <c r="AG626" s="122"/>
      <c r="AH626" s="51">
        <v>0</v>
      </c>
      <c r="AI626" s="51">
        <v>0</v>
      </c>
      <c r="AJ626" s="47"/>
      <c r="AK626" s="47"/>
      <c r="AL626" s="14"/>
      <c r="AM626" s="122"/>
      <c r="AN626" s="47"/>
      <c r="AO626" s="47"/>
      <c r="AP626" s="47"/>
      <c r="AQ626" s="47"/>
      <c r="AR626" s="51">
        <v>0</v>
      </c>
      <c r="AS626" s="51">
        <v>0</v>
      </c>
    </row>
    <row r="627" ht="110.25" customHeight="1" hidden="1">
      <c r="A627" t="s" s="130">
        <v>1690</v>
      </c>
      <c r="B627" t="s" s="52">
        <v>641</v>
      </c>
      <c r="C627" t="s" s="130">
        <v>1031</v>
      </c>
      <c r="D627" t="s" s="209">
        <v>717</v>
      </c>
      <c r="E627" t="s" s="217">
        <v>1691</v>
      </c>
      <c r="F627" t="s" s="210">
        <v>714</v>
      </c>
      <c r="G627" s="211"/>
      <c r="H627" s="42">
        <f>SUM(J627,N627)</f>
        <v>2200</v>
      </c>
      <c r="I627" s="207">
        <f>SUM(Q627,S627,U627,W627,Y627,AA627,AC627,AE627,AG627,AI627,AK627,AM627,AO627,AQ627,AS627)</f>
        <v>1049</v>
      </c>
      <c r="J627" s="43">
        <f>SUM(P627,R627,T627,V627,X627,Z627,AB627,AD627,AF627,AH627,AJ627,AL627,AN627,AP627,AR627)</f>
        <v>2200</v>
      </c>
      <c r="K627" s="44"/>
      <c r="L627" s="6"/>
      <c r="M627" s="6"/>
      <c r="N627" s="14"/>
      <c r="O627" s="122"/>
      <c r="P627" s="27">
        <v>0</v>
      </c>
      <c r="Q627" s="27">
        <v>0</v>
      </c>
      <c r="R627" s="51">
        <v>800</v>
      </c>
      <c r="S627" s="51">
        <v>635</v>
      </c>
      <c r="T627" s="51">
        <v>1000</v>
      </c>
      <c r="U627" s="51">
        <v>154</v>
      </c>
      <c r="V627" s="51">
        <v>400</v>
      </c>
      <c r="W627" s="51">
        <v>260</v>
      </c>
      <c r="X627" s="51">
        <v>0</v>
      </c>
      <c r="Y627" s="51">
        <v>0</v>
      </c>
      <c r="Z627" s="48">
        <v>0</v>
      </c>
      <c r="AA627" s="48">
        <v>0</v>
      </c>
      <c r="AB627" s="48">
        <v>0</v>
      </c>
      <c r="AC627" s="48">
        <v>0</v>
      </c>
      <c r="AD627" s="55">
        <v>0</v>
      </c>
      <c r="AE627" s="213">
        <v>0</v>
      </c>
      <c r="AF627" s="212">
        <v>0</v>
      </c>
      <c r="AG627" s="121">
        <v>0</v>
      </c>
      <c r="AH627" s="51">
        <v>0</v>
      </c>
      <c r="AI627" s="51">
        <v>0</v>
      </c>
      <c r="AJ627" s="51">
        <v>0</v>
      </c>
      <c r="AK627" s="51">
        <v>0</v>
      </c>
      <c r="AL627" s="14"/>
      <c r="AM627" s="122"/>
      <c r="AN627" s="51">
        <v>0</v>
      </c>
      <c r="AO627" s="51">
        <v>0</v>
      </c>
      <c r="AP627" s="51">
        <v>0</v>
      </c>
      <c r="AQ627" s="47"/>
      <c r="AR627" s="51">
        <v>0</v>
      </c>
      <c r="AS627" s="51">
        <v>0</v>
      </c>
    </row>
    <row r="628" ht="234" customHeight="1" hidden="1">
      <c r="A628" t="s" s="103">
        <v>1692</v>
      </c>
      <c r="B628" t="s" s="10">
        <v>642</v>
      </c>
      <c r="C628" t="s" s="103">
        <v>1693</v>
      </c>
      <c r="D628" t="s" s="66">
        <v>717</v>
      </c>
      <c r="E628" t="s" s="219">
        <v>1694</v>
      </c>
      <c r="F628" t="s" s="101">
        <v>714</v>
      </c>
      <c r="G628" t="s" s="274">
        <v>1695</v>
      </c>
      <c r="H628" s="204">
        <f>SUM(J628,N628)</f>
        <v>2310</v>
      </c>
      <c r="I628" s="205">
        <f>SUM(Q628,S628,U628,W628,Y628,AA628,AC628,AE628,AG628,AI628,AK628,AM628,AO628,AQ628,AS628)</f>
        <v>318</v>
      </c>
      <c r="J628" s="35">
        <f>SUM(P628,R628,T628,V628,X628,Z628,AB628,AD628,AF628,AH628,AJ628,AL628,AN628,AP628,AR628)</f>
        <v>2310</v>
      </c>
      <c r="K628" s="36"/>
      <c r="L628" s="196"/>
      <c r="M628" s="196"/>
      <c r="N628" s="196"/>
      <c r="O628" s="197"/>
      <c r="P628" s="27">
        <v>2000</v>
      </c>
      <c r="Q628" s="27">
        <v>299</v>
      </c>
      <c r="R628" s="38">
        <v>300</v>
      </c>
      <c r="S628" s="38">
        <v>19</v>
      </c>
      <c r="T628" s="38">
        <v>0</v>
      </c>
      <c r="U628" s="38">
        <v>0</v>
      </c>
      <c r="V628" s="38">
        <v>10</v>
      </c>
      <c r="W628" s="38">
        <v>0</v>
      </c>
      <c r="X628" s="38">
        <v>0</v>
      </c>
      <c r="Y628" s="38">
        <v>0</v>
      </c>
      <c r="Z628" s="40">
        <v>0</v>
      </c>
      <c r="AA628" s="40">
        <v>0</v>
      </c>
      <c r="AB628" s="40">
        <v>0</v>
      </c>
      <c r="AC628" s="40">
        <v>0</v>
      </c>
      <c r="AD628" s="40">
        <v>0</v>
      </c>
      <c r="AE628" s="40">
        <v>0</v>
      </c>
      <c r="AF628" s="198">
        <v>0</v>
      </c>
      <c r="AG628" s="206">
        <v>0</v>
      </c>
      <c r="AH628" s="38">
        <v>0</v>
      </c>
      <c r="AI628" s="38">
        <v>0</v>
      </c>
      <c r="AJ628" s="38">
        <v>0</v>
      </c>
      <c r="AK628" s="38">
        <v>0</v>
      </c>
      <c r="AL628" s="202"/>
      <c r="AM628" s="197"/>
      <c r="AN628" s="38">
        <v>0</v>
      </c>
      <c r="AO628" s="38">
        <v>0</v>
      </c>
      <c r="AP628" s="38">
        <v>0</v>
      </c>
      <c r="AQ628" s="80"/>
      <c r="AR628" s="38">
        <v>0</v>
      </c>
      <c r="AS628" s="38">
        <v>0</v>
      </c>
    </row>
    <row r="629" ht="94.5" customHeight="1" hidden="1">
      <c r="A629" s="336">
        <v>17</v>
      </c>
      <c r="B629" t="s" s="67">
        <v>643</v>
      </c>
      <c r="C629" s="228"/>
      <c r="D629" s="228"/>
      <c r="E629" s="189"/>
      <c r="F629" s="182">
        <v>0</v>
      </c>
      <c r="G629" s="183"/>
      <c r="H629" s="42">
        <f>SUM(J629,N629)</f>
        <v>0</v>
      </c>
      <c r="I629" s="207">
        <f>SUM(Q629,S629,U629,W629,Y629,AA629,AC629,AE629,AG629,AI629,AK629,AM629,AO629,AQ629,AS629)</f>
        <v>0</v>
      </c>
      <c r="J629" s="43">
        <f>SUM(P629,R629,T629,V629,X629,Z629,AB629,AD629,AF629,AH629,AJ629,AL629,AN629,AP629,AR629)</f>
        <v>0</v>
      </c>
      <c r="K629" s="44"/>
      <c r="L629" s="6"/>
      <c r="M629" s="6"/>
      <c r="N629" s="14"/>
      <c r="O629" s="15"/>
      <c r="P629" s="186"/>
      <c r="Q629" s="76"/>
      <c r="R629" s="47"/>
      <c r="S629" s="47"/>
      <c r="T629" s="47"/>
      <c r="U629" s="47"/>
      <c r="V629" s="47"/>
      <c r="W629" s="47"/>
      <c r="X629" s="47"/>
      <c r="Y629" s="47"/>
      <c r="Z629" s="48">
        <v>0</v>
      </c>
      <c r="AA629" s="48">
        <v>0</v>
      </c>
      <c r="AB629" s="49"/>
      <c r="AC629" s="49"/>
      <c r="AD629" s="50"/>
      <c r="AE629" s="50"/>
      <c r="AF629" s="14"/>
      <c r="AG629" s="122"/>
      <c r="AH629" s="51">
        <v>0</v>
      </c>
      <c r="AI629" s="51">
        <v>0</v>
      </c>
      <c r="AJ629" s="47"/>
      <c r="AK629" s="47"/>
      <c r="AL629" s="14"/>
      <c r="AM629" s="122"/>
      <c r="AN629" s="47"/>
      <c r="AO629" s="47"/>
      <c r="AP629" s="47"/>
      <c r="AQ629" s="47"/>
      <c r="AR629" s="51">
        <v>0</v>
      </c>
      <c r="AS629" s="51">
        <v>0</v>
      </c>
    </row>
    <row r="630" ht="58.5" customHeight="1" hidden="1">
      <c r="A630" t="s" s="103">
        <v>1696</v>
      </c>
      <c r="B630" t="s" s="10">
        <v>644</v>
      </c>
      <c r="C630" t="s" s="103">
        <v>782</v>
      </c>
      <c r="D630" t="s" s="66">
        <v>717</v>
      </c>
      <c r="E630" t="s" s="219">
        <v>1697</v>
      </c>
      <c r="F630" t="s" s="101">
        <v>714</v>
      </c>
      <c r="G630" t="s" s="274">
        <v>1628</v>
      </c>
      <c r="H630" s="204">
        <f>SUM(J630,N630)</f>
        <v>230</v>
      </c>
      <c r="I630" s="205">
        <f>SUM(Q630,S630,U630,W630,Y630,AA630,AC630,AE630,AG630,AI630,AK630,AM630,AO630,AQ630,AS630)</f>
        <v>0</v>
      </c>
      <c r="J630" s="35">
        <f>SUM(P630,R630,T630,V630,X630,Z630,AB630,AD630,AF630,AH630,AJ630,AL630,AN630,AP630,AR630)</f>
        <v>230</v>
      </c>
      <c r="K630" s="36"/>
      <c r="L630" s="196"/>
      <c r="M630" s="196"/>
      <c r="N630" s="196"/>
      <c r="O630" s="196"/>
      <c r="P630" s="200">
        <v>200</v>
      </c>
      <c r="Q630" s="201">
        <v>0</v>
      </c>
      <c r="R630" s="38">
        <v>0</v>
      </c>
      <c r="S630" s="38">
        <v>0</v>
      </c>
      <c r="T630" s="38">
        <v>20</v>
      </c>
      <c r="U630" s="38">
        <v>0</v>
      </c>
      <c r="V630" s="38">
        <v>10</v>
      </c>
      <c r="W630" s="38">
        <v>0</v>
      </c>
      <c r="X630" s="38">
        <v>0</v>
      </c>
      <c r="Y630" s="38">
        <v>0</v>
      </c>
      <c r="Z630" s="40">
        <v>0</v>
      </c>
      <c r="AA630" s="40">
        <v>0</v>
      </c>
      <c r="AB630" s="40">
        <v>0</v>
      </c>
      <c r="AC630" s="40">
        <v>0</v>
      </c>
      <c r="AD630" s="40">
        <v>0</v>
      </c>
      <c r="AE630" s="40">
        <v>0</v>
      </c>
      <c r="AF630" s="198">
        <v>0</v>
      </c>
      <c r="AG630" s="206">
        <v>0</v>
      </c>
      <c r="AH630" s="38">
        <v>0</v>
      </c>
      <c r="AI630" s="38">
        <v>0</v>
      </c>
      <c r="AJ630" s="38">
        <v>0</v>
      </c>
      <c r="AK630" s="38">
        <v>0</v>
      </c>
      <c r="AL630" s="202"/>
      <c r="AM630" s="197"/>
      <c r="AN630" s="38">
        <v>0</v>
      </c>
      <c r="AO630" s="38">
        <v>0</v>
      </c>
      <c r="AP630" s="38">
        <v>0</v>
      </c>
      <c r="AQ630" s="80"/>
      <c r="AR630" s="38">
        <v>0</v>
      </c>
      <c r="AS630" s="38">
        <v>0</v>
      </c>
    </row>
    <row r="631" ht="117" customHeight="1" hidden="1">
      <c r="A631" t="s" s="130">
        <v>1698</v>
      </c>
      <c r="B631" t="s" s="52">
        <v>645</v>
      </c>
      <c r="C631" t="s" s="130">
        <v>782</v>
      </c>
      <c r="D631" t="s" s="209">
        <v>717</v>
      </c>
      <c r="E631" t="s" s="217">
        <v>1699</v>
      </c>
      <c r="F631" t="s" s="210">
        <v>714</v>
      </c>
      <c r="G631" s="211"/>
      <c r="H631" s="42">
        <f>SUM(J631,N631)</f>
        <v>2</v>
      </c>
      <c r="I631" s="207">
        <f>SUM(Q631,S631,U631,W631,Y631,AA631,AC631,AE631,AG631,AI631,AK631,AM631,AO631,AQ631,AS631)</f>
        <v>0</v>
      </c>
      <c r="J631" s="43">
        <f>SUM(P631,R631,T631,V631,X631,Z631,AB631,AD631,AF631,AH631,AJ631,AL631,AN631,AP631,AR631)</f>
        <v>2</v>
      </c>
      <c r="K631" s="44"/>
      <c r="L631" s="6"/>
      <c r="M631" s="6"/>
      <c r="N631" s="14"/>
      <c r="O631" s="15"/>
      <c r="P631" s="296">
        <v>0</v>
      </c>
      <c r="Q631" s="297">
        <v>0</v>
      </c>
      <c r="R631" s="51">
        <v>0</v>
      </c>
      <c r="S631" s="51">
        <v>0</v>
      </c>
      <c r="T631" s="51">
        <v>2</v>
      </c>
      <c r="U631" s="51">
        <v>0</v>
      </c>
      <c r="V631" s="51">
        <v>0</v>
      </c>
      <c r="W631" s="51">
        <v>0</v>
      </c>
      <c r="X631" s="51">
        <v>0</v>
      </c>
      <c r="Y631" s="51">
        <v>0</v>
      </c>
      <c r="Z631" s="48">
        <v>0</v>
      </c>
      <c r="AA631" s="48">
        <v>0</v>
      </c>
      <c r="AB631" s="48">
        <v>0</v>
      </c>
      <c r="AC631" s="48">
        <v>0</v>
      </c>
      <c r="AD631" s="55">
        <v>0</v>
      </c>
      <c r="AE631" s="213">
        <v>0</v>
      </c>
      <c r="AF631" s="212">
        <v>0</v>
      </c>
      <c r="AG631" s="121">
        <v>0</v>
      </c>
      <c r="AH631" s="51">
        <v>0</v>
      </c>
      <c r="AI631" s="51">
        <v>0</v>
      </c>
      <c r="AJ631" s="51">
        <v>0</v>
      </c>
      <c r="AK631" s="51">
        <v>0</v>
      </c>
      <c r="AL631" s="14"/>
      <c r="AM631" s="122"/>
      <c r="AN631" s="51">
        <v>0</v>
      </c>
      <c r="AO631" s="51">
        <v>0</v>
      </c>
      <c r="AP631" s="51">
        <v>0</v>
      </c>
      <c r="AQ631" s="47"/>
      <c r="AR631" s="51">
        <v>0</v>
      </c>
      <c r="AS631" s="51">
        <v>0</v>
      </c>
    </row>
    <row r="632" ht="117" customHeight="1" hidden="1">
      <c r="A632" t="s" s="103">
        <v>1700</v>
      </c>
      <c r="B632" t="s" s="10">
        <v>646</v>
      </c>
      <c r="C632" t="s" s="103">
        <v>1701</v>
      </c>
      <c r="D632" t="s" s="66">
        <v>717</v>
      </c>
      <c r="E632" t="s" s="219">
        <v>1702</v>
      </c>
      <c r="F632" t="s" s="101">
        <v>714</v>
      </c>
      <c r="G632" s="203"/>
      <c r="H632" s="204">
        <f>SUM(J632,N632)</f>
        <v>0</v>
      </c>
      <c r="I632" s="205">
        <f>SUM(Q632,S632,U632,W632,Y632,AA632,AC632,AE632,AG632,AI632,AK632,AM632,AO632,AQ632,AS632)</f>
        <v>0</v>
      </c>
      <c r="J632" s="35">
        <f>SUM(P632,R632,T632,V632,X632,Z632,AB632,AD632,AF632,AH632,AJ632,AL632,AN632,AP632,AR632)</f>
        <v>0</v>
      </c>
      <c r="K632" s="36"/>
      <c r="L632" s="196"/>
      <c r="M632" s="196"/>
      <c r="N632" s="196"/>
      <c r="O632" s="196"/>
      <c r="P632" s="200">
        <v>0</v>
      </c>
      <c r="Q632" s="201">
        <v>0</v>
      </c>
      <c r="R632" s="38">
        <v>0</v>
      </c>
      <c r="S632" s="38">
        <v>0</v>
      </c>
      <c r="T632" s="38">
        <v>0</v>
      </c>
      <c r="U632" s="38">
        <v>0</v>
      </c>
      <c r="V632" s="38">
        <v>0</v>
      </c>
      <c r="W632" s="38">
        <v>0</v>
      </c>
      <c r="X632" s="38">
        <v>0</v>
      </c>
      <c r="Y632" s="38">
        <v>0</v>
      </c>
      <c r="Z632" s="40">
        <v>0</v>
      </c>
      <c r="AA632" s="40">
        <v>0</v>
      </c>
      <c r="AB632" s="40">
        <v>0</v>
      </c>
      <c r="AC632" s="40">
        <v>0</v>
      </c>
      <c r="AD632" s="40">
        <v>0</v>
      </c>
      <c r="AE632" s="40">
        <v>0</v>
      </c>
      <c r="AF632" s="198">
        <v>0</v>
      </c>
      <c r="AG632" s="206">
        <v>0</v>
      </c>
      <c r="AH632" s="38">
        <v>0</v>
      </c>
      <c r="AI632" s="38">
        <v>0</v>
      </c>
      <c r="AJ632" s="38">
        <v>0</v>
      </c>
      <c r="AK632" s="38">
        <v>0</v>
      </c>
      <c r="AL632" s="202"/>
      <c r="AM632" s="197"/>
      <c r="AN632" s="38">
        <v>0</v>
      </c>
      <c r="AO632" s="38">
        <v>0</v>
      </c>
      <c r="AP632" s="38">
        <v>0</v>
      </c>
      <c r="AQ632" s="80"/>
      <c r="AR632" s="38">
        <v>0</v>
      </c>
      <c r="AS632" s="38">
        <v>0</v>
      </c>
    </row>
    <row r="633" ht="312" customHeight="1" hidden="1">
      <c r="A633" t="s" s="103">
        <v>1703</v>
      </c>
      <c r="B633" t="s" s="10">
        <v>647</v>
      </c>
      <c r="C633" t="s" s="103">
        <v>800</v>
      </c>
      <c r="D633" t="s" s="66">
        <v>717</v>
      </c>
      <c r="E633" t="s" s="219">
        <v>1704</v>
      </c>
      <c r="F633" t="s" s="101">
        <v>714</v>
      </c>
      <c r="G633" s="203"/>
      <c r="H633" s="204">
        <f>SUM(J633,N633)</f>
        <v>23700</v>
      </c>
      <c r="I633" s="205">
        <f>SUM(Q633,S633,U633,W633,Y633,AA633,AC633,AE633,AG633,AI633,AK633,AM633,AO633,AQ633,AS633)</f>
        <v>7080</v>
      </c>
      <c r="J633" s="35">
        <f>SUM(P633,R633,T633,V633,X633,Z633,AB633,AD633,AF633,AH633,AJ633,AL633,AN633,AP633,AR633)</f>
        <v>23700</v>
      </c>
      <c r="K633" s="36"/>
      <c r="L633" s="196"/>
      <c r="M633" s="196"/>
      <c r="N633" s="196"/>
      <c r="O633" s="196"/>
      <c r="P633" s="200">
        <v>0</v>
      </c>
      <c r="Q633" s="201">
        <v>0</v>
      </c>
      <c r="R633" s="38">
        <v>16500</v>
      </c>
      <c r="S633" s="38">
        <v>5790</v>
      </c>
      <c r="T633" s="38">
        <v>3600</v>
      </c>
      <c r="U633" s="38">
        <v>0</v>
      </c>
      <c r="V633" s="38">
        <v>3600</v>
      </c>
      <c r="W633" s="38">
        <v>1290</v>
      </c>
      <c r="X633" s="38">
        <v>0</v>
      </c>
      <c r="Y633" s="38">
        <v>0</v>
      </c>
      <c r="Z633" s="40">
        <v>0</v>
      </c>
      <c r="AA633" s="40">
        <v>0</v>
      </c>
      <c r="AB633" s="40">
        <v>0</v>
      </c>
      <c r="AC633" s="40">
        <v>0</v>
      </c>
      <c r="AD633" s="40">
        <v>0</v>
      </c>
      <c r="AE633" s="40">
        <v>0</v>
      </c>
      <c r="AF633" s="198">
        <v>0</v>
      </c>
      <c r="AG633" s="206">
        <v>0</v>
      </c>
      <c r="AH633" s="38">
        <v>0</v>
      </c>
      <c r="AI633" s="38">
        <v>0</v>
      </c>
      <c r="AJ633" s="38">
        <v>0</v>
      </c>
      <c r="AK633" s="38">
        <v>0</v>
      </c>
      <c r="AL633" s="202"/>
      <c r="AM633" s="197"/>
      <c r="AN633" s="38">
        <v>0</v>
      </c>
      <c r="AO633" s="38">
        <v>0</v>
      </c>
      <c r="AP633" s="38">
        <v>0</v>
      </c>
      <c r="AQ633" s="80"/>
      <c r="AR633" s="38">
        <v>0</v>
      </c>
      <c r="AS633" s="38">
        <v>0</v>
      </c>
    </row>
    <row r="634" ht="214.5" customHeight="1" hidden="1">
      <c r="A634" t="s" s="130">
        <v>1705</v>
      </c>
      <c r="B634" t="s" s="52">
        <v>648</v>
      </c>
      <c r="C634" t="s" s="130">
        <v>800</v>
      </c>
      <c r="D634" t="s" s="209">
        <v>717</v>
      </c>
      <c r="E634" t="s" s="217">
        <v>1706</v>
      </c>
      <c r="F634" t="s" s="210">
        <v>714</v>
      </c>
      <c r="G634" s="211"/>
      <c r="H634" s="42">
        <f>SUM(J634,N634)</f>
        <v>2</v>
      </c>
      <c r="I634" s="207">
        <f>SUM(Q634,S634,U634,W634,Y634,AA634,AC634,AE634,AG634,AI634,AK634,AM634,AO634,AQ634,AS634)</f>
        <v>0</v>
      </c>
      <c r="J634" s="43">
        <f>SUM(P634,R634,T634,V634,X634,Z634,AB634,AD634,AF634,AH634,AJ634,AL634,AN634,AP634,AR634)</f>
        <v>2</v>
      </c>
      <c r="K634" s="44"/>
      <c r="L634" s="6"/>
      <c r="M634" s="6"/>
      <c r="N634" s="14"/>
      <c r="O634" s="15"/>
      <c r="P634" s="296">
        <v>0</v>
      </c>
      <c r="Q634" s="297">
        <v>0</v>
      </c>
      <c r="R634" s="51">
        <v>0</v>
      </c>
      <c r="S634" s="51">
        <v>0</v>
      </c>
      <c r="T634" s="51">
        <v>2</v>
      </c>
      <c r="U634" s="51">
        <v>0</v>
      </c>
      <c r="V634" s="51">
        <v>0</v>
      </c>
      <c r="W634" s="51">
        <v>0</v>
      </c>
      <c r="X634" s="51">
        <v>0</v>
      </c>
      <c r="Y634" s="51">
        <v>0</v>
      </c>
      <c r="Z634" s="48">
        <v>0</v>
      </c>
      <c r="AA634" s="48">
        <v>0</v>
      </c>
      <c r="AB634" s="48">
        <v>0</v>
      </c>
      <c r="AC634" s="48">
        <v>0</v>
      </c>
      <c r="AD634" s="55">
        <v>0</v>
      </c>
      <c r="AE634" s="213">
        <v>0</v>
      </c>
      <c r="AF634" s="212">
        <v>0</v>
      </c>
      <c r="AG634" s="121">
        <v>0</v>
      </c>
      <c r="AH634" s="51">
        <v>0</v>
      </c>
      <c r="AI634" s="51">
        <v>0</v>
      </c>
      <c r="AJ634" s="51">
        <v>0</v>
      </c>
      <c r="AK634" s="51">
        <v>0</v>
      </c>
      <c r="AL634" s="14"/>
      <c r="AM634" s="122"/>
      <c r="AN634" s="51">
        <v>0</v>
      </c>
      <c r="AO634" s="51">
        <v>0</v>
      </c>
      <c r="AP634" s="51">
        <v>0</v>
      </c>
      <c r="AQ634" s="47"/>
      <c r="AR634" s="51">
        <v>0</v>
      </c>
      <c r="AS634" s="51">
        <v>0</v>
      </c>
    </row>
    <row r="635" ht="117" customHeight="1" hidden="1">
      <c r="A635" t="s" s="130">
        <v>1707</v>
      </c>
      <c r="B635" t="s" s="52">
        <v>649</v>
      </c>
      <c r="C635" t="s" s="130">
        <v>782</v>
      </c>
      <c r="D635" t="s" s="209">
        <v>717</v>
      </c>
      <c r="E635" t="s" s="217">
        <v>1708</v>
      </c>
      <c r="F635" t="s" s="210">
        <v>714</v>
      </c>
      <c r="G635" s="211"/>
      <c r="H635" s="42">
        <f>SUM(J635,N635)</f>
        <v>2</v>
      </c>
      <c r="I635" s="207">
        <f>SUM(Q635,S635,U635,W635,Y635,AA635,AC635,AE635,AG635,AI635,AK635,AM635,AO635,AQ635,AS635)</f>
        <v>0</v>
      </c>
      <c r="J635" s="43">
        <f>SUM(P635,R635,T635,V635,X635,Z635,AB635,AD635,AF635,AH635,AJ635,AL635,AN635,AP635,AR635)</f>
        <v>2</v>
      </c>
      <c r="K635" s="44"/>
      <c r="L635" s="6"/>
      <c r="M635" s="6"/>
      <c r="N635" s="14"/>
      <c r="O635" s="15"/>
      <c r="P635" s="296">
        <v>0</v>
      </c>
      <c r="Q635" s="297">
        <v>0</v>
      </c>
      <c r="R635" s="51">
        <v>0</v>
      </c>
      <c r="S635" s="51">
        <v>0</v>
      </c>
      <c r="T635" s="51">
        <v>2</v>
      </c>
      <c r="U635" s="51">
        <v>0</v>
      </c>
      <c r="V635" s="51">
        <v>0</v>
      </c>
      <c r="W635" s="51">
        <v>0</v>
      </c>
      <c r="X635" s="51">
        <v>0</v>
      </c>
      <c r="Y635" s="51">
        <v>0</v>
      </c>
      <c r="Z635" s="48">
        <v>0</v>
      </c>
      <c r="AA635" s="49"/>
      <c r="AB635" s="48">
        <v>0</v>
      </c>
      <c r="AC635" s="48">
        <v>0</v>
      </c>
      <c r="AD635" s="55">
        <v>0</v>
      </c>
      <c r="AE635" s="213">
        <v>0</v>
      </c>
      <c r="AF635" s="212">
        <v>0</v>
      </c>
      <c r="AG635" s="121">
        <v>0</v>
      </c>
      <c r="AH635" s="51">
        <v>0</v>
      </c>
      <c r="AI635" s="51">
        <v>0</v>
      </c>
      <c r="AJ635" s="51">
        <v>0</v>
      </c>
      <c r="AK635" s="51">
        <v>0</v>
      </c>
      <c r="AL635" s="14"/>
      <c r="AM635" s="122"/>
      <c r="AN635" s="51">
        <v>0</v>
      </c>
      <c r="AO635" s="51">
        <v>0</v>
      </c>
      <c r="AP635" s="51">
        <v>0</v>
      </c>
      <c r="AQ635" s="47"/>
      <c r="AR635" s="51">
        <v>0</v>
      </c>
      <c r="AS635" s="51">
        <v>0</v>
      </c>
    </row>
    <row r="636" ht="117" customHeight="1" hidden="1">
      <c r="A636" t="s" s="130">
        <v>1709</v>
      </c>
      <c r="B636" t="s" s="52">
        <v>650</v>
      </c>
      <c r="C636" t="s" s="130">
        <v>1710</v>
      </c>
      <c r="D636" t="s" s="209">
        <v>717</v>
      </c>
      <c r="E636" t="s" s="217">
        <v>1711</v>
      </c>
      <c r="F636" t="s" s="210">
        <v>714</v>
      </c>
      <c r="G636" s="211"/>
      <c r="H636" s="42">
        <f>SUM(J636,N636)</f>
        <v>0</v>
      </c>
      <c r="I636" s="207">
        <f>SUM(Q636,S636,U636,W636,Y636,AA636,AC636,AE636,AG636,AI636,AK636,AM636,AO636,AQ636,AS636)</f>
        <v>0</v>
      </c>
      <c r="J636" s="43">
        <f>SUM(P636,R636,T636,V636,X636,Z636,AB636,AD636,AF636,AH636,AJ636,AL636,AN636,AP636,AR636)</f>
        <v>0</v>
      </c>
      <c r="K636" s="44"/>
      <c r="L636" s="6"/>
      <c r="M636" s="6"/>
      <c r="N636" s="14"/>
      <c r="O636" s="15"/>
      <c r="P636" s="296">
        <v>0</v>
      </c>
      <c r="Q636" s="297">
        <v>0</v>
      </c>
      <c r="R636" s="51">
        <v>0</v>
      </c>
      <c r="S636" s="51">
        <v>0</v>
      </c>
      <c r="T636" s="51">
        <v>0</v>
      </c>
      <c r="U636" s="51">
        <v>0</v>
      </c>
      <c r="V636" s="51">
        <v>0</v>
      </c>
      <c r="W636" s="51">
        <v>0</v>
      </c>
      <c r="X636" s="51">
        <v>0</v>
      </c>
      <c r="Y636" s="51">
        <v>0</v>
      </c>
      <c r="Z636" s="48">
        <v>0</v>
      </c>
      <c r="AA636" s="48">
        <v>0</v>
      </c>
      <c r="AB636" s="48">
        <v>0</v>
      </c>
      <c r="AC636" s="48">
        <v>0</v>
      </c>
      <c r="AD636" s="55">
        <v>0</v>
      </c>
      <c r="AE636" s="213">
        <v>0</v>
      </c>
      <c r="AF636" s="212">
        <v>0</v>
      </c>
      <c r="AG636" s="121">
        <v>0</v>
      </c>
      <c r="AH636" s="51">
        <v>0</v>
      </c>
      <c r="AI636" s="51">
        <v>0</v>
      </c>
      <c r="AJ636" s="51">
        <v>0</v>
      </c>
      <c r="AK636" s="51">
        <v>0</v>
      </c>
      <c r="AL636" s="14"/>
      <c r="AM636" s="122"/>
      <c r="AN636" s="51">
        <v>0</v>
      </c>
      <c r="AO636" s="51">
        <v>0</v>
      </c>
      <c r="AP636" s="51">
        <v>0</v>
      </c>
      <c r="AQ636" s="47"/>
      <c r="AR636" s="51">
        <v>0</v>
      </c>
      <c r="AS636" s="51">
        <v>0</v>
      </c>
    </row>
    <row r="637" ht="117" customHeight="1" hidden="1">
      <c r="A637" t="s" s="103">
        <v>1712</v>
      </c>
      <c r="B637" t="s" s="10">
        <v>651</v>
      </c>
      <c r="C637" t="s" s="103">
        <v>782</v>
      </c>
      <c r="D637" t="s" s="66">
        <v>717</v>
      </c>
      <c r="E637" t="s" s="219">
        <v>1713</v>
      </c>
      <c r="F637" t="s" s="101">
        <v>714</v>
      </c>
      <c r="G637" s="203"/>
      <c r="H637" s="204">
        <f>SUM(J637,N637)</f>
        <v>50</v>
      </c>
      <c r="I637" s="205">
        <f>SUM(Q637,S637,U637,W637,Y637,AA637,AC637,AE637,AG637,AI637,AK637,AM637,AO637,AQ637,AS637)</f>
        <v>0</v>
      </c>
      <c r="J637" s="35">
        <f>SUM(P637,R637,T637,V637,X637,Z637,AB637,AD637,AF637,AH637,AJ637,AL637,AN637,AP637,AR637)</f>
        <v>50</v>
      </c>
      <c r="K637" s="36"/>
      <c r="L637" s="196"/>
      <c r="M637" s="196"/>
      <c r="N637" s="196"/>
      <c r="O637" s="196"/>
      <c r="P637" s="200">
        <v>20</v>
      </c>
      <c r="Q637" s="201">
        <v>0</v>
      </c>
      <c r="R637" s="38">
        <v>0</v>
      </c>
      <c r="S637" s="38">
        <v>0</v>
      </c>
      <c r="T637" s="38">
        <v>30</v>
      </c>
      <c r="U637" s="38">
        <v>0</v>
      </c>
      <c r="V637" s="38">
        <v>0</v>
      </c>
      <c r="W637" s="38">
        <v>0</v>
      </c>
      <c r="X637" s="38">
        <v>0</v>
      </c>
      <c r="Y637" s="38">
        <v>0</v>
      </c>
      <c r="Z637" s="40">
        <v>0</v>
      </c>
      <c r="AA637" s="40">
        <v>0</v>
      </c>
      <c r="AB637" s="40">
        <v>0</v>
      </c>
      <c r="AC637" s="40">
        <v>0</v>
      </c>
      <c r="AD637" s="40">
        <v>0</v>
      </c>
      <c r="AE637" s="40">
        <v>0</v>
      </c>
      <c r="AF637" s="198">
        <v>0</v>
      </c>
      <c r="AG637" s="206">
        <v>0</v>
      </c>
      <c r="AH637" s="38">
        <v>0</v>
      </c>
      <c r="AI637" s="38">
        <v>0</v>
      </c>
      <c r="AJ637" s="38">
        <v>0</v>
      </c>
      <c r="AK637" s="38">
        <v>0</v>
      </c>
      <c r="AL637" s="202"/>
      <c r="AM637" s="197"/>
      <c r="AN637" s="38">
        <v>0</v>
      </c>
      <c r="AO637" s="38">
        <v>0</v>
      </c>
      <c r="AP637" s="38">
        <v>0</v>
      </c>
      <c r="AQ637" s="80"/>
      <c r="AR637" s="38">
        <v>0</v>
      </c>
      <c r="AS637" s="38">
        <v>0</v>
      </c>
    </row>
    <row r="638" ht="117" customHeight="1" hidden="1">
      <c r="A638" t="s" s="130">
        <v>1714</v>
      </c>
      <c r="B638" t="s" s="52">
        <v>652</v>
      </c>
      <c r="C638" t="s" s="130">
        <v>1000</v>
      </c>
      <c r="D638" t="s" s="209">
        <v>713</v>
      </c>
      <c r="E638" t="s" s="217">
        <v>1715</v>
      </c>
      <c r="F638" t="s" s="210">
        <v>714</v>
      </c>
      <c r="G638" s="211"/>
      <c r="H638" s="42">
        <f>SUM(J638,N638)</f>
        <v>0</v>
      </c>
      <c r="I638" s="207">
        <f>SUM(Q638,S638,U638,W638,Y638,AA638,AC638,AE638,AG638,AI638,AK638,AM638,AO638,AQ638,AS638)</f>
        <v>0</v>
      </c>
      <c r="J638" s="43">
        <f>SUM(P638,R638,T638,V638,X638,Z638,AB638,AD638,AF638,AH638,AJ638,AL638,AN638,AP638,AR638)</f>
        <v>0</v>
      </c>
      <c r="K638" s="44"/>
      <c r="L638" s="6"/>
      <c r="M638" s="6"/>
      <c r="N638" s="14"/>
      <c r="O638" s="15"/>
      <c r="P638" s="296">
        <v>0</v>
      </c>
      <c r="Q638" s="297">
        <v>0</v>
      </c>
      <c r="R638" s="51">
        <v>0</v>
      </c>
      <c r="S638" s="51">
        <v>0</v>
      </c>
      <c r="T638" s="51">
        <v>0</v>
      </c>
      <c r="U638" s="51">
        <v>0</v>
      </c>
      <c r="V638" s="51">
        <v>0</v>
      </c>
      <c r="W638" s="51">
        <v>0</v>
      </c>
      <c r="X638" s="51">
        <v>0</v>
      </c>
      <c r="Y638" s="51">
        <v>0</v>
      </c>
      <c r="Z638" s="48">
        <v>0</v>
      </c>
      <c r="AA638" s="48">
        <v>0</v>
      </c>
      <c r="AB638" s="48">
        <v>0</v>
      </c>
      <c r="AC638" s="48">
        <v>0</v>
      </c>
      <c r="AD638" s="55">
        <v>0</v>
      </c>
      <c r="AE638" s="213">
        <v>0</v>
      </c>
      <c r="AF638" s="212">
        <v>0</v>
      </c>
      <c r="AG638" s="121">
        <v>0</v>
      </c>
      <c r="AH638" s="51">
        <v>0</v>
      </c>
      <c r="AI638" s="51">
        <v>0</v>
      </c>
      <c r="AJ638" s="51">
        <v>0</v>
      </c>
      <c r="AK638" s="51">
        <v>0</v>
      </c>
      <c r="AL638" s="14"/>
      <c r="AM638" s="122"/>
      <c r="AN638" s="51">
        <v>0</v>
      </c>
      <c r="AO638" s="51">
        <v>0</v>
      </c>
      <c r="AP638" s="51">
        <v>0</v>
      </c>
      <c r="AQ638" s="47"/>
      <c r="AR638" s="51">
        <v>0</v>
      </c>
      <c r="AS638" s="51">
        <v>0</v>
      </c>
    </row>
    <row r="639" ht="117" customHeight="1" hidden="1">
      <c r="A639" t="s" s="130">
        <v>1716</v>
      </c>
      <c r="B639" t="s" s="52">
        <v>653</v>
      </c>
      <c r="C639" t="s" s="130">
        <v>782</v>
      </c>
      <c r="D639" t="s" s="209">
        <v>717</v>
      </c>
      <c r="E639" t="s" s="217">
        <v>1715</v>
      </c>
      <c r="F639" t="s" s="210">
        <v>714</v>
      </c>
      <c r="G639" s="211"/>
      <c r="H639" s="42">
        <f>SUM(J639,N639)</f>
        <v>0</v>
      </c>
      <c r="I639" s="207">
        <f>SUM(Q639,S639,U639,W639,Y639,AA639,AC639,AE639,AG639,AI639,AK639,AM639,AO639,AQ639,AS639)</f>
        <v>0</v>
      </c>
      <c r="J639" s="43">
        <f>SUM(P639,R639,T639,V639,X639,Z639,AB639,AD639,AF639,AH639,AJ639,AL639,AN639,AP639,AR639)</f>
        <v>0</v>
      </c>
      <c r="K639" s="44"/>
      <c r="L639" s="6"/>
      <c r="M639" s="6"/>
      <c r="N639" s="14"/>
      <c r="O639" s="15"/>
      <c r="P639" s="296">
        <v>0</v>
      </c>
      <c r="Q639" s="297">
        <v>0</v>
      </c>
      <c r="R639" s="51">
        <v>0</v>
      </c>
      <c r="S639" s="51">
        <v>0</v>
      </c>
      <c r="T639" s="51">
        <v>0</v>
      </c>
      <c r="U639" s="51">
        <v>0</v>
      </c>
      <c r="V639" s="51">
        <v>0</v>
      </c>
      <c r="W639" s="51">
        <v>0</v>
      </c>
      <c r="X639" s="51">
        <v>0</v>
      </c>
      <c r="Y639" s="51">
        <v>0</v>
      </c>
      <c r="Z639" s="48">
        <v>0</v>
      </c>
      <c r="AA639" s="48">
        <v>0</v>
      </c>
      <c r="AB639" s="48">
        <v>0</v>
      </c>
      <c r="AC639" s="48">
        <v>0</v>
      </c>
      <c r="AD639" s="55">
        <v>0</v>
      </c>
      <c r="AE639" s="213">
        <v>0</v>
      </c>
      <c r="AF639" s="212">
        <v>0</v>
      </c>
      <c r="AG639" s="121">
        <v>0</v>
      </c>
      <c r="AH639" s="51">
        <v>0</v>
      </c>
      <c r="AI639" s="51">
        <v>0</v>
      </c>
      <c r="AJ639" s="51">
        <v>0</v>
      </c>
      <c r="AK639" s="51">
        <v>0</v>
      </c>
      <c r="AL639" s="14"/>
      <c r="AM639" s="122"/>
      <c r="AN639" s="51">
        <v>0</v>
      </c>
      <c r="AO639" s="51">
        <v>0</v>
      </c>
      <c r="AP639" s="51">
        <v>0</v>
      </c>
      <c r="AQ639" s="47"/>
      <c r="AR639" s="51">
        <v>0</v>
      </c>
      <c r="AS639" s="51">
        <v>0</v>
      </c>
    </row>
    <row r="640" ht="117" customHeight="1" hidden="1">
      <c r="A640" t="s" s="130">
        <v>1717</v>
      </c>
      <c r="B640" t="s" s="52">
        <v>654</v>
      </c>
      <c r="C640" t="s" s="130">
        <v>1710</v>
      </c>
      <c r="D640" t="s" s="209">
        <v>717</v>
      </c>
      <c r="E640" t="s" s="217">
        <v>1715</v>
      </c>
      <c r="F640" t="s" s="210">
        <v>714</v>
      </c>
      <c r="G640" s="211"/>
      <c r="H640" s="42">
        <f>SUM(J640,N640)</f>
        <v>0</v>
      </c>
      <c r="I640" s="207">
        <f>SUM(Q640,S640,U640,W640,Y640,AA640,AC640,AE640,AG640,AI640,AK640,AM640,AO640,AQ640,AS640)</f>
        <v>0</v>
      </c>
      <c r="J640" s="43">
        <f>SUM(P640,R640,T640,V640,X640,Z640,AB640,AD640,AF640,AH640,AJ640,AL640,AN640,AP640,AR640)</f>
        <v>0</v>
      </c>
      <c r="K640" s="44"/>
      <c r="L640" s="6"/>
      <c r="M640" s="6"/>
      <c r="N640" s="14"/>
      <c r="O640" s="15"/>
      <c r="P640" s="296">
        <v>0</v>
      </c>
      <c r="Q640" s="297">
        <v>0</v>
      </c>
      <c r="R640" s="51">
        <v>0</v>
      </c>
      <c r="S640" s="51">
        <v>0</v>
      </c>
      <c r="T640" s="51">
        <v>0</v>
      </c>
      <c r="U640" s="51">
        <v>0</v>
      </c>
      <c r="V640" s="51">
        <v>0</v>
      </c>
      <c r="W640" s="51">
        <v>0</v>
      </c>
      <c r="X640" s="51">
        <v>0</v>
      </c>
      <c r="Y640" s="51">
        <v>0</v>
      </c>
      <c r="Z640" s="48">
        <v>0</v>
      </c>
      <c r="AA640" s="48">
        <v>0</v>
      </c>
      <c r="AB640" s="48">
        <v>0</v>
      </c>
      <c r="AC640" s="48">
        <v>0</v>
      </c>
      <c r="AD640" s="55">
        <v>0</v>
      </c>
      <c r="AE640" s="213">
        <v>0</v>
      </c>
      <c r="AF640" s="212">
        <v>0</v>
      </c>
      <c r="AG640" s="121">
        <v>0</v>
      </c>
      <c r="AH640" s="51">
        <v>0</v>
      </c>
      <c r="AI640" s="51">
        <v>0</v>
      </c>
      <c r="AJ640" s="51">
        <v>0</v>
      </c>
      <c r="AK640" s="51">
        <v>0</v>
      </c>
      <c r="AL640" s="14"/>
      <c r="AM640" s="122"/>
      <c r="AN640" s="51">
        <v>0</v>
      </c>
      <c r="AO640" s="51">
        <v>0</v>
      </c>
      <c r="AP640" s="51">
        <v>0</v>
      </c>
      <c r="AQ640" s="47"/>
      <c r="AR640" s="51">
        <v>0</v>
      </c>
      <c r="AS640" s="51">
        <v>0</v>
      </c>
    </row>
    <row r="641" ht="117" customHeight="1" hidden="1">
      <c r="A641" t="s" s="130">
        <v>1718</v>
      </c>
      <c r="B641" t="s" s="52">
        <v>655</v>
      </c>
      <c r="C641" t="s" s="130">
        <v>782</v>
      </c>
      <c r="D641" t="s" s="209">
        <v>717</v>
      </c>
      <c r="E641" t="s" s="217">
        <v>1715</v>
      </c>
      <c r="F641" t="s" s="210">
        <v>714</v>
      </c>
      <c r="G641" s="211"/>
      <c r="H641" s="42">
        <f>SUM(J641,N641)</f>
        <v>0</v>
      </c>
      <c r="I641" s="207">
        <f>SUM(Q641,S641,U641,W641,Y641,AA641,AC641,AE641,AG641,AI641,AK641,AM641,AO641,AQ641,AS641)</f>
        <v>0</v>
      </c>
      <c r="J641" s="43">
        <f>SUM(P641,R641,T641,V641,X641,Z641,AB641,AD641,AF641,AH641,AJ641,AL641,AN641,AP641,AR641)</f>
        <v>0</v>
      </c>
      <c r="K641" s="44"/>
      <c r="L641" s="6"/>
      <c r="M641" s="6"/>
      <c r="N641" s="14"/>
      <c r="O641" s="15"/>
      <c r="P641" s="296">
        <v>0</v>
      </c>
      <c r="Q641" s="297">
        <v>0</v>
      </c>
      <c r="R641" s="51">
        <v>0</v>
      </c>
      <c r="S641" s="51">
        <v>0</v>
      </c>
      <c r="T641" s="51">
        <v>0</v>
      </c>
      <c r="U641" s="51">
        <v>0</v>
      </c>
      <c r="V641" s="51">
        <v>0</v>
      </c>
      <c r="W641" s="51">
        <v>0</v>
      </c>
      <c r="X641" s="51">
        <v>0</v>
      </c>
      <c r="Y641" s="51">
        <v>0</v>
      </c>
      <c r="Z641" s="48">
        <v>0</v>
      </c>
      <c r="AA641" s="48">
        <v>0</v>
      </c>
      <c r="AB641" s="48">
        <v>0</v>
      </c>
      <c r="AC641" s="48">
        <v>0</v>
      </c>
      <c r="AD641" s="55">
        <v>0</v>
      </c>
      <c r="AE641" s="213">
        <v>0</v>
      </c>
      <c r="AF641" s="212">
        <v>0</v>
      </c>
      <c r="AG641" s="121">
        <v>0</v>
      </c>
      <c r="AH641" s="51">
        <v>0</v>
      </c>
      <c r="AI641" s="51">
        <v>0</v>
      </c>
      <c r="AJ641" s="51">
        <v>0</v>
      </c>
      <c r="AK641" s="51">
        <v>0</v>
      </c>
      <c r="AL641" s="14"/>
      <c r="AM641" s="122"/>
      <c r="AN641" s="51">
        <v>0</v>
      </c>
      <c r="AO641" s="51">
        <v>0</v>
      </c>
      <c r="AP641" s="51">
        <v>0</v>
      </c>
      <c r="AQ641" s="47"/>
      <c r="AR641" s="51">
        <v>0</v>
      </c>
      <c r="AS641" s="51">
        <v>0</v>
      </c>
    </row>
    <row r="642" ht="117" customHeight="1" hidden="1">
      <c r="A642" t="s" s="59">
        <v>1719</v>
      </c>
      <c r="B642" t="s" s="21">
        <v>656</v>
      </c>
      <c r="C642" t="s" s="59">
        <v>1000</v>
      </c>
      <c r="D642" t="s" s="190">
        <v>713</v>
      </c>
      <c r="E642" t="s" s="216">
        <v>1715</v>
      </c>
      <c r="F642" t="s" s="192">
        <v>714</v>
      </c>
      <c r="G642" s="193"/>
      <c r="H642" s="194">
        <f>SUM(J642,N642)</f>
        <v>50</v>
      </c>
      <c r="I642" s="195">
        <f>SUM(Q642,S642,U642,W642,Y642,AA642,AC642,AE642,AG642,AI642,AK642,AM642,AO642,AQ642,AS642)</f>
        <v>0</v>
      </c>
      <c r="J642" s="23">
        <f>SUM(P642,R642,T642,V642,X642,Z642,AB642,AD642,AF642,AH642,AJ642,AL642,AN642,AP642,AR642)</f>
        <v>50</v>
      </c>
      <c r="K642" s="36"/>
      <c r="L642" s="196"/>
      <c r="M642" s="196"/>
      <c r="N642" s="196"/>
      <c r="O642" s="196"/>
      <c r="P642" s="200">
        <v>0</v>
      </c>
      <c r="Q642" s="201">
        <v>0</v>
      </c>
      <c r="R642" s="28">
        <v>0</v>
      </c>
      <c r="S642" s="28">
        <v>0</v>
      </c>
      <c r="T642" s="28">
        <v>50</v>
      </c>
      <c r="U642" s="28">
        <v>0</v>
      </c>
      <c r="V642" s="28">
        <v>0</v>
      </c>
      <c r="W642" s="28">
        <v>0</v>
      </c>
      <c r="X642" s="28">
        <v>0</v>
      </c>
      <c r="Y642" s="28">
        <v>0</v>
      </c>
      <c r="Z642" s="30">
        <v>0</v>
      </c>
      <c r="AA642" s="30">
        <v>0</v>
      </c>
      <c r="AB642" s="30">
        <v>0</v>
      </c>
      <c r="AC642" s="30">
        <v>0</v>
      </c>
      <c r="AD642" s="30">
        <v>0</v>
      </c>
      <c r="AE642" s="30">
        <v>0</v>
      </c>
      <c r="AF642" s="198">
        <v>0</v>
      </c>
      <c r="AG642" s="206">
        <v>0</v>
      </c>
      <c r="AH642" s="28">
        <v>0</v>
      </c>
      <c r="AI642" s="28">
        <v>0</v>
      </c>
      <c r="AJ642" s="28">
        <v>0</v>
      </c>
      <c r="AK642" s="28">
        <v>0</v>
      </c>
      <c r="AL642" s="202"/>
      <c r="AM642" s="197"/>
      <c r="AN642" s="28">
        <v>0</v>
      </c>
      <c r="AO642" s="28">
        <v>0</v>
      </c>
      <c r="AP642" s="28">
        <v>0</v>
      </c>
      <c r="AQ642" s="87"/>
      <c r="AR642" s="28">
        <v>0</v>
      </c>
      <c r="AS642" s="28">
        <v>0</v>
      </c>
    </row>
    <row r="643" ht="117" customHeight="1" hidden="1">
      <c r="A643" t="s" s="130">
        <v>1720</v>
      </c>
      <c r="B643" t="s" s="52">
        <v>657</v>
      </c>
      <c r="C643" t="s" s="130">
        <v>1031</v>
      </c>
      <c r="D643" t="s" s="209">
        <v>717</v>
      </c>
      <c r="E643" t="s" s="217">
        <v>1715</v>
      </c>
      <c r="F643" t="s" s="210">
        <v>714</v>
      </c>
      <c r="G643" s="211"/>
      <c r="H643" s="42">
        <f>SUM(J643,N643)</f>
        <v>0</v>
      </c>
      <c r="I643" s="207">
        <f>SUM(Q643,S643,U643,W643,Y643,AA643,AC643,AE643,AG643,AI643,AK643,AM643,AO643,AQ643,AS643)</f>
        <v>0</v>
      </c>
      <c r="J643" s="43">
        <f>SUM(P643,R643,T643,V643,X643,Z643,AB643,AD643,AF643,AH643,AJ643,AL643,AN643,AP643,AR643)</f>
        <v>0</v>
      </c>
      <c r="K643" s="44"/>
      <c r="L643" s="6"/>
      <c r="M643" s="6"/>
      <c r="N643" s="14"/>
      <c r="O643" s="15"/>
      <c r="P643" s="296">
        <v>0</v>
      </c>
      <c r="Q643" s="297">
        <v>0</v>
      </c>
      <c r="R643" s="51">
        <v>0</v>
      </c>
      <c r="S643" s="51">
        <v>0</v>
      </c>
      <c r="T643" s="51">
        <v>0</v>
      </c>
      <c r="U643" s="51">
        <v>0</v>
      </c>
      <c r="V643" s="51">
        <v>0</v>
      </c>
      <c r="W643" s="51">
        <v>0</v>
      </c>
      <c r="X643" s="51">
        <v>0</v>
      </c>
      <c r="Y643" s="51">
        <v>0</v>
      </c>
      <c r="Z643" s="48">
        <v>0</v>
      </c>
      <c r="AA643" s="48">
        <v>0</v>
      </c>
      <c r="AB643" s="48">
        <v>0</v>
      </c>
      <c r="AC643" s="48">
        <v>0</v>
      </c>
      <c r="AD643" s="55">
        <v>0</v>
      </c>
      <c r="AE643" s="213">
        <v>0</v>
      </c>
      <c r="AF643" s="212">
        <v>0</v>
      </c>
      <c r="AG643" s="121">
        <v>0</v>
      </c>
      <c r="AH643" s="51">
        <v>0</v>
      </c>
      <c r="AI643" s="51">
        <v>0</v>
      </c>
      <c r="AJ643" s="51">
        <v>0</v>
      </c>
      <c r="AK643" s="51">
        <v>0</v>
      </c>
      <c r="AL643" s="14"/>
      <c r="AM643" s="122"/>
      <c r="AN643" s="51">
        <v>0</v>
      </c>
      <c r="AO643" s="51">
        <v>0</v>
      </c>
      <c r="AP643" s="51">
        <v>0</v>
      </c>
      <c r="AQ643" s="47"/>
      <c r="AR643" s="51">
        <v>0</v>
      </c>
      <c r="AS643" s="51">
        <v>0</v>
      </c>
    </row>
    <row r="644" ht="78" customHeight="1" hidden="1">
      <c r="A644" t="s" s="220">
        <v>1721</v>
      </c>
      <c r="B644" t="s" s="52">
        <v>658</v>
      </c>
      <c r="C644" t="s" s="130">
        <v>1422</v>
      </c>
      <c r="D644" t="s" s="209">
        <v>717</v>
      </c>
      <c r="E644" t="s" s="217">
        <v>1722</v>
      </c>
      <c r="F644" t="s" s="210">
        <v>714</v>
      </c>
      <c r="G644" s="211"/>
      <c r="H644" s="42">
        <f>SUM(J644,N644)</f>
        <v>0</v>
      </c>
      <c r="I644" s="207">
        <f>SUM(Q644,S644,U644,W644,Y644,AA644,AC644,AE644,AG644,AI644,AK644,AM644,AO644,AQ644,AS644)</f>
        <v>0</v>
      </c>
      <c r="J644" s="43">
        <f>SUM(P644,R644,T644,V644,X644,Z644,AB644,AD644,AF644,AH644,AJ644,AL644,AN644,AP644,AR644)</f>
        <v>0</v>
      </c>
      <c r="K644" s="44"/>
      <c r="L644" s="6"/>
      <c r="M644" s="6"/>
      <c r="N644" s="14"/>
      <c r="O644" s="15"/>
      <c r="P644" s="296">
        <v>0</v>
      </c>
      <c r="Q644" s="297">
        <v>0</v>
      </c>
      <c r="R644" s="51">
        <v>0</v>
      </c>
      <c r="S644" s="51">
        <v>0</v>
      </c>
      <c r="T644" s="51">
        <v>0</v>
      </c>
      <c r="U644" s="51">
        <v>0</v>
      </c>
      <c r="V644" s="51">
        <v>0</v>
      </c>
      <c r="W644" s="51">
        <v>0</v>
      </c>
      <c r="X644" s="51">
        <v>0</v>
      </c>
      <c r="Y644" s="51">
        <v>0</v>
      </c>
      <c r="Z644" s="48">
        <v>0</v>
      </c>
      <c r="AA644" s="48">
        <v>0</v>
      </c>
      <c r="AB644" s="48">
        <v>0</v>
      </c>
      <c r="AC644" s="48">
        <v>0</v>
      </c>
      <c r="AD644" s="55">
        <v>0</v>
      </c>
      <c r="AE644" s="213">
        <v>0</v>
      </c>
      <c r="AF644" s="212">
        <v>0</v>
      </c>
      <c r="AG644" s="121">
        <v>0</v>
      </c>
      <c r="AH644" s="51">
        <v>0</v>
      </c>
      <c r="AI644" s="51">
        <v>0</v>
      </c>
      <c r="AJ644" s="51">
        <v>0</v>
      </c>
      <c r="AK644" s="51">
        <v>0</v>
      </c>
      <c r="AL644" s="14"/>
      <c r="AM644" s="122"/>
      <c r="AN644" s="51">
        <v>0</v>
      </c>
      <c r="AO644" s="51">
        <v>0</v>
      </c>
      <c r="AP644" s="51">
        <v>0</v>
      </c>
      <c r="AQ644" s="47"/>
      <c r="AR644" s="51">
        <v>0</v>
      </c>
      <c r="AS644" s="51">
        <v>0</v>
      </c>
    </row>
    <row r="645" ht="409.5" customHeight="1" hidden="1">
      <c r="A645" t="s" s="220">
        <v>1723</v>
      </c>
      <c r="B645" t="s" s="52">
        <v>659</v>
      </c>
      <c r="C645" t="s" s="130">
        <v>765</v>
      </c>
      <c r="D645" t="s" s="209">
        <v>713</v>
      </c>
      <c r="E645" t="s" s="217">
        <v>1724</v>
      </c>
      <c r="F645" t="s" s="210">
        <v>714</v>
      </c>
      <c r="G645" s="211"/>
      <c r="H645" s="42">
        <f>SUM(J645,N645)</f>
        <v>122400</v>
      </c>
      <c r="I645" s="207">
        <f>SUM(Q645,S645,U645,W645,Y645,AA645,AC645,AE645,AG645,AI645,AK645,AM645,AO645,AQ645,AS645)</f>
        <v>82824</v>
      </c>
      <c r="J645" s="43">
        <f>SUM(P645,R645,T645,V645,X645,Z645,AB645,AD645,AF645,AH645,AJ645,AL645,AN645,AP645,AR645)</f>
        <v>122400</v>
      </c>
      <c r="K645" s="44"/>
      <c r="L645" s="6"/>
      <c r="M645" s="6"/>
      <c r="N645" s="14"/>
      <c r="O645" s="15"/>
      <c r="P645" s="296">
        <v>0</v>
      </c>
      <c r="Q645" s="297">
        <v>0</v>
      </c>
      <c r="R645" s="51">
        <v>90000</v>
      </c>
      <c r="S645" s="51">
        <v>73052</v>
      </c>
      <c r="T645" s="51">
        <v>0</v>
      </c>
      <c r="U645" s="51">
        <v>0</v>
      </c>
      <c r="V645" s="51">
        <v>32400</v>
      </c>
      <c r="W645" s="51">
        <v>9772</v>
      </c>
      <c r="X645" s="51">
        <v>0</v>
      </c>
      <c r="Y645" s="51">
        <v>0</v>
      </c>
      <c r="Z645" s="48">
        <v>0</v>
      </c>
      <c r="AA645" s="48">
        <v>0</v>
      </c>
      <c r="AB645" s="48">
        <v>0</v>
      </c>
      <c r="AC645" s="48">
        <v>0</v>
      </c>
      <c r="AD645" s="55">
        <v>0</v>
      </c>
      <c r="AE645" s="213">
        <v>0</v>
      </c>
      <c r="AF645" s="212">
        <v>0</v>
      </c>
      <c r="AG645" s="121">
        <v>0</v>
      </c>
      <c r="AH645" s="51">
        <v>0</v>
      </c>
      <c r="AI645" s="51">
        <v>0</v>
      </c>
      <c r="AJ645" s="51">
        <v>0</v>
      </c>
      <c r="AK645" s="51">
        <v>0</v>
      </c>
      <c r="AL645" s="14"/>
      <c r="AM645" s="122"/>
      <c r="AN645" s="51">
        <v>0</v>
      </c>
      <c r="AO645" s="51">
        <v>0</v>
      </c>
      <c r="AP645" s="51">
        <v>0</v>
      </c>
      <c r="AQ645" s="47"/>
      <c r="AR645" s="51">
        <v>0</v>
      </c>
      <c r="AS645" s="51">
        <v>0</v>
      </c>
    </row>
    <row r="646" ht="195" customHeight="1" hidden="1">
      <c r="A646" t="s" s="220">
        <v>1725</v>
      </c>
      <c r="B646" t="s" s="52">
        <v>660</v>
      </c>
      <c r="C646" t="s" s="130">
        <v>1422</v>
      </c>
      <c r="D646" t="s" s="209">
        <v>717</v>
      </c>
      <c r="E646" t="s" s="217">
        <v>1726</v>
      </c>
      <c r="F646" t="s" s="210">
        <v>714</v>
      </c>
      <c r="G646" s="211"/>
      <c r="H646" s="42">
        <f>SUM(J646,N646)</f>
        <v>0</v>
      </c>
      <c r="I646" s="207">
        <f>SUM(Q646,S646,U646,W646,Y646,AA646,AC646,AE646,AG646,AI646,AK646,AM646,AO646,AQ646,AS646)</f>
        <v>0</v>
      </c>
      <c r="J646" s="43">
        <f>SUM(P646,R646,T646,V646,X646,Z646,AB646,AD646,AF646,AH646,AJ646,AL646,AN646,AP646,AR646)</f>
        <v>0</v>
      </c>
      <c r="K646" s="44"/>
      <c r="L646" s="6"/>
      <c r="M646" s="6"/>
      <c r="N646" s="14"/>
      <c r="O646" s="15"/>
      <c r="P646" s="296">
        <v>0</v>
      </c>
      <c r="Q646" s="297">
        <v>0</v>
      </c>
      <c r="R646" s="51">
        <v>0</v>
      </c>
      <c r="S646" s="51">
        <v>0</v>
      </c>
      <c r="T646" s="51">
        <v>0</v>
      </c>
      <c r="U646" s="51">
        <v>0</v>
      </c>
      <c r="V646" s="47"/>
      <c r="W646" s="47"/>
      <c r="X646" s="51">
        <v>0</v>
      </c>
      <c r="Y646" s="51">
        <v>0</v>
      </c>
      <c r="Z646" s="48">
        <v>0</v>
      </c>
      <c r="AA646" s="48">
        <v>0</v>
      </c>
      <c r="AB646" s="48">
        <v>0</v>
      </c>
      <c r="AC646" s="48">
        <v>0</v>
      </c>
      <c r="AD646" s="55">
        <v>0</v>
      </c>
      <c r="AE646" s="213">
        <v>0</v>
      </c>
      <c r="AF646" s="212">
        <v>0</v>
      </c>
      <c r="AG646" s="121">
        <v>0</v>
      </c>
      <c r="AH646" s="51">
        <v>0</v>
      </c>
      <c r="AI646" s="51">
        <v>0</v>
      </c>
      <c r="AJ646" s="51">
        <v>0</v>
      </c>
      <c r="AK646" s="51">
        <v>0</v>
      </c>
      <c r="AL646" s="14"/>
      <c r="AM646" s="122"/>
      <c r="AN646" s="51">
        <v>0</v>
      </c>
      <c r="AO646" s="51">
        <v>0</v>
      </c>
      <c r="AP646" s="51">
        <v>0</v>
      </c>
      <c r="AQ646" s="47"/>
      <c r="AR646" s="51">
        <v>0</v>
      </c>
      <c r="AS646" s="51">
        <v>0</v>
      </c>
    </row>
    <row r="647" ht="117" customHeight="1" hidden="1">
      <c r="A647" t="s" s="220">
        <v>1727</v>
      </c>
      <c r="B647" t="s" s="52">
        <v>661</v>
      </c>
      <c r="C647" t="s" s="130">
        <v>782</v>
      </c>
      <c r="D647" t="s" s="209">
        <v>717</v>
      </c>
      <c r="E647" t="s" s="217">
        <v>1728</v>
      </c>
      <c r="F647" t="s" s="210">
        <v>714</v>
      </c>
      <c r="G647" s="211"/>
      <c r="H647" s="42">
        <f>SUM(J647,N647)</f>
        <v>0</v>
      </c>
      <c r="I647" s="207">
        <f>SUM(Q647,S647,U647,W647,Y647,AA647,AC647,AE647,AG647,AI647,AK647,AM647,AO647,AQ647,AS647)</f>
        <v>0</v>
      </c>
      <c r="J647" s="43">
        <f>SUM(P647,R647,T647,V647,X647,Z647,AB647,AD647,AF647,AH647,AJ647,AL647,AN647,AP647,AR647)</f>
        <v>0</v>
      </c>
      <c r="K647" s="44"/>
      <c r="L647" s="6"/>
      <c r="M647" s="6"/>
      <c r="N647" s="14"/>
      <c r="O647" s="15"/>
      <c r="P647" s="296">
        <v>0</v>
      </c>
      <c r="Q647" s="297">
        <v>0</v>
      </c>
      <c r="R647" s="51">
        <v>0</v>
      </c>
      <c r="S647" s="51">
        <v>0</v>
      </c>
      <c r="T647" s="51">
        <v>0</v>
      </c>
      <c r="U647" s="51">
        <v>0</v>
      </c>
      <c r="V647" s="51">
        <v>0</v>
      </c>
      <c r="W647" s="51">
        <v>0</v>
      </c>
      <c r="X647" s="51">
        <v>0</v>
      </c>
      <c r="Y647" s="51">
        <v>0</v>
      </c>
      <c r="Z647" s="48">
        <v>0</v>
      </c>
      <c r="AA647" s="48">
        <v>0</v>
      </c>
      <c r="AB647" s="48">
        <v>0</v>
      </c>
      <c r="AC647" s="48">
        <v>0</v>
      </c>
      <c r="AD647" s="55">
        <v>0</v>
      </c>
      <c r="AE647" s="213">
        <v>0</v>
      </c>
      <c r="AF647" s="212">
        <v>0</v>
      </c>
      <c r="AG647" s="121">
        <v>0</v>
      </c>
      <c r="AH647" s="51">
        <v>0</v>
      </c>
      <c r="AI647" s="51">
        <v>0</v>
      </c>
      <c r="AJ647" s="51">
        <v>0</v>
      </c>
      <c r="AK647" s="51">
        <v>0</v>
      </c>
      <c r="AL647" s="14"/>
      <c r="AM647" s="122"/>
      <c r="AN647" s="51">
        <v>0</v>
      </c>
      <c r="AO647" s="51">
        <v>0</v>
      </c>
      <c r="AP647" s="51">
        <v>0</v>
      </c>
      <c r="AQ647" s="47"/>
      <c r="AR647" s="51">
        <v>0</v>
      </c>
      <c r="AS647" s="51">
        <v>0</v>
      </c>
    </row>
    <row r="648" ht="117" customHeight="1" hidden="1">
      <c r="A648" t="s" s="214">
        <v>1729</v>
      </c>
      <c r="B648" t="s" s="21">
        <v>662</v>
      </c>
      <c r="C648" t="s" s="59">
        <v>1730</v>
      </c>
      <c r="D648" t="s" s="190">
        <v>717</v>
      </c>
      <c r="E648" t="s" s="216">
        <v>1728</v>
      </c>
      <c r="F648" t="s" s="192">
        <v>714</v>
      </c>
      <c r="G648" s="193"/>
      <c r="H648" s="194">
        <f>SUM(J648,N648)</f>
        <v>10</v>
      </c>
      <c r="I648" s="195">
        <f>SUM(Q648,S648,U648,W648,Y648,AA648,AC648,AE648,AG648,AI648,AK648,AM648,AO648,AQ648,AS648)</f>
        <v>0</v>
      </c>
      <c r="J648" s="23">
        <f>SUM(P648,R648,T648,V648,X648,Z648,AB648,AD648,AF648,AH648,AJ648,AL648,AN648,AP648,AR648)</f>
        <v>10</v>
      </c>
      <c r="K648" s="36"/>
      <c r="L648" s="196"/>
      <c r="M648" s="196"/>
      <c r="N648" s="196"/>
      <c r="O648" s="196"/>
      <c r="P648" s="200">
        <v>0</v>
      </c>
      <c r="Q648" s="201">
        <v>0</v>
      </c>
      <c r="R648" s="28">
        <v>0</v>
      </c>
      <c r="S648" s="28">
        <v>0</v>
      </c>
      <c r="T648" s="28">
        <v>10</v>
      </c>
      <c r="U648" s="28">
        <v>0</v>
      </c>
      <c r="V648" s="28">
        <v>0</v>
      </c>
      <c r="W648" s="28">
        <v>0</v>
      </c>
      <c r="X648" s="28">
        <v>0</v>
      </c>
      <c r="Y648" s="28">
        <v>0</v>
      </c>
      <c r="Z648" s="30">
        <v>0</v>
      </c>
      <c r="AA648" s="30">
        <v>0</v>
      </c>
      <c r="AB648" s="30">
        <v>0</v>
      </c>
      <c r="AC648" s="30">
        <v>0</v>
      </c>
      <c r="AD648" s="30">
        <v>0</v>
      </c>
      <c r="AE648" s="30">
        <v>0</v>
      </c>
      <c r="AF648" s="198">
        <v>0</v>
      </c>
      <c r="AG648" s="206">
        <v>0</v>
      </c>
      <c r="AH648" s="28">
        <v>0</v>
      </c>
      <c r="AI648" s="28">
        <v>0</v>
      </c>
      <c r="AJ648" s="28">
        <v>0</v>
      </c>
      <c r="AK648" s="28">
        <v>0</v>
      </c>
      <c r="AL648" s="202"/>
      <c r="AM648" s="197"/>
      <c r="AN648" s="28">
        <v>0</v>
      </c>
      <c r="AO648" s="28">
        <v>0</v>
      </c>
      <c r="AP648" s="28">
        <v>0</v>
      </c>
      <c r="AQ648" s="87"/>
      <c r="AR648" s="28">
        <v>0</v>
      </c>
      <c r="AS648" s="28">
        <v>0</v>
      </c>
    </row>
    <row r="649" ht="78" customHeight="1" hidden="1">
      <c r="A649" t="s" s="214">
        <v>1731</v>
      </c>
      <c r="B649" t="s" s="21">
        <v>663</v>
      </c>
      <c r="C649" t="s" s="59">
        <v>1732</v>
      </c>
      <c r="D649" t="s" s="190">
        <v>717</v>
      </c>
      <c r="E649" t="s" s="216">
        <v>1733</v>
      </c>
      <c r="F649" t="s" s="192">
        <v>714</v>
      </c>
      <c r="G649" s="193"/>
      <c r="H649" s="194">
        <f>SUM(J649,N649)</f>
        <v>30</v>
      </c>
      <c r="I649" s="195">
        <f>SUM(Q649,S649,U649,W649,Y649,AA649,AC649,AE649,AG649,AI649,AK649,AM649,AO649,AQ649,AS649)</f>
        <v>0</v>
      </c>
      <c r="J649" s="23">
        <f>SUM(P649,R649,T649,V649,X649,Z649,AB649,AD649,AF649,AH649,AJ649,AL649,AN649,AP649,AR649)</f>
        <v>30</v>
      </c>
      <c r="K649" s="36"/>
      <c r="L649" s="196"/>
      <c r="M649" s="196"/>
      <c r="N649" s="196"/>
      <c r="O649" s="196"/>
      <c r="P649" s="200">
        <v>10</v>
      </c>
      <c r="Q649" s="201">
        <v>0</v>
      </c>
      <c r="R649" s="28">
        <v>10</v>
      </c>
      <c r="S649" s="28">
        <v>0</v>
      </c>
      <c r="T649" s="28">
        <v>10</v>
      </c>
      <c r="U649" s="28">
        <v>0</v>
      </c>
      <c r="V649" s="28">
        <v>0</v>
      </c>
      <c r="W649" s="28">
        <v>0</v>
      </c>
      <c r="X649" s="28">
        <v>0</v>
      </c>
      <c r="Y649" s="28">
        <v>0</v>
      </c>
      <c r="Z649" s="30">
        <v>0</v>
      </c>
      <c r="AA649" s="30">
        <v>0</v>
      </c>
      <c r="AB649" s="30">
        <v>0</v>
      </c>
      <c r="AC649" s="30">
        <v>0</v>
      </c>
      <c r="AD649" s="30">
        <v>0</v>
      </c>
      <c r="AE649" s="30">
        <v>0</v>
      </c>
      <c r="AF649" s="198">
        <v>0</v>
      </c>
      <c r="AG649" s="206">
        <v>0</v>
      </c>
      <c r="AH649" s="28">
        <v>0</v>
      </c>
      <c r="AI649" s="28">
        <v>0</v>
      </c>
      <c r="AJ649" s="28">
        <v>0</v>
      </c>
      <c r="AK649" s="28">
        <v>0</v>
      </c>
      <c r="AL649" s="202"/>
      <c r="AM649" s="197"/>
      <c r="AN649" s="28">
        <v>0</v>
      </c>
      <c r="AO649" s="28">
        <v>0</v>
      </c>
      <c r="AP649" s="28">
        <v>0</v>
      </c>
      <c r="AQ649" s="87"/>
      <c r="AR649" s="28">
        <v>0</v>
      </c>
      <c r="AS649" s="28">
        <v>0</v>
      </c>
    </row>
    <row r="650" ht="117" customHeight="1" hidden="1">
      <c r="A650" t="s" s="103">
        <v>1734</v>
      </c>
      <c r="B650" t="s" s="10">
        <v>664</v>
      </c>
      <c r="C650" t="s" s="103">
        <v>1735</v>
      </c>
      <c r="D650" t="s" s="66">
        <v>717</v>
      </c>
      <c r="E650" t="s" s="219">
        <v>1728</v>
      </c>
      <c r="F650" t="s" s="101">
        <v>714</v>
      </c>
      <c r="G650" s="203"/>
      <c r="H650" s="204">
        <f>SUM(J650,N650)</f>
        <v>80</v>
      </c>
      <c r="I650" s="205">
        <f>SUM(Q650,S650,U650,W650,Y650,AA650,AC650,AE650,AG650,AI650,AK650,AM650,AO650,AQ650,AS650)</f>
        <v>0</v>
      </c>
      <c r="J650" s="35">
        <f>SUM(P650,R650,T650,V650,X650,Z650,AB650,AD650,AF650,AH650,AJ650,AL650,AN650,AP650,AR650)</f>
        <v>80</v>
      </c>
      <c r="K650" s="36"/>
      <c r="L650" s="196"/>
      <c r="M650" s="196"/>
      <c r="N650" s="196"/>
      <c r="O650" s="196"/>
      <c r="P650" s="200">
        <v>0</v>
      </c>
      <c r="Q650" s="201">
        <v>0</v>
      </c>
      <c r="R650" s="38">
        <v>0</v>
      </c>
      <c r="S650" s="38">
        <v>0</v>
      </c>
      <c r="T650" s="38">
        <v>0</v>
      </c>
      <c r="U650" s="38">
        <v>0</v>
      </c>
      <c r="V650" s="38">
        <v>50</v>
      </c>
      <c r="W650" s="38">
        <v>0</v>
      </c>
      <c r="X650" s="38">
        <v>0</v>
      </c>
      <c r="Y650" s="38">
        <v>0</v>
      </c>
      <c r="Z650" s="40">
        <v>0</v>
      </c>
      <c r="AA650" s="40">
        <v>0</v>
      </c>
      <c r="AB650" s="40">
        <v>30</v>
      </c>
      <c r="AC650" s="40">
        <v>0</v>
      </c>
      <c r="AD650" s="40">
        <v>0</v>
      </c>
      <c r="AE650" s="40">
        <v>0</v>
      </c>
      <c r="AF650" s="198">
        <v>0</v>
      </c>
      <c r="AG650" s="206">
        <v>0</v>
      </c>
      <c r="AH650" s="38">
        <v>0</v>
      </c>
      <c r="AI650" s="38">
        <v>0</v>
      </c>
      <c r="AJ650" s="38">
        <v>0</v>
      </c>
      <c r="AK650" s="38">
        <v>0</v>
      </c>
      <c r="AL650" s="202"/>
      <c r="AM650" s="197"/>
      <c r="AN650" s="38">
        <v>0</v>
      </c>
      <c r="AO650" s="38">
        <v>0</v>
      </c>
      <c r="AP650" s="38">
        <v>0</v>
      </c>
      <c r="AQ650" s="80"/>
      <c r="AR650" s="38">
        <v>0</v>
      </c>
      <c r="AS650" s="38">
        <v>0</v>
      </c>
    </row>
    <row r="651" ht="110.25" customHeight="1" hidden="1">
      <c r="A651" t="s" s="220">
        <v>1736</v>
      </c>
      <c r="B651" t="s" s="52">
        <v>665</v>
      </c>
      <c r="C651" t="s" s="220">
        <v>811</v>
      </c>
      <c r="D651" t="s" s="233">
        <v>791</v>
      </c>
      <c r="E651" t="s" s="217">
        <v>1737</v>
      </c>
      <c r="F651" t="s" s="210">
        <v>714</v>
      </c>
      <c r="G651" s="211"/>
      <c r="H651" s="42">
        <f>SUM(J651,N651)</f>
        <v>0</v>
      </c>
      <c r="I651" s="207">
        <f>SUM(Q651,S651,U651,W651,Y651,AA651,AC651,AE651,AG651,AI651,AK651,AM651,AO651,AQ651,AS651)</f>
        <v>0</v>
      </c>
      <c r="J651" s="43">
        <f>SUM(P651,R651,T651,V651,X651,Z651,AB651,AD651,AF651,AH651,AJ651,AL651,AN651,AP651,AR651)</f>
        <v>0</v>
      </c>
      <c r="K651" s="44"/>
      <c r="L651" s="6"/>
      <c r="M651" s="6"/>
      <c r="N651" s="14"/>
      <c r="O651" s="15"/>
      <c r="P651" s="296">
        <v>0</v>
      </c>
      <c r="Q651" s="297">
        <v>0</v>
      </c>
      <c r="R651" s="51">
        <v>0</v>
      </c>
      <c r="S651" s="51">
        <v>0</v>
      </c>
      <c r="T651" s="51">
        <v>0</v>
      </c>
      <c r="U651" s="51">
        <v>0</v>
      </c>
      <c r="V651" s="51">
        <v>0</v>
      </c>
      <c r="W651" s="51">
        <v>0</v>
      </c>
      <c r="X651" s="51">
        <v>0</v>
      </c>
      <c r="Y651" s="51">
        <v>0</v>
      </c>
      <c r="Z651" s="48">
        <v>0</v>
      </c>
      <c r="AA651" s="48">
        <v>0</v>
      </c>
      <c r="AB651" s="48">
        <v>0</v>
      </c>
      <c r="AC651" s="48">
        <v>0</v>
      </c>
      <c r="AD651" s="55">
        <v>0</v>
      </c>
      <c r="AE651" s="213">
        <v>0</v>
      </c>
      <c r="AF651" s="212">
        <v>0</v>
      </c>
      <c r="AG651" s="121">
        <v>0</v>
      </c>
      <c r="AH651" s="51">
        <v>0</v>
      </c>
      <c r="AI651" s="51">
        <v>0</v>
      </c>
      <c r="AJ651" s="51">
        <v>0</v>
      </c>
      <c r="AK651" s="51">
        <v>0</v>
      </c>
      <c r="AL651" s="14"/>
      <c r="AM651" s="122"/>
      <c r="AN651" s="51">
        <v>0</v>
      </c>
      <c r="AO651" s="51">
        <v>0</v>
      </c>
      <c r="AP651" s="51">
        <v>0</v>
      </c>
      <c r="AQ651" s="47"/>
      <c r="AR651" s="51">
        <v>0</v>
      </c>
      <c r="AS651" s="51">
        <v>0</v>
      </c>
    </row>
    <row r="652" ht="58.5" customHeight="1" hidden="1">
      <c r="A652" t="s" s="218">
        <v>1738</v>
      </c>
      <c r="B652" t="s" s="10">
        <v>666</v>
      </c>
      <c r="C652" t="s" s="218">
        <v>790</v>
      </c>
      <c r="D652" t="s" s="248">
        <v>791</v>
      </c>
      <c r="E652" t="s" s="129">
        <v>1739</v>
      </c>
      <c r="F652" t="s" s="101">
        <v>714</v>
      </c>
      <c r="G652" s="203"/>
      <c r="H652" s="204">
        <f>SUM(J652,N652)</f>
        <v>192</v>
      </c>
      <c r="I652" s="205">
        <f>SUM(Q652,S652,U652,W652,Y652,AA652,AC652,AE652,AG652,AI652,AK652,AM652,AO652,AQ652,AS652)</f>
        <v>0</v>
      </c>
      <c r="J652" s="35">
        <f>SUM(P652,R652,T652,V652,X652,Z652,AB652,AD652,AF652,AH652,AJ652,AL652,AN652,AP652,AR652)</f>
        <v>192</v>
      </c>
      <c r="K652" s="36"/>
      <c r="L652" s="196"/>
      <c r="M652" s="196"/>
      <c r="N652" s="196"/>
      <c r="O652" s="196"/>
      <c r="P652" s="200">
        <v>20</v>
      </c>
      <c r="Q652" s="201">
        <v>0</v>
      </c>
      <c r="R652" s="38">
        <v>0</v>
      </c>
      <c r="S652" s="38">
        <v>0</v>
      </c>
      <c r="T652" s="38">
        <v>12</v>
      </c>
      <c r="U652" s="38">
        <v>0</v>
      </c>
      <c r="V652" s="38">
        <v>0</v>
      </c>
      <c r="W652" s="38">
        <v>0</v>
      </c>
      <c r="X652" s="38">
        <v>0</v>
      </c>
      <c r="Y652" s="38">
        <v>0</v>
      </c>
      <c r="Z652" s="40">
        <v>10</v>
      </c>
      <c r="AA652" s="40">
        <v>0</v>
      </c>
      <c r="AB652" s="40">
        <v>0</v>
      </c>
      <c r="AC652" s="40">
        <v>0</v>
      </c>
      <c r="AD652" s="40">
        <v>150</v>
      </c>
      <c r="AE652" s="40">
        <v>0</v>
      </c>
      <c r="AF652" s="198">
        <v>0</v>
      </c>
      <c r="AG652" s="206">
        <v>0</v>
      </c>
      <c r="AH652" s="38">
        <v>0</v>
      </c>
      <c r="AI652" s="38">
        <v>0</v>
      </c>
      <c r="AJ652" s="38">
        <v>0</v>
      </c>
      <c r="AK652" s="38">
        <v>0</v>
      </c>
      <c r="AL652" s="202"/>
      <c r="AM652" s="197"/>
      <c r="AN652" s="38">
        <v>0</v>
      </c>
      <c r="AO652" s="38">
        <v>0</v>
      </c>
      <c r="AP652" s="38">
        <v>0</v>
      </c>
      <c r="AQ652" s="80"/>
      <c r="AR652" s="38">
        <v>0</v>
      </c>
      <c r="AS652" s="38">
        <v>0</v>
      </c>
    </row>
    <row r="653" ht="214.5" customHeight="1" hidden="1">
      <c r="A653" t="s" s="130">
        <v>1740</v>
      </c>
      <c r="B653" t="s" s="52">
        <v>667</v>
      </c>
      <c r="C653" t="s" s="130">
        <v>782</v>
      </c>
      <c r="D653" t="s" s="209">
        <v>717</v>
      </c>
      <c r="E653" t="s" s="217">
        <v>1741</v>
      </c>
      <c r="F653" t="s" s="210">
        <v>714</v>
      </c>
      <c r="G653" s="211"/>
      <c r="H653" s="42">
        <f>SUM(J653,N653)</f>
        <v>0</v>
      </c>
      <c r="I653" s="207">
        <f>SUM(Q653,S653,U653,W653,Y653,AA653,AC653,AE653,AG653,AI653,AK653,AM653,AO653,AQ653,AS653)</f>
        <v>0</v>
      </c>
      <c r="J653" s="43">
        <f>SUM(P653,R653,T653,V653,X653,Z653,AB653,AD653,AF653,AH653,AJ653,AL653,AN653,AP653,AR653)</f>
        <v>0</v>
      </c>
      <c r="K653" s="44"/>
      <c r="L653" s="6"/>
      <c r="M653" s="6"/>
      <c r="N653" s="14"/>
      <c r="O653" s="15"/>
      <c r="P653" s="296">
        <v>0</v>
      </c>
      <c r="Q653" s="297">
        <v>0</v>
      </c>
      <c r="R653" s="51">
        <v>0</v>
      </c>
      <c r="S653" s="51">
        <v>0</v>
      </c>
      <c r="T653" s="51">
        <v>0</v>
      </c>
      <c r="U653" s="51">
        <v>0</v>
      </c>
      <c r="V653" s="51">
        <v>0</v>
      </c>
      <c r="W653" s="51">
        <v>0</v>
      </c>
      <c r="X653" s="51">
        <v>0</v>
      </c>
      <c r="Y653" s="51">
        <v>0</v>
      </c>
      <c r="Z653" s="48">
        <v>0</v>
      </c>
      <c r="AA653" s="48">
        <v>0</v>
      </c>
      <c r="AB653" s="48">
        <v>0</v>
      </c>
      <c r="AC653" s="48">
        <v>0</v>
      </c>
      <c r="AD653" s="55">
        <v>0</v>
      </c>
      <c r="AE653" s="213">
        <v>0</v>
      </c>
      <c r="AF653" s="212">
        <v>0</v>
      </c>
      <c r="AG653" s="121">
        <v>0</v>
      </c>
      <c r="AH653" s="51">
        <v>0</v>
      </c>
      <c r="AI653" s="51">
        <v>0</v>
      </c>
      <c r="AJ653" s="51">
        <v>0</v>
      </c>
      <c r="AK653" s="51">
        <v>0</v>
      </c>
      <c r="AL653" s="14"/>
      <c r="AM653" s="122"/>
      <c r="AN653" s="51">
        <v>0</v>
      </c>
      <c r="AO653" s="51">
        <v>0</v>
      </c>
      <c r="AP653" s="51">
        <v>0</v>
      </c>
      <c r="AQ653" s="47"/>
      <c r="AR653" s="51">
        <v>0</v>
      </c>
      <c r="AS653" s="51">
        <v>0</v>
      </c>
    </row>
    <row r="654" ht="78" customHeight="1" hidden="1">
      <c r="A654" t="s" s="220">
        <v>1742</v>
      </c>
      <c r="B654" t="s" s="52">
        <v>668</v>
      </c>
      <c r="C654" t="s" s="130">
        <v>1743</v>
      </c>
      <c r="D654" t="s" s="209">
        <v>713</v>
      </c>
      <c r="E654" t="s" s="217">
        <v>1744</v>
      </c>
      <c r="F654" t="s" s="210">
        <v>714</v>
      </c>
      <c r="G654" s="211"/>
      <c r="H654" s="42">
        <f>SUM(J654,N654)</f>
        <v>0</v>
      </c>
      <c r="I654" s="207">
        <f>SUM(Q654,S654,U654,W654,Y654,AA654,AC654,AE654,AG654,AI654,AK654,AM654,AO654,AQ654,AS654)</f>
        <v>0</v>
      </c>
      <c r="J654" s="43">
        <f>SUM(P654,R654,T654,V654,X654,Z654,AB654,AD654,AF654,AH654,AJ654,AL654,AN654,AP654,AR654)</f>
        <v>0</v>
      </c>
      <c r="K654" s="44"/>
      <c r="L654" s="6"/>
      <c r="M654" s="6"/>
      <c r="N654" s="14"/>
      <c r="O654" s="15"/>
      <c r="P654" s="296">
        <v>0</v>
      </c>
      <c r="Q654" s="297">
        <v>0</v>
      </c>
      <c r="R654" s="51">
        <v>0</v>
      </c>
      <c r="S654" s="51">
        <v>0</v>
      </c>
      <c r="T654" s="51">
        <v>0</v>
      </c>
      <c r="U654" s="51">
        <v>0</v>
      </c>
      <c r="V654" s="51">
        <v>0</v>
      </c>
      <c r="W654" s="51">
        <v>0</v>
      </c>
      <c r="X654" s="51">
        <v>0</v>
      </c>
      <c r="Y654" s="51">
        <v>0</v>
      </c>
      <c r="Z654" s="48">
        <v>0</v>
      </c>
      <c r="AA654" s="48">
        <v>0</v>
      </c>
      <c r="AB654" s="48">
        <v>0</v>
      </c>
      <c r="AC654" s="48">
        <v>0</v>
      </c>
      <c r="AD654" s="55">
        <v>0</v>
      </c>
      <c r="AE654" s="213">
        <v>0</v>
      </c>
      <c r="AF654" s="212">
        <v>0</v>
      </c>
      <c r="AG654" s="121">
        <v>0</v>
      </c>
      <c r="AH654" s="51">
        <v>0</v>
      </c>
      <c r="AI654" s="51">
        <v>0</v>
      </c>
      <c r="AJ654" s="51">
        <v>0</v>
      </c>
      <c r="AK654" s="51">
        <v>0</v>
      </c>
      <c r="AL654" s="14"/>
      <c r="AM654" s="122"/>
      <c r="AN654" s="51">
        <v>0</v>
      </c>
      <c r="AO654" s="51">
        <v>0</v>
      </c>
      <c r="AP654" s="51">
        <v>0</v>
      </c>
      <c r="AQ654" s="47"/>
      <c r="AR654" s="51">
        <v>0</v>
      </c>
      <c r="AS654" s="51">
        <v>0</v>
      </c>
    </row>
    <row r="655" ht="19.5" customHeight="1" hidden="1">
      <c r="A655" s="336">
        <v>18</v>
      </c>
      <c r="B655" t="s" s="67">
        <v>669</v>
      </c>
      <c r="C655" s="228"/>
      <c r="D655" s="228"/>
      <c r="E655" s="189"/>
      <c r="F655" s="182">
        <v>0</v>
      </c>
      <c r="G655" s="183"/>
      <c r="H655" s="42">
        <f>SUM(J655,N655)</f>
        <v>0</v>
      </c>
      <c r="I655" s="207">
        <f>SUM(Q655,S655,U655,W655,Y655,AA655,AC655,AE655,AG655,AI655,AK655,AM655,AO655,AQ655,AS655)</f>
        <v>0</v>
      </c>
      <c r="J655" s="43">
        <f>SUM(P655,R655,T655,V655,X655,Z655,AB655,AD655,AF655,AH655,AJ655,AL655,AN655,AP655,AR655)</f>
        <v>0</v>
      </c>
      <c r="K655" s="44"/>
      <c r="L655" s="6"/>
      <c r="M655" s="6"/>
      <c r="N655" s="14"/>
      <c r="O655" s="15"/>
      <c r="P655" s="186"/>
      <c r="Q655" s="76"/>
      <c r="R655" s="47"/>
      <c r="S655" s="47"/>
      <c r="T655" s="47"/>
      <c r="U655" s="47"/>
      <c r="V655" s="47"/>
      <c r="W655" s="47"/>
      <c r="X655" s="47"/>
      <c r="Y655" s="47"/>
      <c r="Z655" s="48">
        <v>0</v>
      </c>
      <c r="AA655" s="48">
        <v>0</v>
      </c>
      <c r="AB655" s="49"/>
      <c r="AC655" s="49"/>
      <c r="AD655" s="50"/>
      <c r="AE655" s="50"/>
      <c r="AF655" s="14"/>
      <c r="AG655" s="122"/>
      <c r="AH655" s="51">
        <v>0</v>
      </c>
      <c r="AI655" s="51">
        <v>0</v>
      </c>
      <c r="AJ655" s="47"/>
      <c r="AK655" s="47"/>
      <c r="AL655" s="14"/>
      <c r="AM655" s="122"/>
      <c r="AN655" s="47"/>
      <c r="AO655" s="47"/>
      <c r="AP655" s="47"/>
      <c r="AQ655" s="47"/>
      <c r="AR655" s="51">
        <v>0</v>
      </c>
      <c r="AS655" s="51">
        <v>0</v>
      </c>
    </row>
    <row r="656" ht="47.25" customHeight="1" hidden="1">
      <c r="A656" t="s" s="130">
        <v>1745</v>
      </c>
      <c r="B656" t="s" s="52">
        <v>670</v>
      </c>
      <c r="C656" t="s" s="130">
        <v>790</v>
      </c>
      <c r="D656" t="s" s="209">
        <v>791</v>
      </c>
      <c r="E656" s="189"/>
      <c r="F656" t="s" s="210">
        <v>714</v>
      </c>
      <c r="G656" s="211"/>
      <c r="H656" s="42">
        <f>SUM(J656,N656)</f>
        <v>0</v>
      </c>
      <c r="I656" s="207">
        <f>SUM(Q656,S656,U656,W656,Y656,AA656,AC656,AE656,AG656,AI656,AK656,AM656,AO656,AQ656,AS656)</f>
        <v>0</v>
      </c>
      <c r="J656" s="43">
        <f>SUM(P656,R656,T656,V656,X656,Z656,AB656,AD656,AF656,AH656,AJ656,AL656,AN656,AP656,AR656)</f>
        <v>0</v>
      </c>
      <c r="K656" s="44"/>
      <c r="L656" s="6"/>
      <c r="M656" s="6"/>
      <c r="N656" s="14"/>
      <c r="O656" s="15"/>
      <c r="P656" s="296">
        <v>0</v>
      </c>
      <c r="Q656" s="297">
        <v>0</v>
      </c>
      <c r="R656" s="51">
        <v>0</v>
      </c>
      <c r="S656" s="51">
        <v>0</v>
      </c>
      <c r="T656" s="51">
        <v>0</v>
      </c>
      <c r="U656" s="51">
        <v>0</v>
      </c>
      <c r="V656" s="51">
        <v>0</v>
      </c>
      <c r="W656" s="51">
        <v>0</v>
      </c>
      <c r="X656" s="51">
        <v>0</v>
      </c>
      <c r="Y656" s="51">
        <v>0</v>
      </c>
      <c r="Z656" s="48">
        <v>0</v>
      </c>
      <c r="AA656" s="48">
        <v>0</v>
      </c>
      <c r="AB656" s="48">
        <v>0</v>
      </c>
      <c r="AC656" s="48">
        <v>0</v>
      </c>
      <c r="AD656" s="55">
        <v>0</v>
      </c>
      <c r="AE656" s="213">
        <v>0</v>
      </c>
      <c r="AF656" s="212">
        <v>0</v>
      </c>
      <c r="AG656" s="121">
        <v>0</v>
      </c>
      <c r="AH656" s="51">
        <v>0</v>
      </c>
      <c r="AI656" s="51">
        <v>0</v>
      </c>
      <c r="AJ656" s="51">
        <v>0</v>
      </c>
      <c r="AK656" s="51">
        <v>0</v>
      </c>
      <c r="AL656" s="14"/>
      <c r="AM656" s="122"/>
      <c r="AN656" s="51">
        <v>0</v>
      </c>
      <c r="AO656" s="51">
        <v>0</v>
      </c>
      <c r="AP656" s="51">
        <v>0</v>
      </c>
      <c r="AQ656" s="47"/>
      <c r="AR656" s="51">
        <v>0</v>
      </c>
      <c r="AS656" s="51">
        <v>0</v>
      </c>
    </row>
    <row r="657" ht="78.75" customHeight="1" hidden="1">
      <c r="A657" t="s" s="103">
        <v>1746</v>
      </c>
      <c r="B657" t="s" s="10">
        <v>671</v>
      </c>
      <c r="C657" t="s" s="103">
        <v>800</v>
      </c>
      <c r="D657" t="s" s="66">
        <v>717</v>
      </c>
      <c r="E657" t="s" s="219">
        <v>1747</v>
      </c>
      <c r="F657" t="s" s="101">
        <v>714</v>
      </c>
      <c r="G657" s="203"/>
      <c r="H657" s="204">
        <f>SUM(J657,N657)</f>
        <v>750</v>
      </c>
      <c r="I657" s="205">
        <f>SUM(Q657,S657,U657,W657,Y657,AA657,AC657,AE657,AG657,AI657,AK657,AM657,AO657,AQ657,AS657)</f>
        <v>0</v>
      </c>
      <c r="J657" s="35">
        <f>SUM(P657,R657,T657,V657,X657,Z657,AB657,AD657,AF657,AH657,AJ657,AL657,AN657,AP657,AR657)</f>
        <v>750</v>
      </c>
      <c r="K657" s="36"/>
      <c r="L657" s="196"/>
      <c r="M657" s="196"/>
      <c r="N657" s="196"/>
      <c r="O657" s="196"/>
      <c r="P657" s="200">
        <v>100</v>
      </c>
      <c r="Q657" s="201">
        <v>0</v>
      </c>
      <c r="R657" s="38">
        <v>500</v>
      </c>
      <c r="S657" s="38">
        <v>0</v>
      </c>
      <c r="T657" s="38">
        <v>100</v>
      </c>
      <c r="U657" s="38">
        <v>0</v>
      </c>
      <c r="V657" s="38">
        <v>50</v>
      </c>
      <c r="W657" s="38">
        <v>0</v>
      </c>
      <c r="X657" s="38">
        <v>0</v>
      </c>
      <c r="Y657" s="38">
        <v>0</v>
      </c>
      <c r="Z657" s="40">
        <v>0</v>
      </c>
      <c r="AA657" s="40">
        <v>0</v>
      </c>
      <c r="AB657" s="40">
        <v>0</v>
      </c>
      <c r="AC657" s="40">
        <v>0</v>
      </c>
      <c r="AD657" s="40">
        <v>0</v>
      </c>
      <c r="AE657" s="40">
        <v>0</v>
      </c>
      <c r="AF657" s="198">
        <v>0</v>
      </c>
      <c r="AG657" s="206">
        <v>0</v>
      </c>
      <c r="AH657" s="38">
        <v>0</v>
      </c>
      <c r="AI657" s="38">
        <v>0</v>
      </c>
      <c r="AJ657" s="38">
        <v>0</v>
      </c>
      <c r="AK657" s="38">
        <v>0</v>
      </c>
      <c r="AL657" s="202"/>
      <c r="AM657" s="197"/>
      <c r="AN657" s="38">
        <v>0</v>
      </c>
      <c r="AO657" s="38">
        <v>0</v>
      </c>
      <c r="AP657" s="38">
        <v>0</v>
      </c>
      <c r="AQ657" s="80"/>
      <c r="AR657" s="38">
        <v>0</v>
      </c>
      <c r="AS657" s="38">
        <v>0</v>
      </c>
    </row>
    <row r="658" ht="110.25" customHeight="1" hidden="1">
      <c r="A658" t="s" s="103">
        <v>1748</v>
      </c>
      <c r="B658" t="s" s="10">
        <v>672</v>
      </c>
      <c r="C658" t="s" s="103">
        <v>800</v>
      </c>
      <c r="D658" t="s" s="66">
        <v>717</v>
      </c>
      <c r="E658" t="s" s="219">
        <v>1749</v>
      </c>
      <c r="F658" t="s" s="101">
        <v>714</v>
      </c>
      <c r="G658" s="203"/>
      <c r="H658" s="204">
        <f>SUM(J658,N658)</f>
        <v>750</v>
      </c>
      <c r="I658" s="205">
        <f>SUM(Q658,S658,U658,W658,Y658,AA658,AC658,AE658,AG658,AI658,AK658,AM658,AO658,AQ658,AS658)</f>
        <v>210</v>
      </c>
      <c r="J658" s="35">
        <f>SUM(P658,R658,T658,V658,X658,Z658,AB658,AD658,AF658,AH658,AJ658,AL658,AN658,AP658,AR658)</f>
        <v>750</v>
      </c>
      <c r="K658" s="36"/>
      <c r="L658" s="196"/>
      <c r="M658" s="196"/>
      <c r="N658" s="196"/>
      <c r="O658" s="196"/>
      <c r="P658" s="200">
        <v>100</v>
      </c>
      <c r="Q658" s="201">
        <v>0</v>
      </c>
      <c r="R658" s="38">
        <v>500</v>
      </c>
      <c r="S658" s="38">
        <v>210</v>
      </c>
      <c r="T658" s="38">
        <v>100</v>
      </c>
      <c r="U658" s="38">
        <v>0</v>
      </c>
      <c r="V658" s="38">
        <v>50</v>
      </c>
      <c r="W658" s="38">
        <v>0</v>
      </c>
      <c r="X658" s="38">
        <v>0</v>
      </c>
      <c r="Y658" s="38">
        <v>0</v>
      </c>
      <c r="Z658" s="40">
        <v>0</v>
      </c>
      <c r="AA658" s="40">
        <v>0</v>
      </c>
      <c r="AB658" s="40">
        <v>0</v>
      </c>
      <c r="AC658" s="40">
        <v>0</v>
      </c>
      <c r="AD658" s="40">
        <v>0</v>
      </c>
      <c r="AE658" s="40">
        <v>0</v>
      </c>
      <c r="AF658" s="198">
        <v>0</v>
      </c>
      <c r="AG658" s="206">
        <v>0</v>
      </c>
      <c r="AH658" s="38">
        <v>0</v>
      </c>
      <c r="AI658" s="38">
        <v>0</v>
      </c>
      <c r="AJ658" s="38">
        <v>0</v>
      </c>
      <c r="AK658" s="38">
        <v>0</v>
      </c>
      <c r="AL658" s="202"/>
      <c r="AM658" s="197"/>
      <c r="AN658" s="38">
        <v>0</v>
      </c>
      <c r="AO658" s="38">
        <v>0</v>
      </c>
      <c r="AP658" s="38">
        <v>0</v>
      </c>
      <c r="AQ658" s="80"/>
      <c r="AR658" s="38">
        <v>0</v>
      </c>
      <c r="AS658" s="38">
        <v>0</v>
      </c>
    </row>
    <row r="659" ht="97.5" customHeight="1" hidden="1">
      <c r="A659" t="s" s="103">
        <v>1750</v>
      </c>
      <c r="B659" t="s" s="10">
        <v>673</v>
      </c>
      <c r="C659" t="s" s="103">
        <v>800</v>
      </c>
      <c r="D659" t="s" s="66">
        <v>717</v>
      </c>
      <c r="E659" t="s" s="219">
        <v>1751</v>
      </c>
      <c r="F659" t="s" s="101">
        <v>714</v>
      </c>
      <c r="G659" s="203"/>
      <c r="H659" s="204">
        <f>SUM(J659,N659)</f>
        <v>650</v>
      </c>
      <c r="I659" s="205">
        <f>SUM(Q659,S659,U659,W659,Y659,AA659,AC659,AE659,AG659,AI659,AK659,AM659,AO659,AQ659,AS659)</f>
        <v>0</v>
      </c>
      <c r="J659" s="35">
        <f>SUM(P659,R659,T659,V659,X659,Z659,AB659,AD659,AF659,AH659,AJ659,AL659,AN659,AP659,AR659)</f>
        <v>650</v>
      </c>
      <c r="K659" s="36"/>
      <c r="L659" s="196"/>
      <c r="M659" s="196"/>
      <c r="N659" s="196"/>
      <c r="O659" s="196"/>
      <c r="P659" s="200">
        <v>200</v>
      </c>
      <c r="Q659" s="201">
        <v>0</v>
      </c>
      <c r="R659" s="38">
        <v>100</v>
      </c>
      <c r="S659" s="38">
        <v>0</v>
      </c>
      <c r="T659" s="38">
        <v>200</v>
      </c>
      <c r="U659" s="38">
        <v>0</v>
      </c>
      <c r="V659" s="38">
        <v>150</v>
      </c>
      <c r="W659" s="38">
        <v>0</v>
      </c>
      <c r="X659" s="38">
        <v>0</v>
      </c>
      <c r="Y659" s="38">
        <v>0</v>
      </c>
      <c r="Z659" s="40">
        <v>0</v>
      </c>
      <c r="AA659" s="40">
        <v>0</v>
      </c>
      <c r="AB659" s="40">
        <v>0</v>
      </c>
      <c r="AC659" s="40">
        <v>0</v>
      </c>
      <c r="AD659" s="40">
        <v>0</v>
      </c>
      <c r="AE659" s="40">
        <v>0</v>
      </c>
      <c r="AF659" s="198">
        <v>0</v>
      </c>
      <c r="AG659" s="206">
        <v>0</v>
      </c>
      <c r="AH659" s="38">
        <v>0</v>
      </c>
      <c r="AI659" s="38">
        <v>0</v>
      </c>
      <c r="AJ659" s="38">
        <v>0</v>
      </c>
      <c r="AK659" s="38">
        <v>0</v>
      </c>
      <c r="AL659" s="202"/>
      <c r="AM659" s="197"/>
      <c r="AN659" s="38">
        <v>0</v>
      </c>
      <c r="AO659" s="38">
        <v>0</v>
      </c>
      <c r="AP659" s="38">
        <v>0</v>
      </c>
      <c r="AQ659" s="80"/>
      <c r="AR659" s="38">
        <v>0</v>
      </c>
      <c r="AS659" s="38">
        <v>0</v>
      </c>
    </row>
    <row r="660" ht="110.25" customHeight="1" hidden="1">
      <c r="A660" t="s" s="103">
        <v>1752</v>
      </c>
      <c r="B660" t="s" s="10">
        <v>674</v>
      </c>
      <c r="C660" t="s" s="103">
        <v>800</v>
      </c>
      <c r="D660" t="s" s="66">
        <v>717</v>
      </c>
      <c r="E660" t="s" s="219">
        <v>1753</v>
      </c>
      <c r="F660" t="s" s="101">
        <v>714</v>
      </c>
      <c r="G660" s="203"/>
      <c r="H660" s="204">
        <f>SUM(J660,N660)</f>
        <v>650</v>
      </c>
      <c r="I660" s="205">
        <f>SUM(Q660,S660,U660,W660,Y660,AA660,AC660,AE660,AG660,AI660,AK660,AM660,AO660,AQ660,AS660)</f>
        <v>250</v>
      </c>
      <c r="J660" s="35">
        <f>SUM(P660,R660,T660,V660,X660,Z660,AB660,AD660,AF660,AH660,AJ660,AL660,AN660,AP660,AR660)</f>
        <v>650</v>
      </c>
      <c r="K660" s="36"/>
      <c r="L660" s="196"/>
      <c r="M660" s="196"/>
      <c r="N660" s="196"/>
      <c r="O660" s="196"/>
      <c r="P660" s="200">
        <v>200</v>
      </c>
      <c r="Q660" s="201">
        <v>0</v>
      </c>
      <c r="R660" s="38">
        <v>100</v>
      </c>
      <c r="S660" s="38">
        <v>250</v>
      </c>
      <c r="T660" s="38">
        <v>200</v>
      </c>
      <c r="U660" s="38">
        <v>0</v>
      </c>
      <c r="V660" s="38">
        <v>150</v>
      </c>
      <c r="W660" s="38">
        <v>0</v>
      </c>
      <c r="X660" s="38">
        <v>0</v>
      </c>
      <c r="Y660" s="38">
        <v>0</v>
      </c>
      <c r="Z660" s="40">
        <v>0</v>
      </c>
      <c r="AA660" s="40">
        <v>0</v>
      </c>
      <c r="AB660" s="40">
        <v>0</v>
      </c>
      <c r="AC660" s="40">
        <v>0</v>
      </c>
      <c r="AD660" s="40">
        <v>0</v>
      </c>
      <c r="AE660" s="40">
        <v>0</v>
      </c>
      <c r="AF660" s="198">
        <v>0</v>
      </c>
      <c r="AG660" s="206">
        <v>0</v>
      </c>
      <c r="AH660" s="38">
        <v>0</v>
      </c>
      <c r="AI660" s="38">
        <v>0</v>
      </c>
      <c r="AJ660" s="38">
        <v>0</v>
      </c>
      <c r="AK660" s="38">
        <v>0</v>
      </c>
      <c r="AL660" s="202"/>
      <c r="AM660" s="197"/>
      <c r="AN660" s="38">
        <v>0</v>
      </c>
      <c r="AO660" s="38">
        <v>0</v>
      </c>
      <c r="AP660" s="38">
        <v>0</v>
      </c>
      <c r="AQ660" s="80"/>
      <c r="AR660" s="38">
        <v>0</v>
      </c>
      <c r="AS660" s="38">
        <v>0</v>
      </c>
    </row>
    <row r="661" ht="136.5" customHeight="1" hidden="1">
      <c r="A661" t="s" s="103">
        <v>1754</v>
      </c>
      <c r="B661" t="s" s="103">
        <v>675</v>
      </c>
      <c r="C661" t="s" s="103">
        <v>800</v>
      </c>
      <c r="D661" t="s" s="66">
        <v>717</v>
      </c>
      <c r="E661" t="s" s="219">
        <v>1755</v>
      </c>
      <c r="F661" t="s" s="101">
        <v>714</v>
      </c>
      <c r="G661" s="203"/>
      <c r="H661" s="204">
        <f>SUM(J661,N661)</f>
        <v>18730</v>
      </c>
      <c r="I661" s="205">
        <f>SUM(Q661,S661,U661,W661,Y661,AA661,AC661,AE661,AG661,AI661,AK661,AM661,AO661,AQ661,AS661)</f>
        <v>940</v>
      </c>
      <c r="J661" s="35">
        <f>SUM(P661,R661,T661,V661,X661,Z661,AB661,AD661,AF661,AH661,AJ661,AL661,AN661,AP661,AR661)</f>
        <v>18730</v>
      </c>
      <c r="K661" s="36"/>
      <c r="L661" s="196"/>
      <c r="M661" s="196"/>
      <c r="N661" s="196"/>
      <c r="O661" s="196"/>
      <c r="P661" s="200">
        <v>15000</v>
      </c>
      <c r="Q661" s="201">
        <v>750</v>
      </c>
      <c r="R661" s="38">
        <v>0</v>
      </c>
      <c r="S661" s="38">
        <v>0</v>
      </c>
      <c r="T661" s="38">
        <v>130</v>
      </c>
      <c r="U661" s="38">
        <v>0</v>
      </c>
      <c r="V661" s="38">
        <v>3600</v>
      </c>
      <c r="W661" s="38">
        <v>190</v>
      </c>
      <c r="X661" s="38">
        <v>0</v>
      </c>
      <c r="Y661" s="38">
        <v>0</v>
      </c>
      <c r="Z661" s="40">
        <v>0</v>
      </c>
      <c r="AA661" s="40">
        <v>0</v>
      </c>
      <c r="AB661" s="40">
        <v>0</v>
      </c>
      <c r="AC661" s="40">
        <v>0</v>
      </c>
      <c r="AD661" s="40">
        <v>0</v>
      </c>
      <c r="AE661" s="40">
        <v>0</v>
      </c>
      <c r="AF661" s="198">
        <v>0</v>
      </c>
      <c r="AG661" s="206">
        <v>0</v>
      </c>
      <c r="AH661" s="38">
        <v>0</v>
      </c>
      <c r="AI661" s="38">
        <v>0</v>
      </c>
      <c r="AJ661" s="38">
        <v>0</v>
      </c>
      <c r="AK661" s="38">
        <v>0</v>
      </c>
      <c r="AL661" s="202"/>
      <c r="AM661" s="197"/>
      <c r="AN661" s="38">
        <v>0</v>
      </c>
      <c r="AO661" s="38">
        <v>0</v>
      </c>
      <c r="AP661" s="38">
        <v>0</v>
      </c>
      <c r="AQ661" s="80"/>
      <c r="AR661" s="38">
        <v>0</v>
      </c>
      <c r="AS661" s="38">
        <v>0</v>
      </c>
    </row>
    <row r="662" ht="19.5" customHeight="1" hidden="1">
      <c r="A662" t="s" s="337">
        <v>1756</v>
      </c>
      <c r="B662" t="s" s="145">
        <v>676</v>
      </c>
      <c r="C662" s="338"/>
      <c r="D662" s="338"/>
      <c r="E662" s="339">
        <v>1201</v>
      </c>
      <c r="F662" s="182">
        <v>0</v>
      </c>
      <c r="G662" s="183"/>
      <c r="H662" s="42">
        <f>SUM(J662,N662)</f>
        <v>0</v>
      </c>
      <c r="I662" s="207">
        <f>SUM(Q662,S662,U662,W662,Y662,AA662,AC662,AE662,AG662,AI662,AK662,AM662,AO662,AQ662,AS662)</f>
        <v>0</v>
      </c>
      <c r="J662" s="43">
        <f>SUM(P662,R662,T662,V662,X662,Z662,AB662,AD662,AF662,AH662,AJ662,AL662,AN662,AP662,AR662)</f>
        <v>0</v>
      </c>
      <c r="K662" s="44"/>
      <c r="L662" s="6"/>
      <c r="M662" s="6"/>
      <c r="N662" s="14"/>
      <c r="O662" s="15"/>
      <c r="P662" s="186"/>
      <c r="Q662" s="76"/>
      <c r="R662" s="47"/>
      <c r="S662" s="47"/>
      <c r="T662" s="47"/>
      <c r="U662" s="47"/>
      <c r="V662" s="47"/>
      <c r="W662" s="47"/>
      <c r="X662" s="47"/>
      <c r="Y662" s="47"/>
      <c r="Z662" s="48">
        <v>0</v>
      </c>
      <c r="AA662" s="48">
        <v>0</v>
      </c>
      <c r="AB662" s="49"/>
      <c r="AC662" s="49"/>
      <c r="AD662" s="55">
        <v>0</v>
      </c>
      <c r="AE662" s="213">
        <v>0</v>
      </c>
      <c r="AF662" s="14"/>
      <c r="AG662" s="122"/>
      <c r="AH662" s="51">
        <v>0</v>
      </c>
      <c r="AI662" s="51">
        <v>0</v>
      </c>
      <c r="AJ662" s="47"/>
      <c r="AK662" s="47"/>
      <c r="AL662" s="14"/>
      <c r="AM662" s="122"/>
      <c r="AN662" s="47"/>
      <c r="AO662" s="47"/>
      <c r="AP662" s="47"/>
      <c r="AQ662" s="47"/>
      <c r="AR662" s="51">
        <v>0</v>
      </c>
      <c r="AS662" s="51">
        <v>0</v>
      </c>
    </row>
    <row r="663" ht="141.75" customHeight="1" hidden="1">
      <c r="A663" t="s" s="288">
        <v>1459</v>
      </c>
      <c r="B663" t="s" s="146">
        <v>677</v>
      </c>
      <c r="C663" t="s" s="288">
        <v>1558</v>
      </c>
      <c r="D663" t="s" s="301">
        <v>791</v>
      </c>
      <c r="E663" s="340">
        <v>1201</v>
      </c>
      <c r="F663" t="s" s="210">
        <v>853</v>
      </c>
      <c r="G663" s="211"/>
      <c r="H663" s="42">
        <f>SUM(J663,N663)</f>
        <v>25</v>
      </c>
      <c r="I663" s="207">
        <f>SUM(Q663,S663,U663,W663,Y663,AA663,AC663,AE663,AG663,AI663,AK663,AM663,AO663,AQ663,AS663)</f>
        <v>0</v>
      </c>
      <c r="J663" s="43">
        <f>SUM(P663,R663,T663,V663,X663,Z663,AB663,AD663,AF663,AH663,AJ663,AL663,AN663,AP663,AR663)</f>
        <v>25</v>
      </c>
      <c r="K663" s="44"/>
      <c r="L663" s="6"/>
      <c r="M663" s="6"/>
      <c r="N663" s="14"/>
      <c r="O663" s="15"/>
      <c r="P663" s="296">
        <v>0</v>
      </c>
      <c r="Q663" s="297">
        <v>0</v>
      </c>
      <c r="R663" s="51">
        <v>0</v>
      </c>
      <c r="S663" s="51">
        <v>0</v>
      </c>
      <c r="T663" s="51">
        <v>0</v>
      </c>
      <c r="U663" s="51">
        <v>0</v>
      </c>
      <c r="V663" s="51">
        <v>0</v>
      </c>
      <c r="W663" s="51">
        <v>0</v>
      </c>
      <c r="X663" s="51">
        <v>0</v>
      </c>
      <c r="Y663" s="51">
        <v>0</v>
      </c>
      <c r="Z663" s="48">
        <v>0</v>
      </c>
      <c r="AA663" s="48">
        <v>0</v>
      </c>
      <c r="AB663" s="48">
        <v>0</v>
      </c>
      <c r="AC663" s="48">
        <v>0</v>
      </c>
      <c r="AD663" s="55">
        <v>0</v>
      </c>
      <c r="AE663" s="213">
        <v>0</v>
      </c>
      <c r="AF663" s="212">
        <v>0</v>
      </c>
      <c r="AG663" s="121">
        <v>0</v>
      </c>
      <c r="AH663" s="51">
        <v>0</v>
      </c>
      <c r="AI663" s="51">
        <v>0</v>
      </c>
      <c r="AJ663" s="51">
        <v>0</v>
      </c>
      <c r="AK663" s="51">
        <v>0</v>
      </c>
      <c r="AL663" s="14"/>
      <c r="AM663" s="122"/>
      <c r="AN663" s="51">
        <v>0</v>
      </c>
      <c r="AO663" s="51">
        <v>0</v>
      </c>
      <c r="AP663" s="51">
        <v>0</v>
      </c>
      <c r="AQ663" s="47"/>
      <c r="AR663" s="51">
        <v>25</v>
      </c>
      <c r="AS663" s="51">
        <v>0</v>
      </c>
    </row>
    <row r="664" ht="141.75" customHeight="1" hidden="1">
      <c r="A664" t="s" s="288">
        <v>1459</v>
      </c>
      <c r="B664" t="s" s="147">
        <v>678</v>
      </c>
      <c r="C664" t="s" s="288">
        <v>1558</v>
      </c>
      <c r="D664" t="s" s="301">
        <v>791</v>
      </c>
      <c r="E664" s="340">
        <v>1201</v>
      </c>
      <c r="F664" t="s" s="210">
        <v>853</v>
      </c>
      <c r="G664" s="211"/>
      <c r="H664" s="42">
        <f>SUM(J664,N664)</f>
        <v>0</v>
      </c>
      <c r="I664" s="207">
        <f>SUM(Q664,S664,U664,W664,Y664,AA664,AC664,AE664,AG664,AI664,AK664,AM664,AO664,AQ664,AS664)</f>
        <v>0</v>
      </c>
      <c r="J664" s="43">
        <f>SUM(P664,R664,T664,V664,X664,Z664,AB664,AD664,AF664,AH664,AJ664,AL664,AN664,AP664,AR664)</f>
        <v>0</v>
      </c>
      <c r="K664" s="44"/>
      <c r="L664" s="6"/>
      <c r="M664" s="6"/>
      <c r="N664" s="14"/>
      <c r="O664" s="15"/>
      <c r="P664" s="296">
        <v>0</v>
      </c>
      <c r="Q664" s="297">
        <v>0</v>
      </c>
      <c r="R664" s="51">
        <v>0</v>
      </c>
      <c r="S664" s="51">
        <v>0</v>
      </c>
      <c r="T664" s="51">
        <v>0</v>
      </c>
      <c r="U664" s="51">
        <v>0</v>
      </c>
      <c r="V664" s="51">
        <v>0</v>
      </c>
      <c r="W664" s="51">
        <v>0</v>
      </c>
      <c r="X664" s="51">
        <v>0</v>
      </c>
      <c r="Y664" s="51">
        <v>0</v>
      </c>
      <c r="Z664" s="48">
        <v>0</v>
      </c>
      <c r="AA664" s="48">
        <v>0</v>
      </c>
      <c r="AB664" s="48">
        <v>0</v>
      </c>
      <c r="AC664" s="48">
        <v>0</v>
      </c>
      <c r="AD664" s="55">
        <v>0</v>
      </c>
      <c r="AE664" s="213">
        <v>0</v>
      </c>
      <c r="AF664" s="212">
        <v>0</v>
      </c>
      <c r="AG664" s="121">
        <v>0</v>
      </c>
      <c r="AH664" s="51">
        <v>0</v>
      </c>
      <c r="AI664" s="51">
        <v>0</v>
      </c>
      <c r="AJ664" s="51">
        <v>0</v>
      </c>
      <c r="AK664" s="51">
        <v>0</v>
      </c>
      <c r="AL664" s="14"/>
      <c r="AM664" s="122"/>
      <c r="AN664" s="51">
        <v>0</v>
      </c>
      <c r="AO664" s="51">
        <v>0</v>
      </c>
      <c r="AP664" s="51">
        <v>0</v>
      </c>
      <c r="AQ664" s="47"/>
      <c r="AR664" s="51">
        <v>0</v>
      </c>
      <c r="AS664" s="51">
        <v>0</v>
      </c>
    </row>
    <row r="665" ht="9" customHeight="1" hidden="1">
      <c r="A665" t="s" s="288">
        <v>1757</v>
      </c>
      <c r="B665" t="s" s="148">
        <v>679</v>
      </c>
      <c r="C665" t="s" s="288">
        <v>1562</v>
      </c>
      <c r="D665" t="s" s="301">
        <v>791</v>
      </c>
      <c r="E665" s="340">
        <v>1201</v>
      </c>
      <c r="F665" t="s" s="210">
        <v>853</v>
      </c>
      <c r="G665" s="211"/>
      <c r="H665" s="42">
        <f>SUM(J665,N665)</f>
        <v>0</v>
      </c>
      <c r="I665" s="207">
        <f>SUM(Q665,S665,U665,W665,Y665,AA665,AC665,AE665,AG665,AI665,AK665,AM665,AO665,AQ665,AS665)</f>
        <v>0</v>
      </c>
      <c r="J665" s="43">
        <f>SUM(P665,R665,T665,V665,X665,Z665,AB665,AD665,AF665,AH665,AJ665,AL665,AN665,AP665,AR665)</f>
        <v>0</v>
      </c>
      <c r="K665" s="44"/>
      <c r="L665" s="6"/>
      <c r="M665" s="6"/>
      <c r="N665" s="14"/>
      <c r="O665" s="15"/>
      <c r="P665" s="296">
        <v>0</v>
      </c>
      <c r="Q665" s="297">
        <v>0</v>
      </c>
      <c r="R665" s="51">
        <v>0</v>
      </c>
      <c r="S665" s="51">
        <v>0</v>
      </c>
      <c r="T665" s="51">
        <v>0</v>
      </c>
      <c r="U665" s="51">
        <v>0</v>
      </c>
      <c r="V665" s="51">
        <v>0</v>
      </c>
      <c r="W665" s="51">
        <v>0</v>
      </c>
      <c r="X665" s="51">
        <v>0</v>
      </c>
      <c r="Y665" s="51">
        <v>0</v>
      </c>
      <c r="Z665" s="48">
        <v>0</v>
      </c>
      <c r="AA665" s="48">
        <v>0</v>
      </c>
      <c r="AB665" s="48">
        <v>0</v>
      </c>
      <c r="AC665" s="48">
        <v>0</v>
      </c>
      <c r="AD665" s="55">
        <v>0</v>
      </c>
      <c r="AE665" s="213">
        <v>0</v>
      </c>
      <c r="AF665" s="212">
        <v>0</v>
      </c>
      <c r="AG665" s="121">
        <v>0</v>
      </c>
      <c r="AH665" s="51">
        <v>0</v>
      </c>
      <c r="AI665" s="51">
        <v>0</v>
      </c>
      <c r="AJ665" s="51">
        <v>0</v>
      </c>
      <c r="AK665" s="51">
        <v>0</v>
      </c>
      <c r="AL665" s="14"/>
      <c r="AM665" s="122"/>
      <c r="AN665" s="51">
        <v>0</v>
      </c>
      <c r="AO665" s="51">
        <v>0</v>
      </c>
      <c r="AP665" s="51">
        <v>0</v>
      </c>
      <c r="AQ665" s="47"/>
      <c r="AR665" s="51">
        <v>0</v>
      </c>
      <c r="AS665" s="51">
        <v>0</v>
      </c>
    </row>
    <row r="666" ht="15.75" customHeight="1">
      <c r="A666" s="291"/>
      <c r="B666" s="291"/>
      <c r="C666" s="291"/>
      <c r="D666" s="291"/>
      <c r="E666" s="291"/>
      <c r="F666" s="341"/>
      <c r="G666" s="342"/>
      <c r="H666" s="343"/>
      <c r="I666" s="342"/>
      <c r="J666" s="343"/>
      <c r="K666" s="344"/>
      <c r="L666" s="196"/>
      <c r="M666" s="196"/>
      <c r="N666" s="345"/>
      <c r="O666" s="15"/>
      <c r="P666" s="291"/>
      <c r="Q666" s="291"/>
      <c r="R666" s="291"/>
      <c r="S666" s="291"/>
      <c r="T666" s="291"/>
      <c r="U666" s="291"/>
      <c r="V666" s="291"/>
      <c r="W666" s="291"/>
      <c r="X666" s="291"/>
      <c r="Y666" s="291"/>
      <c r="Z666" s="291"/>
      <c r="AA666" s="291"/>
      <c r="AB666" s="291"/>
      <c r="AC666" s="291"/>
      <c r="AD666" s="291"/>
      <c r="AE666" s="291"/>
      <c r="AF666" s="15"/>
      <c r="AG666" s="15"/>
      <c r="AH666" s="291"/>
      <c r="AI666" s="291"/>
      <c r="AJ666" s="291"/>
      <c r="AK666" s="291"/>
      <c r="AL666" s="15"/>
      <c r="AM666" s="15"/>
      <c r="AN666" s="291"/>
      <c r="AO666" s="291"/>
      <c r="AP666" s="291"/>
      <c r="AQ666" s="291"/>
      <c r="AR666" s="291"/>
      <c r="AS666" s="291"/>
    </row>
  </sheetData>
  <mergeCells count="25">
    <mergeCell ref="E621:E622"/>
    <mergeCell ref="AP1:AQ1"/>
    <mergeCell ref="AR1:AS1"/>
    <mergeCell ref="E253:E254"/>
    <mergeCell ref="E467:E468"/>
    <mergeCell ref="E605:E606"/>
    <mergeCell ref="E616:E617"/>
    <mergeCell ref="AD1:AE1"/>
    <mergeCell ref="AF1:AG1"/>
    <mergeCell ref="AH1:AI1"/>
    <mergeCell ref="AJ1:AK1"/>
    <mergeCell ref="AL1:AM1"/>
    <mergeCell ref="AN1:AO1"/>
    <mergeCell ref="R1:S1"/>
    <mergeCell ref="T1:U1"/>
    <mergeCell ref="V1:W1"/>
    <mergeCell ref="X1:Y1"/>
    <mergeCell ref="Z1:AA1"/>
    <mergeCell ref="AB1:AC1"/>
    <mergeCell ref="A1:F1"/>
    <mergeCell ref="G1:G2"/>
    <mergeCell ref="H1:H2"/>
    <mergeCell ref="I1:I2"/>
    <mergeCell ref="N1:O1"/>
    <mergeCell ref="P1:Q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